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HUONG_DAN" sheetId="1" state="visible" r:id="rId1"/>
    <sheet name="VD_L1.B137" sheetId="2" state="visible" r:id="rId2"/>
    <sheet name="MAU" sheetId="3" state="visible" r:id="rId3"/>
    <sheet name="LIST" sheetId="4" state="hidden" r:id="rId4"/>
  </sheets>
  <definedNames>
    <definedName name="_xlnm.Print_Titles" localSheetId="1">'VD_L1.B137'!$A:$B</definedName>
    <definedName name="_xlnm.Print_Area" localSheetId="1">'VD_L1.B137'!$A$1:$AG$44</definedName>
    <definedName name="_xlnm.Print_Titles" localSheetId="2">'MAU'!$A:$B</definedName>
    <definedName name="_xlnm.Print_Area" localSheetId="2">'MAU'!$A$1:$AG$44</definedName>
  </definedNames>
  <calcPr calcId="124519" fullCalcOnLoad="1"/>
</workbook>
</file>

<file path=xl/styles.xml><?xml version="1.0" encoding="utf-8"?>
<styleSheet xmlns="http://schemas.openxmlformats.org/spreadsheetml/2006/main">
  <numFmts count="2">
    <numFmt numFmtId="164" formatCode="+0.000;-0.000;±0.000"/>
    <numFmt numFmtId="165" formatCode="#,##0.0;-#,##0.0;0"/>
  </numFmts>
  <fonts count="23">
    <font>
      <name val="Calibri"/>
      <family val="2"/>
      <color theme="1"/>
      <sz val="11"/>
      <scheme val="minor"/>
    </font>
    <font>
      <name val="Arial"/>
      <b val="1"/>
      <color rgb="00FFFFFF"/>
      <sz val="14"/>
    </font>
    <font>
      <name val="Arial"/>
      <b val="1"/>
      <sz val="10"/>
    </font>
    <font>
      <name val="Arial"/>
      <sz val="10"/>
    </font>
    <font>
      <name val="Arial"/>
      <b val="1"/>
      <color rgb="00C00000"/>
      <sz val="18"/>
    </font>
    <font>
      <name val="Arial"/>
      <b val="1"/>
      <sz val="9"/>
    </font>
    <font>
      <name val="Arial"/>
      <b val="1"/>
      <color rgb="000000CC"/>
      <sz val="9"/>
    </font>
    <font>
      <name val="Arial"/>
      <i val="1"/>
      <color rgb="00595959"/>
      <sz val="8"/>
    </font>
    <font>
      <name val="Arial"/>
      <b val="1"/>
      <sz val="12"/>
    </font>
    <font>
      <name val="Arial"/>
      <b val="1"/>
      <color rgb="000000FF"/>
      <sz val="10"/>
    </font>
    <font>
      <name val="Arial"/>
      <b val="1"/>
      <sz val="11"/>
    </font>
    <font>
      <name val="Arial"/>
      <b val="1"/>
      <color rgb="00FFFFFF"/>
      <sz val="10"/>
    </font>
    <font>
      <name val="Arial"/>
      <b val="1"/>
      <color rgb="00FFFFFF"/>
      <sz val="11"/>
    </font>
    <font>
      <name val="Arial"/>
      <b val="1"/>
      <color rgb="00C00000"/>
      <sz val="10"/>
    </font>
    <font>
      <name val="Arial"/>
      <b val="1"/>
      <color rgb="00000000"/>
      <sz val="10"/>
    </font>
    <font>
      <name val="Arial"/>
      <sz val="9"/>
    </font>
    <font>
      <name val="Arial"/>
      <b val="1"/>
      <color rgb="00FFFFFF"/>
      <sz val="9"/>
    </font>
    <font>
      <name val="Arial"/>
      <color rgb="00FFFFFF"/>
      <sz val="9"/>
    </font>
    <font>
      <name val="Arial"/>
      <b val="1"/>
      <color rgb="000000FF"/>
      <sz val="11"/>
    </font>
    <font>
      <name val="Arial"/>
      <color rgb="00808080"/>
      <sz val="8"/>
    </font>
    <font>
      <name val="Arial"/>
      <i val="1"/>
      <color rgb="00808080"/>
      <sz val="8"/>
    </font>
    <font>
      <name val="Arial"/>
      <i val="1"/>
      <color rgb="00404040"/>
      <sz val="9"/>
    </font>
    <font>
      <name val="Arial"/>
      <color rgb="000000FF"/>
      <sz val="9"/>
    </font>
  </fonts>
  <fills count="17">
    <fill>
      <patternFill/>
    </fill>
    <fill>
      <patternFill patternType="gray125"/>
    </fill>
    <fill>
      <patternFill patternType="solid">
        <fgColor rgb="004472C4"/>
      </patternFill>
    </fill>
    <fill>
      <patternFill patternType="solid">
        <fgColor rgb="00F4F4AC"/>
      </patternFill>
    </fill>
    <fill>
      <patternFill patternType="solid">
        <fgColor rgb="00FFF2CC"/>
      </patternFill>
    </fill>
    <fill>
      <patternFill patternType="solid">
        <fgColor rgb="0092D050"/>
      </patternFill>
    </fill>
    <fill>
      <patternFill patternType="solid">
        <fgColor rgb="00FFFFFF"/>
      </patternFill>
    </fill>
    <fill>
      <patternFill patternType="solid">
        <fgColor rgb="00FFC000"/>
      </patternFill>
    </fill>
    <fill>
      <patternFill patternType="solid">
        <fgColor rgb="00D9D9D9"/>
      </patternFill>
    </fill>
    <fill>
      <patternFill patternType="solid">
        <fgColor rgb="00404040"/>
      </patternFill>
    </fill>
    <fill>
      <patternFill patternType="solid">
        <fgColor rgb="00DDEBF7"/>
      </patternFill>
    </fill>
    <fill>
      <patternFill patternType="solid">
        <fgColor rgb="00F2F2F2"/>
      </patternFill>
    </fill>
    <fill>
      <patternFill patternType="solid">
        <fgColor rgb="00E6E49A"/>
      </patternFill>
    </fill>
    <fill>
      <patternFill patternType="solid">
        <fgColor rgb="00808080"/>
      </patternFill>
    </fill>
    <fill>
      <patternFill patternType="solid">
        <fgColor rgb="00595959"/>
      </patternFill>
    </fill>
    <fill>
      <patternFill patternType="solid">
        <fgColor rgb="00BDD7EE"/>
      </patternFill>
    </fill>
    <fill>
      <patternFill patternType="solid">
        <fgColor rgb="00EDEDED"/>
      </patternFill>
    </fill>
  </fills>
  <borders count="12">
    <border>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hair">
        <color rgb="00A6A6A6"/>
      </top>
      <bottom style="hair">
        <color rgb="00A6A6A6"/>
      </bottom>
    </border>
    <border>
      <left style="medium">
        <color rgb="00000000"/>
      </left>
      <right style="thin">
        <color rgb="00808080"/>
      </right>
      <top style="thin">
        <color rgb="00808080"/>
      </top>
      <bottom style="thin">
        <color rgb="00808080"/>
      </bottom>
    </border>
    <border>
      <left style="thin">
        <color rgb="00808080"/>
      </left>
      <right style="medium">
        <color rgb="00000000"/>
      </right>
      <top style="thin">
        <color rgb="00808080"/>
      </top>
      <bottom style="thin">
        <color rgb="00808080"/>
      </bottom>
    </border>
    <border>
      <left style="thin">
        <color rgb="00808080"/>
      </left>
      <right style="medium">
        <color rgb="00000000"/>
      </right>
      <top style="hair">
        <color rgb="00A6A6A6"/>
      </top>
      <bottom style="hair">
        <color rgb="00A6A6A6"/>
      </bottom>
    </border>
    <border>
      <left style="medium">
        <color rgb="00000000"/>
      </left>
      <right style="thin">
        <color rgb="00808080"/>
      </right>
      <top style="medium">
        <color rgb="00000000"/>
      </top>
      <bottom style="thin">
        <color rgb="00808080"/>
      </bottom>
    </border>
    <border>
      <left style="medium">
        <color rgb="00000000"/>
      </left>
      <right style="thin">
        <color rgb="00808080"/>
      </right>
      <top style="thin">
        <color rgb="00808080"/>
      </top>
      <bottom style="medium">
        <color rgb="00000000"/>
      </bottom>
    </border>
    <border>
      <left style="thin">
        <color rgb="00808080"/>
      </left>
      <right style="thin">
        <color rgb="00808080"/>
      </right>
      <top style="medium">
        <color rgb="00000000"/>
      </top>
      <bottom style="thin">
        <color rgb="00808080"/>
      </bottom>
    </border>
    <border>
      <left style="thin">
        <color rgb="00808080"/>
      </left>
      <right style="thin">
        <color rgb="00808080"/>
      </right>
      <top style="thin">
        <color rgb="00808080"/>
      </top>
      <bottom style="medium">
        <color rgb="00000000"/>
      </bottom>
    </border>
    <border>
      <left style="thin">
        <color rgb="00808080"/>
      </left>
      <right style="medium">
        <color rgb="00000000"/>
      </right>
      <top style="medium">
        <color rgb="00000000"/>
      </top>
      <bottom style="thin">
        <color rgb="00808080"/>
      </bottom>
    </border>
    <border>
      <left style="thin">
        <color rgb="00808080"/>
      </left>
      <right style="medium">
        <color rgb="00000000"/>
      </right>
      <top style="thin">
        <color rgb="00808080"/>
      </top>
      <bottom style="medium">
        <color rgb="00000000"/>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left" vertical="center" wrapText="1"/>
    </xf>
    <xf numFmtId="0" fontId="3"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8" fillId="7" borderId="1" applyAlignment="1" pivotButton="0" quotePrefix="0" xfId="0">
      <alignment horizontal="center" vertical="center" wrapText="1"/>
    </xf>
    <xf numFmtId="0" fontId="0" fillId="0" borderId="1" pivotButton="0" quotePrefix="0" xfId="0"/>
    <xf numFmtId="0" fontId="10" fillId="7" borderId="1" applyAlignment="1" pivotButton="0" quotePrefix="0" xfId="0">
      <alignment horizontal="center" vertical="center" wrapText="1"/>
    </xf>
    <xf numFmtId="0" fontId="2" fillId="3" borderId="1" applyAlignment="1" pivotButton="0" quotePrefix="0" xfId="0">
      <alignment horizontal="left" vertical="center"/>
    </xf>
    <xf numFmtId="0" fontId="0" fillId="3" borderId="1" pivotButton="0" quotePrefix="0" xfId="0"/>
    <xf numFmtId="0" fontId="9" fillId="6" borderId="1" applyAlignment="1" pivotButton="0" quotePrefix="0" xfId="0">
      <alignment horizontal="left" vertical="center"/>
    </xf>
    <xf numFmtId="0" fontId="5" fillId="3" borderId="1" applyAlignment="1" pivotButton="0" quotePrefix="0" xfId="0">
      <alignment horizontal="center" vertical="center" wrapText="1"/>
    </xf>
    <xf numFmtId="0" fontId="2" fillId="8" borderId="1" applyAlignment="1" pivotButton="0" quotePrefix="0" xfId="0">
      <alignment horizontal="center" vertical="center" wrapText="1"/>
    </xf>
    <xf numFmtId="0" fontId="5" fillId="3" borderId="1" applyAlignment="1" pivotButton="0" quotePrefix="0" xfId="0">
      <alignment horizontal="left" vertical="center"/>
    </xf>
    <xf numFmtId="0" fontId="9"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49" fontId="9" fillId="6" borderId="1" applyAlignment="1" pivotButton="0" quotePrefix="0" xfId="0">
      <alignment horizontal="center" vertical="center" wrapText="1"/>
    </xf>
    <xf numFmtId="164" fontId="9" fillId="6" borderId="1" applyAlignment="1" pivotButton="0" quotePrefix="0" xfId="0">
      <alignment horizontal="left" vertical="center"/>
    </xf>
    <xf numFmtId="0" fontId="7" fillId="6" borderId="1" applyAlignment="1" pivotButton="0" quotePrefix="0" xfId="0">
      <alignment horizontal="center" vertical="center" wrapText="1"/>
    </xf>
    <xf numFmtId="0" fontId="11" fillId="9" borderId="1" applyAlignment="1" pivotButton="0" quotePrefix="0" xfId="0">
      <alignment horizontal="left" vertical="center" wrapText="1"/>
    </xf>
    <xf numFmtId="0" fontId="0" fillId="9" borderId="1" applyAlignment="1" pivotButton="0" quotePrefix="0" xfId="0">
      <alignment horizontal="center" vertical="center" wrapText="1"/>
    </xf>
    <xf numFmtId="0" fontId="12" fillId="9" borderId="1" applyAlignment="1" pivotButton="0" quotePrefix="0" xfId="0">
      <alignment horizontal="left" vertical="center" wrapText="1"/>
    </xf>
    <xf numFmtId="0" fontId="0" fillId="9" borderId="1" pivotButton="0" quotePrefix="0" xfId="0"/>
    <xf numFmtId="0" fontId="2" fillId="8" borderId="6" applyAlignment="1" pivotButton="0" quotePrefix="0" xfId="0">
      <alignment horizontal="center" vertical="center" wrapText="1"/>
    </xf>
    <xf numFmtId="0" fontId="5" fillId="8" borderId="8" applyAlignment="1" pivotButton="0" quotePrefix="0" xfId="0">
      <alignment horizontal="center" vertical="center" wrapText="1"/>
    </xf>
    <xf numFmtId="0" fontId="2" fillId="8" borderId="8" applyAlignment="1" pivotButton="0" quotePrefix="0" xfId="0">
      <alignment horizontal="center" vertical="center" wrapText="1"/>
    </xf>
    <xf numFmtId="0" fontId="13" fillId="10" borderId="8" applyAlignment="1" pivotButton="0" quotePrefix="0" xfId="0">
      <alignment horizontal="center" vertical="center" wrapText="1"/>
    </xf>
    <xf numFmtId="0" fontId="2" fillId="8" borderId="10" applyAlignment="1" pivotButton="0" quotePrefix="0" xfId="0">
      <alignment horizontal="center" vertical="center" wrapText="1"/>
    </xf>
    <xf numFmtId="0" fontId="5" fillId="6" borderId="3" applyAlignment="1" pivotButton="0" quotePrefix="0" xfId="0">
      <alignment horizontal="left" vertical="center" wrapText="1"/>
    </xf>
    <xf numFmtId="0" fontId="18" fillId="6" borderId="1" applyAlignment="1" pivotButton="0" quotePrefix="0" xfId="0">
      <alignment horizontal="center" vertical="center" wrapText="1"/>
    </xf>
    <xf numFmtId="0" fontId="14" fillId="11" borderId="1" applyAlignment="1" pivotButton="0" quotePrefix="0" xfId="0">
      <alignment horizontal="center" vertical="center" wrapText="1"/>
    </xf>
    <xf numFmtId="0" fontId="13" fillId="6" borderId="1" applyAlignment="1" pivotButton="0" quotePrefix="0" xfId="0">
      <alignment horizontal="center" vertical="center" wrapText="1"/>
    </xf>
    <xf numFmtId="0" fontId="14" fillId="11" borderId="4" applyAlignment="1" pivotButton="0" quotePrefix="0" xfId="0">
      <alignment horizontal="center" vertical="center" wrapText="1"/>
    </xf>
    <xf numFmtId="0" fontId="15" fillId="11" borderId="1" applyAlignment="1" pivotButton="0" quotePrefix="0" xfId="0">
      <alignment horizontal="center" vertical="center" wrapText="1"/>
    </xf>
    <xf numFmtId="0" fontId="15" fillId="6" borderId="1" applyAlignment="1" pivotButton="0" quotePrefix="0" xfId="0">
      <alignment horizontal="center" vertical="center" wrapText="1"/>
    </xf>
    <xf numFmtId="0" fontId="15" fillId="11" borderId="4" applyAlignment="1" pivotButton="0" quotePrefix="0" xfId="0">
      <alignment horizontal="center" vertical="center" wrapText="1"/>
    </xf>
    <xf numFmtId="0" fontId="2" fillId="3" borderId="3" applyAlignment="1" pivotButton="0" quotePrefix="0" xfId="0">
      <alignment horizontal="center" vertical="center" wrapText="1"/>
    </xf>
    <xf numFmtId="0" fontId="15" fillId="12" borderId="2" applyAlignment="1" pivotButton="0" quotePrefix="0" xfId="0">
      <alignment horizontal="center" vertical="center" wrapText="1"/>
    </xf>
    <xf numFmtId="0" fontId="15" fillId="3" borderId="2" applyAlignment="1" pivotButton="0" quotePrefix="0" xfId="0">
      <alignment horizontal="center" vertical="center" wrapText="1"/>
    </xf>
    <xf numFmtId="0" fontId="15" fillId="12" borderId="5" applyAlignment="1" pivotButton="0" quotePrefix="0" xfId="0">
      <alignment horizontal="center" vertical="center" wrapText="1"/>
    </xf>
    <xf numFmtId="0" fontId="0" fillId="3" borderId="3" pivotButton="0" quotePrefix="0" xfId="0"/>
    <xf numFmtId="0" fontId="16" fillId="13" borderId="1" applyAlignment="1" pivotButton="0" quotePrefix="0" xfId="0">
      <alignment horizontal="center" vertical="center" wrapText="1"/>
    </xf>
    <xf numFmtId="0" fontId="16" fillId="13" borderId="4" applyAlignment="1" pivotButton="0" quotePrefix="0" xfId="0">
      <alignment horizontal="center" vertical="center" wrapText="1"/>
    </xf>
    <xf numFmtId="0" fontId="5" fillId="6" borderId="7" applyAlignment="1" pivotButton="0" quotePrefix="0" xfId="0">
      <alignment horizontal="left" vertical="center" wrapText="1"/>
    </xf>
    <xf numFmtId="0" fontId="0" fillId="0" borderId="9" pivotButton="0" quotePrefix="0" xfId="0"/>
    <xf numFmtId="0" fontId="17" fillId="14" borderId="9" applyAlignment="1" pivotButton="0" quotePrefix="0" xfId="0">
      <alignment horizontal="center" vertical="center" wrapText="1"/>
    </xf>
    <xf numFmtId="0" fontId="15" fillId="6" borderId="9" applyAlignment="1" pivotButton="0" quotePrefix="0" xfId="0">
      <alignment horizontal="center" vertical="center" wrapText="1"/>
    </xf>
    <xf numFmtId="0" fontId="17" fillId="14" borderId="11" applyAlignment="1" pivotButton="0" quotePrefix="0" xfId="0">
      <alignment horizontal="center" vertical="center" wrapText="1"/>
    </xf>
    <xf numFmtId="0" fontId="2" fillId="15" borderId="1" applyAlignment="1" pivotButton="0" quotePrefix="0" xfId="0">
      <alignment horizontal="left" vertical="center" wrapText="1"/>
    </xf>
    <xf numFmtId="0" fontId="0" fillId="15" borderId="1" pivotButton="0" quotePrefix="0" xfId="0"/>
    <xf numFmtId="0" fontId="5" fillId="16" borderId="1" applyAlignment="1" pivotButton="0" quotePrefix="0" xfId="0">
      <alignment horizontal="left" vertical="center" wrapText="1"/>
    </xf>
    <xf numFmtId="165" fontId="21" fillId="16" borderId="1" applyAlignment="1" pivotButton="0" quotePrefix="0" xfId="0">
      <alignment horizontal="center" vertical="center" wrapText="1"/>
    </xf>
    <xf numFmtId="0" fontId="5" fillId="3" borderId="1" applyAlignment="1" pivotButton="0" quotePrefix="0" xfId="0">
      <alignment horizontal="left" vertical="center" wrapText="1"/>
    </xf>
    <xf numFmtId="165" fontId="22" fillId="16" borderId="1" applyAlignment="1" pivotButton="0" quotePrefix="0" xfId="0">
      <alignment horizontal="center" vertical="center" wrapText="1"/>
    </xf>
    <xf numFmtId="165" fontId="22" fillId="6" borderId="1" applyAlignment="1" pivotButton="0" quotePrefix="0" xfId="0">
      <alignment horizontal="center" vertical="center" wrapText="1"/>
    </xf>
    <xf numFmtId="0" fontId="22" fillId="6" borderId="1" applyAlignment="1" pivotButton="0" quotePrefix="0" xfId="0">
      <alignment horizontal="center" vertical="center" wrapText="1"/>
    </xf>
    <xf numFmtId="0" fontId="21" fillId="16" borderId="1" applyAlignment="1" pivotButton="0" quotePrefix="0" xfId="0">
      <alignment horizontal="center" vertical="center" wrapText="1"/>
    </xf>
    <xf numFmtId="2" fontId="21"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0" fillId="0" borderId="0" pivotButton="0" quotePrefix="0" xfId="0"/>
    <xf numFmtId="0" fontId="19" fillId="0" borderId="0" pivotButton="0" quotePrefix="0" xfId="0"/>
    <xf numFmtId="0" fontId="2" fillId="0" borderId="0" pivotButton="0" quotePrefix="0" xfId="0"/>
  </cellXfs>
  <cellStyles count="1">
    <cellStyle name="Normal" xfId="0" builtinId="0" hidden="0"/>
  </cellStyles>
  <dxfs count="9">
    <dxf>
      <font>
        <color rgb="007F7F7F"/>
      </font>
      <fill>
        <patternFill patternType="solid">
          <fgColor rgb="00BFBFBF"/>
        </patternFill>
      </fill>
    </dxf>
    <dxf>
      <fill>
        <patternFill patternType="solid">
          <fgColor rgb="00D9D9D9"/>
        </patternFill>
      </fill>
    </dxf>
    <dxf>
      <font>
        <b val="1"/>
        <color rgb="009C0006"/>
      </font>
      <fill>
        <patternFill patternType="solid">
          <fgColor rgb="00FF7C80"/>
        </patternFill>
      </fill>
    </dxf>
    <dxf>
      <fill>
        <patternFill patternType="solid">
          <fgColor rgb="00FF7C80"/>
        </patternFill>
      </fill>
    </dxf>
    <dxf>
      <font>
        <b val="1"/>
        <color rgb="009C0006"/>
      </font>
      <fill>
        <patternFill patternType="solid">
          <fgColor rgb="00FFC7CE"/>
        </patternFill>
      </fill>
    </dxf>
    <dxf>
      <font>
        <b val="1"/>
        <color rgb="00006100"/>
      </font>
      <fill>
        <patternFill patternType="solid">
          <fgColor rgb="00C6EFCE"/>
        </patternFill>
      </fill>
    </dxf>
    <dxf>
      <font>
        <b val="1"/>
        <color rgb="009C5700"/>
      </font>
      <fill>
        <patternFill patternType="solid">
          <fgColor rgb="00FFEB9C"/>
        </patternFill>
      </fill>
    </dxf>
    <dxf>
      <fill>
        <patternFill patternType="solid">
          <fgColor rgb="00C00000"/>
        </patternFill>
      </fill>
    </dxf>
    <dxf>
      <fill>
        <patternFill patternType="solid">
          <fgColor rgb="0000B05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Tên dầm chờ nối (S8 / T8): ghi 'THÉP CHỜ / COUPLER NỐI DẦM …' trên MC dọc, shop và tên dầm trong vùng nét khuất.
• Coupler: thép dừng tại mép (L chờ = 0) hoặc kéo ra ngoài mép: 100, hoặc so le 100/300 (½ số thanh 100, ½ số thanh 300).
• So le: 1/2 số thanh chờ L, 1/2 chờ 2L + KC mối nối.
Bản vẽ có nét khuất dầm zone sau, đường MẠCH NGỪNG, dim L chờ; QS_SHOPDAM cắt đúng chiều dài.
Để trống = theo QS_DAMSET.</t>
      </text>
    </comment>
    <comment ref="V4" authorId="0" shapeId="0">
      <text>
        <t>ĐAI CON (nhánh đai bên trong) theo vị trí thanh thép lớp 1 trên, đánh số 1..n từ trái sang phải:
• 2 → đai C (1 nhánh) tại thanh số 2
• 2_4 → đai Q (đai kín) ôm từ thanh 2 đến thanh 4
• 2-4 → đai U từ thanh 2 đến thanh 4
• ghép nhiều loại: 3,2_4 (đai C thanh 3 + đai Q thanh 2..4)
• 0 = không có đai con ; AUTO / trống = tra bảng theo số lượng thép (QS_DAMSET trang 7)
• theo số lượng thép riêng cho dầm: 4:2_3;5:3,2_4 (4 thanh → Q 2..3 ; 5 thanh → C 3 + Q 2..4)
Vùng gối có gia cường nên số thanh khác vùng nhịp → Y4 = Khong để khai báo riêng vùng gối (Y5) và vùng nhịp (Y6).
Chỉ số vượt số thanh thực tế được tự thu về thanh cuối.</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text>
    </comment>
    <comment ref="A30" authorId="0" shapeId="0">
      <text>
        <t>DÒNG 30 (chỉ cột NHỊP): thép vai bò tại dầm giao, vd 2t16.</t>
      </text>
    </comment>
  </commentList>
</comments>
</file>

<file path=xl/comments/comment2.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Tên dầm chờ nối (S8 / T8): ghi 'THÉP CHỜ / COUPLER NỐI DẦM …' trên MC dọc, shop và tên dầm trong vùng nét khuất.
• Coupler: thép dừng tại mép (L chờ = 0) hoặc kéo ra ngoài mép: 100, hoặc so le 100/300 (½ số thanh 100, ½ số thanh 300).
• So le: 1/2 số thanh chờ L, 1/2 chờ 2L + KC mối nối.
Bản vẽ có nét khuất dầm zone sau, đường MẠCH NGỪNG, dim L chờ; QS_SHOPDAM cắt đúng chiều dài.
Để trống = theo QS_DAMSET.</t>
      </text>
    </comment>
    <comment ref="V4" authorId="0" shapeId="0">
      <text>
        <t>ĐAI CON (nhánh đai bên trong) theo vị trí thanh thép lớp 1 trên, đánh số 1..n từ trái sang phải:
• 2 → đai C (1 nhánh) tại thanh số 2
• 2_4 → đai Q (đai kín) ôm từ thanh 2 đến thanh 4
• 2-4 → đai U từ thanh 2 đến thanh 4
• ghép nhiều loại: 3,2_4 (đai C thanh 3 + đai Q thanh 2..4)
• 0 = không có đai con ; AUTO / trống = tra bảng theo số lượng thép (QS_DAMSET trang 7)
• theo số lượng thép riêng cho dầm: 4:2_3;5:3,2_4 (4 thanh → Q 2..3 ; 5 thanh → C 3 + Q 2..4)
Vùng gối có gia cường nên số thanh khác vùng nhịp → Y4 = Khong để khai báo riêng vùng gối (Y5) và vùng nhịp (Y6).
Chỉ số vượt số thanh thực tế được tự thu về thanh cuối.</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text>
    </comment>
    <comment ref="A30" authorId="0" shapeId="0">
      <text>
        <t>DÒNG 30 (chỉ cột NHỊP): thép vai bò tại dầm giao, vd 2t16.</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4472C4"/>
    <outlinePr summaryBelow="1" summaryRight="1"/>
    <pageSetUpPr/>
  </sheetPr>
  <dimension ref="A1:B45"/>
  <sheetViews>
    <sheetView showGridLines="0" tabSelected="0" workbookViewId="0">
      <selection activeCell="A1" sqref="A1"/>
    </sheetView>
  </sheetViews>
  <sheetFormatPr baseColWidth="8" defaultRowHeight="15"/>
  <cols>
    <col width="26" customWidth="1" min="1" max="1"/>
    <col width="120" customWidth="1" min="2" max="2"/>
  </cols>
  <sheetData>
    <row r="1" ht="26" customHeight="1">
      <c r="A1" s="1" t="inlineStr">
        <is>
          <t>HƯỚNG DẪN NHẬP LIỆU QS_DAM V2 (bố cục giống sheet DCE_Pro_Beam)</t>
        </is>
      </c>
    </row>
    <row r="3" ht="71.5" customHeight="1">
      <c r="A3" s="2" t="inlineStr">
        <is>
          <t>CÁCH DÙNG</t>
        </is>
      </c>
      <c r="B3" s="3" t="inlineStr">
        <is>
          <t>1. Mỗi dầm 1 sheet: chuột phải sheet MAU (hoặc sheet ví dụ) → Move or Copy → Create a copy, đổi tên theo dầm.
2. Nhập ô trắng. Chọn ô sẽ hiện gợi ý; ô có ▼ có danh sách chọn (vẫn gõ tay được, trừ ô bắt buộc chọn).
3. Xem dòng 9 (TÌNH TRẠNG SỐ LIỆU) và dòng 44 (KIỂM TRA) – sửa hết ô đỏ.
4. AutoCAD / ZWCAD: để sheet dầm cần vẽ ĐANG MỞ trong Excel → lệnh QS_VEDAM → nguồn Excel → chọn điểm mép TRÊN-TRÁI dầm.
5. QS_SHOPDAM: cắt thép / shop. QS_DAMSET, QS_DAMNOI: cài đặt móc đai, neo, chiều dài nối.</t>
        </is>
      </c>
    </row>
    <row r="4" ht="58" customHeight="1">
      <c r="A4" s="2" t="inlineStr">
        <is>
          <t>TƯƠNG THÍCH DCE</t>
        </is>
      </c>
      <c r="B4" s="3" t="inlineStr">
        <is>
          <t>Vị trí ô nhập giống hệt sheet DCE_Pro_Beam: F2:F8, J2:J8, N2:N8, B11, B12, lưới C11:AG30 (Gối 1 = cột C, Nhịp 1 = cột D ...).
→ Có thể copy nguyên vùng C2:N8 và B11:AG30 từ file DCE (DAM.xlsm) dán vào (Paste Values) là dùng được.
Ô A1 = QS_DAM_V2 là mã nhận dạng – không xóa. QS_DAM vẫn đọc được sheet DCE_Pro_Beam và sheet QS_DAM_V1 cũ.</t>
        </is>
      </c>
    </row>
    <row r="5" ht="139" customHeight="1">
      <c r="A5" s="2" t="inlineStr">
        <is>
          <t>PHẦN MỞ RỘNG QS</t>
        </is>
      </c>
      <c r="B5" s="3" t="inlineStr">
        <is>
          <t>• THÉP CHỜ 2 ĐẦU DẦM (S3:T7): kiểu (Khong / Cho thang / Coupler), lớp (TBG, TB, T, B), thanh (Tat ca / Chay suot), L chờ (AUTO / 40d / 1200; coupler 0 / 100 / 100/300 so le), tên dầm chờ nối (S8:T8), so le.
• TÙY CHỌN SÀN (Y2:Y3): tai sàn 2 ben / Trai / Phai / Khong, sàn lật – dùng khi F7 chỉ là số (nhập mã DCE 150/1, _150 thì bỏ qua Y2:Y3).
• Dòng 33-35: tọa độ trục, KC trục-trục tính từ bề rộng gối + Ltt + lệch trục; nhập KC trục mặt bằng (dòng 34) → Ltt suy ra (dòng 35, vàng nếu lệch Ltt đang nhập).
• Dòng 37-42: kiểm tra As (cm²) bố trí / yêu cầu – thép chạy suốt hiệu dụng (có tính đổi thép dòng 23/25) + tăng cường lớp 1..5; gối tách trái/phải.
• Dòng 44 + dòng 9: báo thiếu KT gối, thiếu tên trục, thiếu đai, Ltt sai, nhịp đứt quãng, ký hiệu thép sai (ô thép sai tô đỏ).</t>
        </is>
      </c>
    </row>
    <row r="6" ht="44.5" customHeight="1">
      <c r="A6" s="2" t="inlineStr">
        <is>
          <t>THÉP CHỜ TRÊN BẢN VẼ</t>
        </is>
      </c>
      <c r="B6" s="3" t="inlineStr">
        <is>
          <t>• QS_VEDAM: nét khuất dầm zone sau, đường MẠCH NGỪNG, dim L chờ (chờ thẳng) hoặc ký hiệu COUPLER.
• QS_SHOPDAM: thanh chờ thẳng được cắt đủ chiều dài có đoạn chờ; dải shop có đường MẠCH NGỪNG; đầu thanh coupler vẽ ký hiệu,
  bảng thống kê thêm dòng COUPLER theo đường kính (số cái).</t>
        </is>
      </c>
    </row>
    <row r="7" ht="31" customHeight="1">
      <c r="A7" s="2" t="inlineStr">
        <is>
          <t>BỐ CỤC SHOP</t>
        </is>
      </c>
      <c r="B7" s="3" t="inlineStr">
        <is>
          <t>Mặc định giống bản vẽ DCE: shop thép TRÊN phía trên MC dọc; dưới MC dọc là dải THÉP GIÁ sát trên dải THÉP DƯỚI;
shop THÉP ĐAI bên phải khung shop trên (1:1, dim từng đoạn, tag SH / L). Thay đổi ở QS_DAMSET → trang 5 (Bố cục shop).</t>
        </is>
      </c>
    </row>
    <row r="8" ht="125.5" customHeight="1">
      <c r="A8" s="2" t="inlineStr">
        <is>
          <t>LẤY TỪ MẶT BẰNG KC</t>
        </is>
      </c>
      <c r="B8" s="3" t="inlineStr">
        <is>
          <t>Lệnh QS_DAMMB (AutoCAD): mở file này (có sheet MAU) → trên MBKC pick điểm ĐẦU và CUỐI dầm trên tim dầm (ngoài 2 gối biên).
Lệnh tự nhận dạng: bề rộng b (nét biên dầm), gối (cột / vách cắt tim; đầu dầm gối lên dầm → '400x700'), trục + lệch trục,
dầm phụ trong nhịp (vị trí từ tim gối, b x h từ text), dầm giao tại cột, tên + b x h dầm từ text 'B137 (400x1000)'
→ copy sheet MAU thành sheet mới tên dầm và ghi F2:F4, dòng 11, 24–29. Thép chủ, tăng cường… nhập tiếp bằng tay.
Trục: tùy chọn [Truc] của lệnh → chọn BLOCK trục (tên trục = thuộc tính / text trong block / text trong bóng trục) → pick 1 đường trục (layer trục)
→ pick 1 tên trục dạng text (layer tên trục, Enter nếu đã dùng block). [Mau] = thêm layer cột, dầm, text. Sửa ở QS_DAMSET trang 6.
Luôn kiểm tra lại số liệu trước khi vẽ.</t>
        </is>
      </c>
    </row>
    <row r="9" ht="112" customHeight="1">
      <c r="A9" s="2" t="inlineStr">
        <is>
          <t>ĐAI CON (Y4:Y6)</t>
        </is>
      </c>
      <c r="B9" s="3" t="inlineStr">
        <is>
          <t>Nhánh đai bên trong theo số thứ tự thanh lớp 1 trên (1..n từ trái sang phải): 2 = đai C tại thanh 2 ; 2_4 = đai Q (kín) ôm thanh 2..4 ;
2-4 = đai U thanh 2..4 ; ghép 3,2_4 ; 0 = không có ; AUTO / trống = tự động.
Theo số lượng thép (số thanh lớp 1 trên tại mặt cắt): 4:2_3;5:3,2_4 ; số thanh không có trong bảng → bảng QS_DAMSET trang 7.
AUTO / trống → bảng QS_DAMSET trang 7 (2 … 10 thanh) ; bảng ghi AUTO → tự động cũ (1 nhánh mỗi thanh giữa khi ≥ 4 thanh).
Y4 = Co: Y5 áp dụng cả dầm. Y4 = Khong: Y5 cho vùng gối (vùng đai dày 2 đầu nhịp), Y6 cho vùng nhịp. Trống = QS_DAMSET trang 7.
Đường kính / bước đai con = đai trong dòng 27 nếu có, không thì theo đai chính của vùng.</t>
        </is>
      </c>
    </row>
    <row r="10" ht="31" customHeight="1">
      <c r="A10" s="2" t="inlineStr">
        <is>
          <t>KÝ HIỆU THÉP</t>
        </is>
      </c>
      <c r="B10" s="3" t="inlineStr">
        <is>
          <t>3t28 = 3 thanh Ø28 (t, T, d, f, Ø, %%c đều được). 2t28+1t25 = nhiều loại. '-' = không có.
Gối: 3t28;5t28 = trái 3t28 / phải 5t28 ; ;2t28 = chỉ bên phải ; 2t25; = chỉ bên trái.</t>
        </is>
      </c>
    </row>
    <row r="11" ht="112" customHeight="1">
      <c r="A11" s="2" t="inlineStr">
        <is>
          <t>DÒNG 11 (B11 / lưới)</t>
        </is>
      </c>
      <c r="B11" s="3" t="inlineStr">
        <is>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is>
      </c>
    </row>
    <row r="12" ht="71.5" customHeight="1">
      <c r="A12" s="2" t="inlineStr">
        <is>
          <t>DÒNG 12 (B12 / lưới)</t>
        </is>
      </c>
      <c r="B12" s="3" t="inlineStr">
        <is>
          <t>DÒNG 12
• Ô B12: thép chạy suốt DƯỚI, vd 3t28.
• Cột GỐI: bước đai trong cột (mm), vd 200 hoặc +200.
• Cột NHỊP: bề rộng nhịp nếu khác b dầm.
(Móng băng dạng 2t16/12a100/12a100: chưa hỗ trợ.)</t>
        </is>
      </c>
    </row>
    <row r="13" ht="58" customHeight="1">
      <c r="A13" s="2" t="inlineStr">
        <is>
          <t>DÒNG 13-17</t>
        </is>
      </c>
      <c r="B13" s="3" t="inlineStr">
        <is>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is>
      </c>
    </row>
    <row r="14" ht="44.5" customHeight="1">
      <c r="A14" s="2" t="inlineStr">
        <is>
          <t>DÒNG 18-22</t>
        </is>
      </c>
      <c r="B14" s="3" t="inlineStr">
        <is>
          <t>THÉP TĂNG CƯỜNG LỚP DƯỚI (dòng 22 = lớp 1 ... 18 = lớp 5, giống DCE)
• Cột NHỊP: thép tăng cường bụng nhịp phía dưới.
• Cột GỐI: thép tăng cường dưới tại gối.</t>
        </is>
      </c>
    </row>
    <row r="15" ht="85" customHeight="1">
      <c r="A15" s="2" t="inlineStr">
        <is>
          <t>DÒNG 23</t>
        </is>
      </c>
      <c r="B15" s="3" t="inlineStr">
        <is>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is>
      </c>
    </row>
    <row r="16" ht="44.5" customHeight="1">
      <c r="A16" s="2" t="inlineStr">
        <is>
          <t>DÒNG 24</t>
        </is>
      </c>
      <c r="B16" s="3" t="inlineStr">
        <is>
          <t>DÒNG 24
• GỐI: kích thước dầm giao tại cột, vd 400x600.
• NHỊP: thép giá. 2x2t12 = 2 lớp x 2t12; 4t12 = 2 lớp x 2t12.</t>
        </is>
      </c>
    </row>
    <row r="17" ht="44.5" customHeight="1">
      <c r="A17" s="2" t="inlineStr">
        <is>
          <t>DÒNG 25</t>
        </is>
      </c>
      <c r="B17" s="3" t="inlineStr">
        <is>
          <t>DÒNG 25
• GỐI: độ lệch dầm giao tại cột so với tim cột (mm).
• NHỊP: giật mép dưới + đổi thép chạy DƯỚI (cú pháp như dòng 23).</t>
        </is>
      </c>
    </row>
    <row r="18" ht="44.5" customHeight="1">
      <c r="A18" s="2" t="inlineStr">
        <is>
          <t>DÒNG 26</t>
        </is>
      </c>
      <c r="B18" s="3" t="inlineStr">
        <is>
          <t>DÒNG 26
• GỐI: tên trục (nhiều dòng thì lấy dòng cuối).
• NHỊP: thép đai Ø-bước gối/bước nhịp, vd 10-100/200; 10-100 = rải đều.</t>
        </is>
      </c>
    </row>
    <row r="19" ht="71.5" customHeight="1">
      <c r="A19" s="2" t="inlineStr">
        <is>
          <t>DÒNG 27</t>
        </is>
      </c>
      <c r="B19" s="3" t="inlineStr">
        <is>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is>
      </c>
    </row>
    <row r="20" ht="44.5" customHeight="1">
      <c r="A20" s="2" t="inlineStr">
        <is>
          <t>DÒNG 28</t>
        </is>
      </c>
      <c r="B20" s="3" t="inlineStr">
        <is>
          <t>DÒNG 28
• GỐI: KT dầm giao nằm trong NHỊP BÊN PHẢI gối (400x600 hoặc 400x600/300x600).
• NHỊP: T.LINK = đai xoắn (U bao + C mũ). Mã giật sàn DCE (T.LINK/-100/-200/1) được lưu, chưa vẽ.</t>
        </is>
      </c>
    </row>
    <row r="21" ht="58" customHeight="1">
      <c r="A21" s="2" t="inlineStr">
        <is>
          <t>DÒNG 29</t>
        </is>
      </c>
      <c r="B21" s="3" t="inlineStr">
        <is>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is>
      </c>
    </row>
    <row r="22" ht="18" customHeight="1">
      <c r="A22" s="2" t="inlineStr">
        <is>
          <t>DÒNG 30</t>
        </is>
      </c>
      <c r="B22" s="3" t="inlineStr">
        <is>
          <t>DÒNG 30 (chỉ cột NHỊP): thép vai bò tại dầm giao, vd 2t16.</t>
        </is>
      </c>
    </row>
    <row r="23" ht="18" customHeight="1">
      <c r="A23" s="2" t="inlineStr">
        <is>
          <t>F2 – Tên dầm</t>
        </is>
      </c>
      <c r="B23" s="3" t="inlineStr">
        <is>
          <t>Tên dầm (ghi trên bản vẽ, tên file CSV).</t>
        </is>
      </c>
    </row>
    <row r="24" ht="31" customHeight="1">
      <c r="A24" s="2" t="inlineStr">
        <is>
          <t>F3 – b dầm (mm)</t>
        </is>
      </c>
      <c r="B24" s="3" t="inlineStr">
        <is>
          <t>b dầm (mm). Nhịp có b khác: nhập ở dòng 12 cột nhịp.
Móng băng dạng 300/500/500: chưa hỗ trợ (lấy số đầu).</t>
        </is>
      </c>
    </row>
    <row r="25" ht="18" customHeight="1">
      <c r="A25" s="2" t="inlineStr">
        <is>
          <t>F4 – h dầm (mm)</t>
        </is>
      </c>
      <c r="B25" s="3" t="inlineStr">
        <is>
          <t>Chiều cao dầm (mm), vd 1000.</t>
        </is>
      </c>
    </row>
    <row r="26" ht="44.5" customHeight="1">
      <c r="A26" s="2" t="inlineStr">
        <is>
          <t>F5 – Số cấu kiện</t>
        </is>
      </c>
      <c r="B26" s="3" t="inlineStr">
        <is>
          <t>Số cấu kiện giống nhau (nhân số lượng thống kê).
Thêm /T, /B: đặt mối nối bắt buộc cho thép chạy suốt TRÊN / DƯỚI ở mọi nhịp.
Ví dụ: 1/T ; 1/T/B</t>
        </is>
      </c>
    </row>
    <row r="27" ht="18" customHeight="1">
      <c r="A27" s="2" t="inlineStr">
        <is>
          <t>F6 – Cao trình dầm (m)</t>
        </is>
      </c>
      <c r="B27" s="3" t="inlineStr">
        <is>
          <t>Cao độ mặt dầm (m), vd -0.100.</t>
        </is>
      </c>
    </row>
    <row r="28" ht="71.5" customHeight="1">
      <c r="A28" s="2" t="inlineStr">
        <is>
          <t>F7 – h sàn (mm)</t>
        </is>
      </c>
      <c r="B28" s="3" t="inlineStr">
        <is>
          <t>Chiều dày sàn (mm).
Chỉ nhập số: phía sàn / sàn lật lấy theo ô Y2, Y3.
Nhập mã DCE thì bỏ qua Y2:Y3:
150 = 2 tai sàn · 150/0 = không tai · 150/1 = tai trái · 150/2 = tai phải
_150 = sàn lật (dầm úp) · _150/1 ...</t>
        </is>
      </c>
    </row>
    <row r="29" ht="18" customHeight="1">
      <c r="A29" s="2" t="inlineStr">
        <is>
          <t>F8 – Dầm ngắn L(m) &lt;</t>
        </is>
      </c>
      <c r="B29" s="3" t="inlineStr">
        <is>
          <t>Nhịp có Ltt nhỏ hơn giá trị này (m): đai rải đều 1 bước.</t>
        </is>
      </c>
    </row>
    <row r="30" ht="139" customHeight="1">
      <c r="A30" s="2" t="inlineStr">
        <is>
          <t>J2 – Thép gia cường gối</t>
        </is>
      </c>
      <c r="B30" s="3" t="inlineStr">
        <is>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is>
      </c>
    </row>
    <row r="31" ht="71.5" customHeight="1">
      <c r="A31" s="2" t="inlineStr">
        <is>
          <t>J3 – Thép gia cường nhịp</t>
        </is>
      </c>
      <c r="B31" s="3" t="inlineStr">
        <is>
          <t>HỆ SỐ THÉP GIA CƯỜNG NHỊP (J3), cùng quy ước dấu / \ | như J2
a = thép TC dưới bụng nhịp: L - 2aL
b = thép TC dưới tại gối: vươn bL
c = nhịp đầu / cuối: đầu thanh TC dưới cách mép gối biên cL
Để trống = lấy QS_DAMSET.</t>
        </is>
      </c>
    </row>
    <row r="32" ht="31" customHeight="1">
      <c r="A32" s="2" t="inlineStr">
        <is>
          <t>J4 – Neo thép trên (d)</t>
        </is>
      </c>
      <c r="B32" s="3" t="inlineStr">
        <is>
          <t>40 = 40d · 10;12-30d/40d · 10-500mm/12-600mm/...
Trống = QS_DAMSET</t>
        </is>
      </c>
    </row>
    <row r="33" ht="31" customHeight="1">
      <c r="A33" s="2" t="inlineStr">
        <is>
          <t>J5 – Neo thép dưới (d)</t>
        </is>
      </c>
      <c r="B33" s="3" t="inlineStr">
        <is>
          <t>40 = 40d · 10;12-30d/40d · 10-350mm/12-420mm/...
Trống = QS_DAMSET</t>
        </is>
      </c>
    </row>
    <row r="34" ht="31" customHeight="1">
      <c r="A34" s="2" t="inlineStr">
        <is>
          <t>J6 – Neo thép giá (d)</t>
        </is>
      </c>
      <c r="B34" s="3" t="inlineStr">
        <is>
          <t>40 = 40d · 10;12-30d/40d · 10-350mm/...
Trống = QS_DAMSET</t>
        </is>
      </c>
    </row>
    <row r="35" ht="18" customHeight="1">
      <c r="A35" s="2" t="inlineStr">
        <is>
          <t>J7 – Tên trục MCN dầm</t>
        </is>
      </c>
      <c r="B35" s="3" t="inlineStr">
        <is>
          <t>Tên trục ghi ở mặt cắt ngang (lưu, chưa dùng khi vẽ).</t>
        </is>
      </c>
    </row>
    <row r="36" ht="31" customHeight="1">
      <c r="A36" s="2" t="inlineStr">
        <is>
          <t>J8 – Lệch trục / Ẩn MC dọc</t>
        </is>
      </c>
      <c r="B36" s="3" t="inlineStr">
        <is>
          <t>Ltt = thêm dim nhịp thông thủy.
(100, Y, 100/Y: lưu theo DCE, chưa dùng.)</t>
        </is>
      </c>
    </row>
    <row r="37" ht="18" customHeight="1">
      <c r="A37" s="2" t="inlineStr">
        <is>
          <t>N2 – ĐK thép C đỡ lớp TC</t>
        </is>
      </c>
      <c r="B37" s="3" t="inlineStr">
        <is>
          <t>Ø thép C đỡ lớp tăng cường (mm). Trống = Ø đai.</t>
        </is>
      </c>
    </row>
    <row r="38" ht="71.5" customHeight="1">
      <c r="A38" s="2" t="inlineStr">
        <is>
          <t>N3 – KC thép C đỡ lớp TC</t>
        </is>
      </c>
      <c r="B38" s="3" t="inlineStr">
        <is>
          <t>KHOẢNG RẢI THÉP C ĐỠ LỚP TĂNG CƯỜNG (mm)
&gt; 0 : tự phân biệt lúc cần vẽ (có ≥ 2 lớp)
= 0 : không vẽ
&lt; 0 : luôn vẽ khi số thép dọc &gt; 2
1500mm : luôn vẽ khi số thép dọc ≥ 2</t>
        </is>
      </c>
    </row>
    <row r="39" ht="18" customHeight="1">
      <c r="A39" s="2" t="inlineStr">
        <is>
          <t>N4 – Đai C nối giữa thép giá</t>
        </is>
      </c>
      <c r="B39" s="3" t="inlineStr">
        <is>
          <t>None / So le / So le 2 / Toàn bộ</t>
        </is>
      </c>
    </row>
    <row r="40" ht="18" customHeight="1">
      <c r="A40" s="2" t="inlineStr">
        <is>
          <t>N5 – ĐK đai C nối 2 thép giá</t>
        </is>
      </c>
      <c r="B40" s="3" t="inlineStr">
        <is>
          <t>Ø đai C nối thép giá (mm). Trống = Ø đai.</t>
        </is>
      </c>
    </row>
    <row r="41" ht="31" customHeight="1">
      <c r="A41" s="2" t="inlineStr">
        <is>
          <t>N6 – KC đai C nối 2 thép giá</t>
        </is>
      </c>
      <c r="B41" s="3" t="inlineStr">
        <is>
          <t>400 = móc đai C quay LÊN · 400mm = quay XUỐNG
Trống = theo bước đai chính.</t>
        </is>
      </c>
    </row>
    <row r="42" ht="18" customHeight="1">
      <c r="A42" s="2" t="inlineStr">
        <is>
          <t>N7 – Giật cao độ dầm</t>
        </is>
      </c>
      <c r="B42" s="3" t="inlineStr">
        <is>
          <t>Mép trên / Mép dưới / Tùy chỉnh (lưu, chưa dùng khi vẽ).</t>
        </is>
      </c>
    </row>
    <row r="43" ht="18" customHeight="1">
      <c r="A43" s="2" t="inlineStr">
        <is>
          <t>N8 – Dày BT lót dưới dầm</t>
        </is>
      </c>
      <c r="B43" s="3" t="inlineStr">
        <is>
          <t>100 = BT lót dày 100 · 100/50 = dày 100, mở rộng mỗi bên 50 (mm).</t>
        </is>
      </c>
    </row>
    <row r="44" ht="31" customHeight="1">
      <c r="A44" s="2" t="inlineStr">
        <is>
          <t>CHƯA HỖ TRỢ</t>
        </is>
      </c>
      <c r="B44" s="3" t="inlineStr">
        <is>
          <t>Giật cấp mép trên / dưới (dòng 23, 25 số đầu ≠ 0), đổi tiết diện, móng băng (F3/F4/B12 dạng a/b/c), giật sàn T.LINK/-100/-200: QS_DAM cảnh báo và bỏ qua / chỉ đổi thép. Các ô J7, N7, J8 (trừ Ltt) được lưu theo DCE nhưng chưa dùng khi vẽ.</t>
        </is>
      </c>
    </row>
    <row r="45" ht="31" customHeight="1">
      <c r="A45" s="2" t="inlineStr">
        <is>
          <t>GIÁ TRỊ MẶC ĐỊNH</t>
        </is>
      </c>
      <c r="B45" s="3" t="inlineStr">
        <is>
          <t>Neo, hệ số vùng, móc đai, chiều dài nối để trống = lấy theo QS_DAMSET. Các giá trị mặc định CHƯA XÁC NHẬN – kỹ sư phụ trách kiểm tra theo thuyết minh dự án trước khi phát hành.</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FFC000"/>
    <outlinePr summaryBelow="1" summaryRight="1"/>
    <pageSetUpPr fitToPage="1"/>
  </sheetPr>
  <dimension ref="A1:AG126"/>
  <sheetViews>
    <sheetView showGridLines="0" tabSelected="1"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 / ĐAI CON</t>
        </is>
      </c>
      <c r="W1" s="6" t="n"/>
      <c r="X1" s="6" t="n"/>
      <c r="Y1" s="6" t="n"/>
    </row>
    <row r="2" ht="17" customHeight="1">
      <c r="C2" s="8" t="inlineStr">
        <is>
          <t>Tên dầm:</t>
        </is>
      </c>
      <c r="D2" s="9" t="n"/>
      <c r="E2" s="9" t="n"/>
      <c r="F2" s="10" t="inlineStr">
        <is>
          <t>L1.B137-1,2,3,4,5,6,chờ 2,6</t>
        </is>
      </c>
      <c r="G2" s="8" t="inlineStr">
        <is>
          <t>Thép gia cường gối:</t>
        </is>
      </c>
      <c r="H2" s="9" t="n"/>
      <c r="I2" s="9" t="n"/>
      <c r="J2" s="10" t="inlineStr">
        <is>
          <t>0.25|0.25|0.15</t>
        </is>
      </c>
      <c r="K2" s="8" t="inlineStr">
        <is>
          <t>ĐK thép C đỡ lớp TC:</t>
        </is>
      </c>
      <c r="L2" s="9" t="n"/>
      <c r="M2" s="9" t="n"/>
      <c r="N2" s="10" t="n">
        <v>32</v>
      </c>
      <c r="P2" s="11" t="inlineStr">
        <is>
          <t>Mạch ngừng / zone sau</t>
        </is>
      </c>
      <c r="Q2" s="6" t="n"/>
      <c r="R2" s="6" t="n"/>
      <c r="S2" s="12" t="inlineStr">
        <is>
          <t>TRÁI</t>
        </is>
      </c>
      <c r="T2" s="12" t="inlineStr">
        <is>
          <t>PHẢI</t>
        </is>
      </c>
      <c r="V2" s="13" t="inlineStr">
        <is>
          <t>Tai sàn (phía có sàn)</t>
        </is>
      </c>
      <c r="W2" s="6" t="n"/>
      <c r="X2" s="6" t="n"/>
      <c r="Y2" s="14" t="inlineStr">
        <is>
          <t>2 ben</t>
        </is>
      </c>
    </row>
    <row r="3" ht="17" customHeight="1">
      <c r="C3" s="8" t="inlineStr">
        <is>
          <t>b dầm (mm):</t>
        </is>
      </c>
      <c r="D3" s="9" t="n"/>
      <c r="E3" s="9" t="n"/>
      <c r="F3" s="10" t="n">
        <v>400</v>
      </c>
      <c r="G3" s="8" t="inlineStr">
        <is>
          <t>Thép gia cường nhịp:</t>
        </is>
      </c>
      <c r="H3" s="9" t="n"/>
      <c r="I3" s="9" t="n"/>
      <c r="J3" s="10" t="inlineStr">
        <is>
          <t>0.15\0.25\0.1</t>
        </is>
      </c>
      <c r="K3" s="8" t="inlineStr">
        <is>
          <t>KC thép C đỡ lớp TC:</t>
        </is>
      </c>
      <c r="L3" s="9" t="n"/>
      <c r="M3" s="9" t="n"/>
      <c r="N3" s="10" t="inlineStr">
        <is>
          <t>-1500</t>
        </is>
      </c>
      <c r="P3" s="13" t="inlineStr">
        <is>
          <t>Kiểu thép chờ</t>
        </is>
      </c>
      <c r="Q3" s="6" t="n"/>
      <c r="R3" s="6" t="n"/>
      <c r="S3" s="14" t="inlineStr">
        <is>
          <t>Khong</t>
        </is>
      </c>
      <c r="T3" s="14" t="inlineStr">
        <is>
          <t>Khong</t>
        </is>
      </c>
      <c r="V3" s="13" t="inlineStr">
        <is>
          <t>Sàn lật (dầm úp)</t>
        </is>
      </c>
      <c r="W3" s="6" t="n"/>
      <c r="X3" s="6" t="n"/>
      <c r="Y3" s="14" t="inlineStr">
        <is>
          <t>Khong</t>
        </is>
      </c>
    </row>
    <row r="4" ht="17" customHeight="1">
      <c r="A4" s="15" t="inlineStr">
        <is>
          <t>NHẬP LIỆU DẦM – QS_VEDAM / QS_SHOPDAM</t>
        </is>
      </c>
      <c r="C4" s="8" t="inlineStr">
        <is>
          <t>h dầm (mm):</t>
        </is>
      </c>
      <c r="D4" s="9" t="n"/>
      <c r="E4" s="9" t="n"/>
      <c r="F4" s="10" t="n">
        <v>1000</v>
      </c>
      <c r="G4" s="8" t="inlineStr">
        <is>
          <t>Neo thép trên (d):</t>
        </is>
      </c>
      <c r="H4" s="9" t="n"/>
      <c r="I4" s="9" t="n"/>
      <c r="J4" s="10" t="inlineStr">
        <is>
          <t>10-500mm/12-600mm/14-690mm/16-790mm/18-890mm/20-990mm/22-1090mm/25-1230mm/28-1380mm/32-1580mm</t>
        </is>
      </c>
      <c r="K4" s="8" t="inlineStr">
        <is>
          <t>Đai C nối giữa thép giá:</t>
        </is>
      </c>
      <c r="L4" s="9" t="n"/>
      <c r="M4" s="9" t="n"/>
      <c r="N4" s="10" t="inlineStr">
        <is>
          <t>So le 2</t>
        </is>
      </c>
      <c r="P4" s="13" t="inlineStr">
        <is>
          <t>Lớp được chờ</t>
        </is>
      </c>
      <c r="Q4" s="6" t="n"/>
      <c r="R4" s="6" t="n"/>
      <c r="S4" s="14" t="inlineStr">
        <is>
          <t>TB</t>
        </is>
      </c>
      <c r="T4" s="14" t="inlineStr">
        <is>
          <t>TB</t>
        </is>
      </c>
      <c r="V4" s="13" t="inlineStr">
        <is>
          <t>Đai con đi hết dầm</t>
        </is>
      </c>
      <c r="W4" s="6" t="n"/>
      <c r="X4" s="6" t="n"/>
      <c r="Y4" s="14" t="n"/>
    </row>
    <row r="5" ht="17" customHeight="1">
      <c r="A5" s="16" t="inlineStr">
        <is>
          <t>Nguyễn Xuân Phát
banhbaonxp@gmail.com
QS_DAM v3.1</t>
        </is>
      </c>
      <c r="C5" s="8" t="inlineStr">
        <is>
          <t>Số cấu kiện:</t>
        </is>
      </c>
      <c r="D5" s="9" t="n"/>
      <c r="E5" s="9" t="n"/>
      <c r="F5" s="10" t="inlineStr">
        <is>
          <t>1</t>
        </is>
      </c>
      <c r="G5" s="8" t="inlineStr">
        <is>
          <t>Neo thép dưới (d):</t>
        </is>
      </c>
      <c r="H5" s="9" t="n"/>
      <c r="I5" s="9" t="n"/>
      <c r="J5" s="10" t="inlineStr">
        <is>
          <t>10-350mm/12-420mm/14-480mm/16-550mm/18-620mm/20-690mm/22-760mm/25-860mm/28-960mm/32-1100mm</t>
        </is>
      </c>
      <c r="K5" s="8" t="inlineStr">
        <is>
          <t>ĐK đai C nối 2 thép giá:</t>
        </is>
      </c>
      <c r="L5" s="9" t="n"/>
      <c r="M5" s="9" t="n"/>
      <c r="N5" s="10" t="n">
        <v>10</v>
      </c>
      <c r="P5" s="13" t="inlineStr">
        <is>
          <t>Thanh được chờ</t>
        </is>
      </c>
      <c r="Q5" s="6" t="n"/>
      <c r="R5" s="6" t="n"/>
      <c r="S5" s="14" t="inlineStr">
        <is>
          <t>Tat ca</t>
        </is>
      </c>
      <c r="T5" s="14" t="inlineStr">
        <is>
          <t>Tat ca</t>
        </is>
      </c>
      <c r="V5" s="13" t="inlineStr">
        <is>
          <t>Đai con toàn dầm / vùng gối</t>
        </is>
      </c>
      <c r="W5" s="6" t="n"/>
      <c r="X5" s="6" t="n"/>
      <c r="Y5" s="17" t="n"/>
    </row>
    <row r="6" ht="17" customHeight="1">
      <c r="C6" s="8" t="inlineStr">
        <is>
          <t>Cao trình dầm (m):</t>
        </is>
      </c>
      <c r="D6" s="9" t="n"/>
      <c r="E6" s="9" t="n"/>
      <c r="F6" s="18" t="n">
        <v>-0.1</v>
      </c>
      <c r="G6" s="8" t="inlineStr">
        <is>
          <t>Neo thép giá (d):</t>
        </is>
      </c>
      <c r="H6" s="9" t="n"/>
      <c r="I6" s="9" t="n"/>
      <c r="J6" s="10" t="inlineStr">
        <is>
          <t>10-350mm/12-420mm/14-480mm/16-550mm/18-620mm/20-690mm/22-760mm/25-860mm/28-960mm/32-1100mm</t>
        </is>
      </c>
      <c r="K6" s="8" t="inlineStr">
        <is>
          <t>KC đai C nối 2 thép giá:</t>
        </is>
      </c>
      <c r="L6" s="9" t="n"/>
      <c r="M6" s="9" t="n"/>
      <c r="N6" s="10" t="inlineStr">
        <is>
          <t>400</t>
        </is>
      </c>
      <c r="P6" s="13" t="inlineStr">
        <is>
          <t>L chờ</t>
        </is>
      </c>
      <c r="Q6" s="6" t="n"/>
      <c r="R6" s="6" t="n"/>
      <c r="S6" s="14" t="inlineStr">
        <is>
          <t>AUTO</t>
        </is>
      </c>
      <c r="T6" s="14" t="inlineStr">
        <is>
          <t>AUTO</t>
        </is>
      </c>
      <c r="V6" s="13" t="inlineStr">
        <is>
          <t>Đai con vùng nhịp</t>
        </is>
      </c>
      <c r="W6" s="6" t="n"/>
      <c r="X6" s="6" t="n"/>
      <c r="Y6" s="17" t="n"/>
    </row>
    <row r="7" ht="17" customHeight="1">
      <c r="C7" s="8" t="inlineStr">
        <is>
          <t>h sàn (mm):</t>
        </is>
      </c>
      <c r="D7" s="9" t="n"/>
      <c r="E7" s="9" t="n"/>
      <c r="F7" s="10" t="n">
        <v>200</v>
      </c>
      <c r="G7" s="8" t="inlineStr">
        <is>
          <t>Tên trục MCN dầm:</t>
        </is>
      </c>
      <c r="H7" s="9" t="n"/>
      <c r="I7" s="9" t="n"/>
      <c r="J7" s="10" t="n"/>
      <c r="K7" s="8" t="inlineStr">
        <is>
          <t>Giật cao độ dầm:</t>
        </is>
      </c>
      <c r="L7" s="9" t="n"/>
      <c r="M7" s="9" t="n"/>
      <c r="N7" s="10" t="inlineStr">
        <is>
          <t>Mép dưới</t>
        </is>
      </c>
      <c r="P7" s="13" t="inlineStr">
        <is>
          <t>Chờ so le 50%</t>
        </is>
      </c>
      <c r="Q7" s="6" t="n"/>
      <c r="R7" s="6" t="n"/>
      <c r="S7" s="14" t="inlineStr">
        <is>
          <t>Khong</t>
        </is>
      </c>
      <c r="T7" s="14" t="inlineStr">
        <is>
          <t>Khong</t>
        </is>
      </c>
    </row>
    <row r="8" ht="17" customHeight="1">
      <c r="A8" s="19" t="inlineStr">
        <is>
          <t>Ô trắng = nhập · ▼ = có danh sách</t>
        </is>
      </c>
      <c r="C8" s="8" t="inlineStr">
        <is>
          <t>Dầm ngắn L(m) &lt;</t>
        </is>
      </c>
      <c r="D8" s="9" t="n"/>
      <c r="E8" s="9" t="n"/>
      <c r="F8" s="10" t="n">
        <v>2.5</v>
      </c>
      <c r="G8" s="8" t="inlineStr">
        <is>
          <t>Lệch trục / Ẩn MC dọc:</t>
        </is>
      </c>
      <c r="H8" s="9" t="n"/>
      <c r="I8" s="9" t="n"/>
      <c r="J8" s="10" t="n"/>
      <c r="K8" s="8" t="inlineStr">
        <is>
          <t>Dày BT lót dưới dầm:</t>
        </is>
      </c>
      <c r="L8" s="9" t="n"/>
      <c r="M8" s="9" t="n"/>
      <c r="N8" s="10" t="n"/>
      <c r="P8" s="13" t="inlineStr">
        <is>
          <t>Tên dầm chờ nối</t>
        </is>
      </c>
      <c r="Q8" s="6" t="n"/>
      <c r="R8" s="6" t="n"/>
      <c r="S8" s="14" t="inlineStr"/>
      <c r="T8" s="14" t="inlineStr"/>
    </row>
    <row r="9">
      <c r="A9" s="20" t="inlineStr">
        <is>
          <t>TÌNH TRẠNG SỐ LIỆU:</t>
        </is>
      </c>
      <c r="B9" s="21" t="n"/>
      <c r="C9" s="22">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c r="AA9" s="23" t="n"/>
      <c r="AB9" s="23" t="n"/>
      <c r="AC9" s="23" t="n"/>
      <c r="AD9" s="23" t="n"/>
      <c r="AE9" s="23" t="n"/>
      <c r="AF9" s="23" t="n"/>
      <c r="AG9" s="23" t="n"/>
    </row>
    <row r="10" ht="18" customHeight="1">
      <c r="A10" s="24" t="inlineStr">
        <is>
          <t>HẠNG MỤC</t>
        </is>
      </c>
      <c r="B10" s="25" t="inlineStr">
        <is>
          <t>Chạy suốt</t>
        </is>
      </c>
      <c r="C10" s="26" t="inlineStr">
        <is>
          <t>Gối 1</t>
        </is>
      </c>
      <c r="D10" s="27" t="inlineStr">
        <is>
          <t>Nhịp 1</t>
        </is>
      </c>
      <c r="E10" s="26" t="inlineStr">
        <is>
          <t>Gối 2</t>
        </is>
      </c>
      <c r="F10" s="27" t="inlineStr">
        <is>
          <t>Nhịp 2</t>
        </is>
      </c>
      <c r="G10" s="26" t="inlineStr">
        <is>
          <t>Gối 3</t>
        </is>
      </c>
      <c r="H10" s="27" t="inlineStr">
        <is>
          <t>Nhịp 3</t>
        </is>
      </c>
      <c r="I10" s="26" t="inlineStr">
        <is>
          <t>Gối 4</t>
        </is>
      </c>
      <c r="J10" s="27" t="inlineStr">
        <is>
          <t>Nhịp 4</t>
        </is>
      </c>
      <c r="K10" s="26" t="inlineStr">
        <is>
          <t>Gối 5</t>
        </is>
      </c>
      <c r="L10" s="27" t="inlineStr">
        <is>
          <t>Nhịp 5</t>
        </is>
      </c>
      <c r="M10" s="26" t="inlineStr">
        <is>
          <t>Gối 6</t>
        </is>
      </c>
      <c r="N10" s="27" t="inlineStr">
        <is>
          <t>Nhịp 6</t>
        </is>
      </c>
      <c r="O10" s="26" t="inlineStr">
        <is>
          <t>Gối 7</t>
        </is>
      </c>
      <c r="P10" s="27" t="inlineStr">
        <is>
          <t>Nhịp 7</t>
        </is>
      </c>
      <c r="Q10" s="26" t="inlineStr">
        <is>
          <t>Gối 8</t>
        </is>
      </c>
      <c r="R10" s="27" t="inlineStr">
        <is>
          <t>Nhịp 8</t>
        </is>
      </c>
      <c r="S10" s="26" t="inlineStr">
        <is>
          <t>Gối 9</t>
        </is>
      </c>
      <c r="T10" s="27" t="inlineStr">
        <is>
          <t>Nhịp 9</t>
        </is>
      </c>
      <c r="U10" s="26" t="inlineStr">
        <is>
          <t>Gối 10</t>
        </is>
      </c>
      <c r="V10" s="27" t="inlineStr">
        <is>
          <t>Nhịp 10</t>
        </is>
      </c>
      <c r="W10" s="26" t="inlineStr">
        <is>
          <t>Gối 11</t>
        </is>
      </c>
      <c r="X10" s="27" t="inlineStr">
        <is>
          <t>Nhịp 11</t>
        </is>
      </c>
      <c r="Y10" s="26" t="inlineStr">
        <is>
          <t>Gối 12</t>
        </is>
      </c>
      <c r="Z10" s="27" t="inlineStr">
        <is>
          <t>Nhịp 12</t>
        </is>
      </c>
      <c r="AA10" s="26" t="inlineStr">
        <is>
          <t>Gối 13</t>
        </is>
      </c>
      <c r="AB10" s="27" t="inlineStr">
        <is>
          <t>Nhịp 13</t>
        </is>
      </c>
      <c r="AC10" s="26" t="inlineStr">
        <is>
          <t>Gối 14</t>
        </is>
      </c>
      <c r="AD10" s="27" t="inlineStr">
        <is>
          <t>Nhịp 14</t>
        </is>
      </c>
      <c r="AE10" s="26" t="inlineStr">
        <is>
          <t>Gối 15</t>
        </is>
      </c>
      <c r="AF10" s="27" t="inlineStr">
        <is>
          <t>Nhịp 15</t>
        </is>
      </c>
      <c r="AG10" s="28" t="inlineStr">
        <is>
          <t>Gối 16</t>
        </is>
      </c>
    </row>
    <row r="11" ht="27" customHeight="1">
      <c r="A11" s="29" t="inlineStr">
        <is>
          <t>Thép chạy suốt TRÊN  |  Gối: bề rộng  ·  Nhịp: L thông thủy</t>
        </is>
      </c>
      <c r="B11" s="30" t="inlineStr">
        <is>
          <t>3t28</t>
        </is>
      </c>
      <c r="C11" s="31" t="n">
        <v>300</v>
      </c>
      <c r="D11" s="32" t="n">
        <v>7250</v>
      </c>
      <c r="E11" s="31" t="n">
        <v>900</v>
      </c>
      <c r="F11" s="32" t="n">
        <v>8200</v>
      </c>
      <c r="G11" s="31" t="n">
        <v>900</v>
      </c>
      <c r="H11" s="32" t="n">
        <v>7500</v>
      </c>
      <c r="I11" s="31" t="n">
        <v>900</v>
      </c>
      <c r="J11" s="32" t="n">
        <v>7550</v>
      </c>
      <c r="K11" s="31" t="n">
        <v>800</v>
      </c>
      <c r="L11" s="32" t="n">
        <v>6940</v>
      </c>
      <c r="M11" s="31" t="n">
        <v>760</v>
      </c>
      <c r="N11" s="32" t="n">
        <v>8700</v>
      </c>
      <c r="O11" s="31" t="n">
        <v>1000</v>
      </c>
      <c r="P11" s="32" t="n"/>
      <c r="Q11" s="31" t="n"/>
      <c r="R11" s="32" t="n"/>
      <c r="S11" s="31" t="n"/>
      <c r="T11" s="32" t="n"/>
      <c r="U11" s="31" t="n"/>
      <c r="V11" s="32" t="n"/>
      <c r="W11" s="31" t="n"/>
      <c r="X11" s="32" t="n"/>
      <c r="Y11" s="31" t="n"/>
      <c r="Z11" s="32" t="n"/>
      <c r="AA11" s="31" t="n"/>
      <c r="AB11" s="32" t="n"/>
      <c r="AC11" s="31" t="n"/>
      <c r="AD11" s="32" t="n"/>
      <c r="AE11" s="31" t="n"/>
      <c r="AF11" s="32" t="n"/>
      <c r="AG11" s="33" t="n"/>
    </row>
    <row r="12" ht="27" customHeight="1">
      <c r="A12" s="29" t="inlineStr">
        <is>
          <t>Thép chạy suốt DƯỚI  |  Gối: đai trong cột  ·  Nhịp: b nhịp</t>
        </is>
      </c>
      <c r="B12" s="30" t="inlineStr">
        <is>
          <t>3t28</t>
        </is>
      </c>
      <c r="C12" s="34" t="n"/>
      <c r="D12" s="35" t="n"/>
      <c r="E12" s="34" t="n"/>
      <c r="F12" s="35" t="n"/>
      <c r="G12" s="34" t="n"/>
      <c r="H12" s="35" t="n">
        <v>500</v>
      </c>
      <c r="I12" s="34" t="n"/>
      <c r="J12" s="35" t="n"/>
      <c r="K12" s="34" t="n"/>
      <c r="L12" s="35" t="n">
        <v>400</v>
      </c>
      <c r="M12" s="34" t="n"/>
      <c r="N12" s="35" t="n"/>
      <c r="O12" s="34" t="n"/>
      <c r="P12" s="35" t="n"/>
      <c r="Q12" s="34" t="n"/>
      <c r="R12" s="35" t="n"/>
      <c r="S12" s="34" t="n"/>
      <c r="T12" s="35" t="n"/>
      <c r="U12" s="34" t="n"/>
      <c r="V12" s="35" t="n"/>
      <c r="W12" s="34" t="n"/>
      <c r="X12" s="35" t="n"/>
      <c r="Y12" s="34" t="n"/>
      <c r="Z12" s="35" t="n"/>
      <c r="AA12" s="34" t="n"/>
      <c r="AB12" s="35" t="n"/>
      <c r="AC12" s="34" t="n"/>
      <c r="AD12" s="35" t="n"/>
      <c r="AE12" s="34" t="n"/>
      <c r="AF12" s="35" t="n"/>
      <c r="AG12" s="36" t="n"/>
    </row>
    <row r="13" ht="16" customHeight="1">
      <c r="A13" s="37" t="inlineStr">
        <is>
          <t>THÉP TĂNG CƯỜNG
LỚP TRÊN</t>
        </is>
      </c>
      <c r="B13" s="11" t="inlineStr">
        <is>
          <t>Lớp 1</t>
        </is>
      </c>
      <c r="C13" s="38" t="n"/>
      <c r="D13" s="39" t="n"/>
      <c r="E13" s="38" t="n"/>
      <c r="F13" s="39" t="n"/>
      <c r="G13" s="38" t="n"/>
      <c r="H13" s="39" t="n"/>
      <c r="I13" s="38" t="n"/>
      <c r="J13" s="39" t="n"/>
      <c r="K13" s="38" t="n"/>
      <c r="L13" s="39" t="n"/>
      <c r="M13" s="38" t="n"/>
      <c r="N13" s="39" t="n"/>
      <c r="O13" s="38" t="n"/>
      <c r="P13" s="39" t="n"/>
      <c r="Q13" s="38" t="n"/>
      <c r="R13" s="39" t="n"/>
      <c r="S13" s="38" t="n"/>
      <c r="T13" s="39" t="n"/>
      <c r="U13" s="38" t="n"/>
      <c r="V13" s="39" t="n"/>
      <c r="W13" s="38" t="n"/>
      <c r="X13" s="39" t="n"/>
      <c r="Y13" s="38" t="n"/>
      <c r="Z13" s="39" t="n"/>
      <c r="AA13" s="38" t="n"/>
      <c r="AB13" s="39" t="n"/>
      <c r="AC13" s="38" t="n"/>
      <c r="AD13" s="39" t="n"/>
      <c r="AE13" s="38" t="n"/>
      <c r="AF13" s="39" t="n"/>
      <c r="AG13" s="40" t="n"/>
    </row>
    <row r="14" ht="16" customHeight="1">
      <c r="A14" s="41" t="n"/>
      <c r="B14" s="11" t="inlineStr">
        <is>
          <t>Lớp 2</t>
        </is>
      </c>
      <c r="C14" s="38" t="inlineStr">
        <is>
          <t>3t28</t>
        </is>
      </c>
      <c r="D14" s="39" t="n"/>
      <c r="E14" s="38" t="inlineStr">
        <is>
          <t>3t28</t>
        </is>
      </c>
      <c r="F14" s="39" t="n"/>
      <c r="G14" s="38" t="inlineStr">
        <is>
          <t>3t28;5t28</t>
        </is>
      </c>
      <c r="H14" s="39" t="n"/>
      <c r="I14" s="38" t="inlineStr">
        <is>
          <t>5t28</t>
        </is>
      </c>
      <c r="J14" s="39" t="n"/>
      <c r="K14" s="38" t="inlineStr">
        <is>
          <t>5t28;3t28</t>
        </is>
      </c>
      <c r="L14" s="39" t="n"/>
      <c r="M14" s="38" t="inlineStr">
        <is>
          <t>3t28</t>
        </is>
      </c>
      <c r="N14" s="39" t="n"/>
      <c r="O14" s="38" t="inlineStr">
        <is>
          <t>-</t>
        </is>
      </c>
      <c r="P14" s="39" t="n"/>
      <c r="Q14" s="38" t="n"/>
      <c r="R14" s="39" t="n"/>
      <c r="S14" s="38" t="n"/>
      <c r="T14" s="39" t="n"/>
      <c r="U14" s="38" t="n"/>
      <c r="V14" s="39" t="n"/>
      <c r="W14" s="38" t="n"/>
      <c r="X14" s="39" t="n"/>
      <c r="Y14" s="38" t="n"/>
      <c r="Z14" s="39" t="n"/>
      <c r="AA14" s="38" t="n"/>
      <c r="AB14" s="39" t="n"/>
      <c r="AC14" s="38" t="n"/>
      <c r="AD14" s="39" t="n"/>
      <c r="AE14" s="38" t="n"/>
      <c r="AF14" s="39" t="n"/>
      <c r="AG14" s="40" t="n"/>
    </row>
    <row r="15" ht="16" customHeight="1">
      <c r="A15" s="41" t="n"/>
      <c r="B15" s="11" t="inlineStr">
        <is>
          <t>Lớp 3</t>
        </is>
      </c>
      <c r="C15" s="38" t="inlineStr">
        <is>
          <t>2t25</t>
        </is>
      </c>
      <c r="D15" s="39" t="n"/>
      <c r="E15" s="38" t="inlineStr">
        <is>
          <t>3t28</t>
        </is>
      </c>
      <c r="F15" s="39" t="n"/>
      <c r="G15" s="38" t="inlineStr">
        <is>
          <t>2t25</t>
        </is>
      </c>
      <c r="H15" s="39" t="n"/>
      <c r="I15" s="38" t="inlineStr">
        <is>
          <t>5t28</t>
        </is>
      </c>
      <c r="J15" s="39" t="n"/>
      <c r="K15" s="38" t="inlineStr">
        <is>
          <t>;2t28</t>
        </is>
      </c>
      <c r="L15" s="39" t="n"/>
      <c r="M15" s="38" t="n"/>
      <c r="N15" s="39" t="n"/>
      <c r="O15" s="38" t="inlineStr">
        <is>
          <t>2t25</t>
        </is>
      </c>
      <c r="P15" s="39" t="n"/>
      <c r="Q15" s="38" t="n"/>
      <c r="R15" s="39" t="n"/>
      <c r="S15" s="38" t="n"/>
      <c r="T15" s="39" t="n"/>
      <c r="U15" s="38" t="n"/>
      <c r="V15" s="39" t="n"/>
      <c r="W15" s="38" t="n"/>
      <c r="X15" s="39" t="n"/>
      <c r="Y15" s="38" t="n"/>
      <c r="Z15" s="39" t="n"/>
      <c r="AA15" s="38" t="n"/>
      <c r="AB15" s="39" t="n"/>
      <c r="AC15" s="38" t="n"/>
      <c r="AD15" s="39" t="n"/>
      <c r="AE15" s="38" t="n"/>
      <c r="AF15" s="39" t="n"/>
      <c r="AG15" s="40" t="n"/>
    </row>
    <row r="16" ht="16" customHeight="1">
      <c r="A16" s="41" t="n"/>
      <c r="B16" s="11" t="inlineStr">
        <is>
          <t>Lớp 4</t>
        </is>
      </c>
      <c r="C16" s="38" t="n"/>
      <c r="D16" s="39" t="n"/>
      <c r="E16" s="38" t="n"/>
      <c r="F16" s="39" t="n"/>
      <c r="G16" s="38" t="n"/>
      <c r="H16" s="39" t="n"/>
      <c r="I16" s="38" t="inlineStr">
        <is>
          <t>3t28</t>
        </is>
      </c>
      <c r="J16" s="39" t="n"/>
      <c r="K16" s="38" t="n"/>
      <c r="L16" s="39" t="n"/>
      <c r="M16" s="38" t="n"/>
      <c r="N16" s="39" t="n"/>
      <c r="O16" s="38" t="n"/>
      <c r="P16" s="39" t="n"/>
      <c r="Q16" s="38" t="n"/>
      <c r="R16" s="39" t="n"/>
      <c r="S16" s="38" t="n"/>
      <c r="T16" s="39" t="n"/>
      <c r="U16" s="38" t="n"/>
      <c r="V16" s="39" t="n"/>
      <c r="W16" s="38" t="n"/>
      <c r="X16" s="39" t="n"/>
      <c r="Y16" s="38" t="n"/>
      <c r="Z16" s="39" t="n"/>
      <c r="AA16" s="38" t="n"/>
      <c r="AB16" s="39" t="n"/>
      <c r="AC16" s="38" t="n"/>
      <c r="AD16" s="39" t="n"/>
      <c r="AE16" s="38" t="n"/>
      <c r="AF16" s="39" t="n"/>
      <c r="AG16" s="40" t="n"/>
    </row>
    <row r="17" ht="16" customHeight="1">
      <c r="A17" s="41" t="n"/>
      <c r="B17" s="11" t="inlineStr">
        <is>
          <t>Lớp 5</t>
        </is>
      </c>
      <c r="C17" s="38" t="n"/>
      <c r="D17" s="39" t="n"/>
      <c r="E17" s="38" t="n"/>
      <c r="F17" s="39" t="n"/>
      <c r="G17" s="38" t="n"/>
      <c r="H17" s="39" t="n"/>
      <c r="I17" s="38" t="n"/>
      <c r="J17" s="39" t="n"/>
      <c r="K17" s="38" t="n"/>
      <c r="L17" s="39" t="n"/>
      <c r="M17" s="38" t="n"/>
      <c r="N17" s="39" t="n"/>
      <c r="O17" s="38" t="n"/>
      <c r="P17" s="39" t="n"/>
      <c r="Q17" s="38" t="n"/>
      <c r="R17" s="39" t="n"/>
      <c r="S17" s="38" t="n"/>
      <c r="T17" s="39" t="n"/>
      <c r="U17" s="38" t="n"/>
      <c r="V17" s="39" t="n"/>
      <c r="W17" s="38" t="n"/>
      <c r="X17" s="39" t="n"/>
      <c r="Y17" s="38" t="n"/>
      <c r="Z17" s="39" t="n"/>
      <c r="AA17" s="38" t="n"/>
      <c r="AB17" s="39" t="n"/>
      <c r="AC17" s="38" t="n"/>
      <c r="AD17" s="39" t="n"/>
      <c r="AE17" s="38" t="n"/>
      <c r="AF17" s="39" t="n"/>
      <c r="AG17" s="40" t="n"/>
    </row>
    <row r="18" ht="16" customHeight="1">
      <c r="A18" s="37" t="inlineStr">
        <is>
          <t>THÉP TĂNG CƯỜNG
LỚP DƯỚI</t>
        </is>
      </c>
      <c r="B18" s="11" t="inlineStr">
        <is>
          <t>Lớp 5</t>
        </is>
      </c>
      <c r="C18" s="38" t="n"/>
      <c r="D18" s="39" t="n"/>
      <c r="E18" s="38" t="n"/>
      <c r="F18" s="39" t="n"/>
      <c r="G18" s="38" t="n"/>
      <c r="H18" s="39" t="n"/>
      <c r="I18" s="38" t="n"/>
      <c r="J18" s="39" t="n"/>
      <c r="K18" s="38" t="n"/>
      <c r="L18" s="39" t="n"/>
      <c r="M18" s="38" t="n"/>
      <c r="N18" s="39" t="n"/>
      <c r="O18" s="38" t="n"/>
      <c r="P18" s="39" t="n"/>
      <c r="Q18" s="38" t="n"/>
      <c r="R18" s="39" t="n"/>
      <c r="S18" s="38" t="n"/>
      <c r="T18" s="39" t="n"/>
      <c r="U18" s="38" t="n"/>
      <c r="V18" s="39" t="n"/>
      <c r="W18" s="38" t="n"/>
      <c r="X18" s="39" t="n"/>
      <c r="Y18" s="38" t="n"/>
      <c r="Z18" s="39" t="n"/>
      <c r="AA18" s="38" t="n"/>
      <c r="AB18" s="39" t="n"/>
      <c r="AC18" s="38" t="n"/>
      <c r="AD18" s="39" t="n"/>
      <c r="AE18" s="38" t="n"/>
      <c r="AF18" s="39" t="n"/>
      <c r="AG18" s="40" t="n"/>
    </row>
    <row r="19" ht="16" customHeight="1">
      <c r="A19" s="41" t="n"/>
      <c r="B19" s="11" t="inlineStr">
        <is>
          <t>Lớp 4</t>
        </is>
      </c>
      <c r="C19" s="38" t="n"/>
      <c r="D19" s="39" t="n"/>
      <c r="E19" s="38" t="n"/>
      <c r="F19" s="39" t="n"/>
      <c r="G19" s="38" t="n"/>
      <c r="H19" s="39" t="n"/>
      <c r="I19" s="38" t="n"/>
      <c r="J19" s="39" t="n"/>
      <c r="K19" s="38" t="n"/>
      <c r="L19" s="39" t="n"/>
      <c r="M19" s="38" t="n"/>
      <c r="N19" s="39" t="n"/>
      <c r="O19" s="38" t="n"/>
      <c r="P19" s="39" t="n"/>
      <c r="Q19" s="38" t="n"/>
      <c r="R19" s="39" t="n"/>
      <c r="S19" s="38" t="n"/>
      <c r="T19" s="39" t="n"/>
      <c r="U19" s="38" t="n"/>
      <c r="V19" s="39" t="n"/>
      <c r="W19" s="38" t="n"/>
      <c r="X19" s="39" t="n"/>
      <c r="Y19" s="38" t="n"/>
      <c r="Z19" s="39" t="n"/>
      <c r="AA19" s="38" t="n"/>
      <c r="AB19" s="39" t="n"/>
      <c r="AC19" s="38" t="n"/>
      <c r="AD19" s="39" t="n"/>
      <c r="AE19" s="38" t="n"/>
      <c r="AF19" s="39" t="n"/>
      <c r="AG19" s="40" t="n"/>
    </row>
    <row r="20" ht="16" customHeight="1">
      <c r="A20" s="41" t="n"/>
      <c r="B20" s="11" t="inlineStr">
        <is>
          <t>Lớp 3</t>
        </is>
      </c>
      <c r="C20" s="38" t="n"/>
      <c r="D20" s="39" t="inlineStr">
        <is>
          <t>3t25</t>
        </is>
      </c>
      <c r="E20" s="38" t="n"/>
      <c r="F20" s="39" t="inlineStr">
        <is>
          <t>2t25</t>
        </is>
      </c>
      <c r="G20" s="38" t="n"/>
      <c r="H20" s="39" t="n"/>
      <c r="I20" s="38" t="n"/>
      <c r="J20" s="39" t="n"/>
      <c r="K20" s="38" t="n"/>
      <c r="L20" s="39" t="n"/>
      <c r="M20" s="38" t="n"/>
      <c r="N20" s="39" t="n"/>
      <c r="O20" s="38" t="n"/>
      <c r="P20" s="39" t="n"/>
      <c r="Q20" s="38" t="n"/>
      <c r="R20" s="39" t="n"/>
      <c r="S20" s="38" t="n"/>
      <c r="T20" s="39" t="n"/>
      <c r="U20" s="38" t="n"/>
      <c r="V20" s="39" t="n"/>
      <c r="W20" s="38" t="n"/>
      <c r="X20" s="39" t="n"/>
      <c r="Y20" s="38" t="n"/>
      <c r="Z20" s="39" t="n"/>
      <c r="AA20" s="38" t="n"/>
      <c r="AB20" s="39" t="n"/>
      <c r="AC20" s="38" t="n"/>
      <c r="AD20" s="39" t="n"/>
      <c r="AE20" s="38" t="n"/>
      <c r="AF20" s="39" t="n"/>
      <c r="AG20" s="40" t="n"/>
    </row>
    <row r="21" ht="16" customHeight="1">
      <c r="A21" s="41" t="n"/>
      <c r="B21" s="11" t="inlineStr">
        <is>
          <t>Lớp 2</t>
        </is>
      </c>
      <c r="C21" s="38" t="n"/>
      <c r="D21" s="39" t="inlineStr">
        <is>
          <t>3t28</t>
        </is>
      </c>
      <c r="E21" s="38" t="n"/>
      <c r="F21" s="39" t="inlineStr">
        <is>
          <t>3t28</t>
        </is>
      </c>
      <c r="G21" s="38" t="n"/>
      <c r="H21" s="39" t="inlineStr">
        <is>
          <t>5t28</t>
        </is>
      </c>
      <c r="I21" s="38" t="n"/>
      <c r="J21" s="39" t="inlineStr">
        <is>
          <t>3t28</t>
        </is>
      </c>
      <c r="K21" s="38" t="n"/>
      <c r="L21" s="39" t="inlineStr">
        <is>
          <t>2t25</t>
        </is>
      </c>
      <c r="M21" s="38" t="n"/>
      <c r="N21" s="39" t="inlineStr">
        <is>
          <t>2t25</t>
        </is>
      </c>
      <c r="O21" s="38" t="n"/>
      <c r="P21" s="39" t="n"/>
      <c r="Q21" s="38" t="n"/>
      <c r="R21" s="39" t="n"/>
      <c r="S21" s="38" t="n"/>
      <c r="T21" s="39" t="n"/>
      <c r="U21" s="38" t="n"/>
      <c r="V21" s="39" t="n"/>
      <c r="W21" s="38" t="n"/>
      <c r="X21" s="39" t="n"/>
      <c r="Y21" s="38" t="n"/>
      <c r="Z21" s="39" t="n"/>
      <c r="AA21" s="38" t="n"/>
      <c r="AB21" s="39" t="n"/>
      <c r="AC21" s="38" t="n"/>
      <c r="AD21" s="39" t="n"/>
      <c r="AE21" s="38" t="n"/>
      <c r="AF21" s="39" t="n"/>
      <c r="AG21" s="40" t="n"/>
    </row>
    <row r="22" ht="16" customHeight="1">
      <c r="A22" s="41" t="n"/>
      <c r="B22" s="11" t="inlineStr">
        <is>
          <t>Lớp 1</t>
        </is>
      </c>
      <c r="C22" s="38" t="n"/>
      <c r="D22" s="39" t="n"/>
      <c r="E22" s="38" t="n"/>
      <c r="F22" s="39" t="n"/>
      <c r="G22" s="38" t="n"/>
      <c r="H22" s="39" t="n"/>
      <c r="I22" s="38" t="n"/>
      <c r="J22" s="39" t="n"/>
      <c r="K22" s="38" t="n"/>
      <c r="L22" s="39" t="n"/>
      <c r="M22" s="38" t="n"/>
      <c r="N22" s="39" t="n"/>
      <c r="O22" s="38" t="n"/>
      <c r="P22" s="39" t="n"/>
      <c r="Q22" s="38" t="n"/>
      <c r="R22" s="39" t="n"/>
      <c r="S22" s="38" t="n"/>
      <c r="T22" s="39" t="n"/>
      <c r="U22" s="38" t="n"/>
      <c r="V22" s="39" t="n"/>
      <c r="W22" s="38" t="n"/>
      <c r="X22" s="39" t="n"/>
      <c r="Y22" s="38" t="n"/>
      <c r="Z22" s="39" t="n"/>
      <c r="AA22" s="38" t="n"/>
      <c r="AB22" s="39" t="n"/>
      <c r="AC22" s="38" t="n"/>
      <c r="AD22" s="39" t="n"/>
      <c r="AE22" s="38" t="n"/>
      <c r="AF22" s="39" t="n"/>
      <c r="AG22" s="40" t="n"/>
    </row>
    <row r="23" ht="21" customHeight="1">
      <c r="A23" s="29" t="inlineStr">
        <is>
          <t>Gối: ẩn cột  ·  Nhịp: đổi thép chạy TRÊN</t>
        </is>
      </c>
      <c r="B23" s="6" t="n"/>
      <c r="C23" s="42" t="n"/>
      <c r="D23" s="35" t="n"/>
      <c r="E23" s="42" t="n"/>
      <c r="F23" s="35" t="n"/>
      <c r="G23" s="42" t="n"/>
      <c r="H23" s="35" t="inlineStr">
        <is>
          <t>0;5t28</t>
        </is>
      </c>
      <c r="I23" s="42" t="n"/>
      <c r="J23" s="35" t="n"/>
      <c r="K23" s="42" t="n"/>
      <c r="L23" s="35" t="inlineStr">
        <is>
          <t>0;3t28</t>
        </is>
      </c>
      <c r="M23" s="42" t="n"/>
      <c r="N23" s="35" t="n"/>
      <c r="O23" s="42" t="n"/>
      <c r="P23" s="35" t="n"/>
      <c r="Q23" s="42" t="n"/>
      <c r="R23" s="35" t="n"/>
      <c r="S23" s="42" t="n"/>
      <c r="T23" s="35" t="n"/>
      <c r="U23" s="42" t="n"/>
      <c r="V23" s="35" t="n"/>
      <c r="W23" s="42" t="n"/>
      <c r="X23" s="35" t="n"/>
      <c r="Y23" s="42" t="n"/>
      <c r="Z23" s="35" t="n"/>
      <c r="AA23" s="42" t="n"/>
      <c r="AB23" s="35" t="n"/>
      <c r="AC23" s="42" t="n"/>
      <c r="AD23" s="35" t="n"/>
      <c r="AE23" s="42" t="n"/>
      <c r="AF23" s="35" t="n"/>
      <c r="AG23" s="43" t="n"/>
    </row>
    <row r="24" ht="21" customHeight="1">
      <c r="A24" s="29" t="inlineStr">
        <is>
          <t>Gối: dầm giao tại cột  ·  Nhịp: thép giá</t>
        </is>
      </c>
      <c r="B24" s="6" t="n"/>
      <c r="C24" s="42" t="n"/>
      <c r="D24" s="35" t="inlineStr">
        <is>
          <t>2x2t12</t>
        </is>
      </c>
      <c r="E24" s="42" t="n"/>
      <c r="F24" s="35" t="inlineStr">
        <is>
          <t>2x2t12</t>
        </is>
      </c>
      <c r="G24" s="42" t="n"/>
      <c r="H24" s="35" t="inlineStr">
        <is>
          <t>2x2t12</t>
        </is>
      </c>
      <c r="I24" s="42" t="n"/>
      <c r="J24" s="35" t="inlineStr">
        <is>
          <t>2x2t12</t>
        </is>
      </c>
      <c r="K24" s="42" t="n"/>
      <c r="L24" s="35" t="inlineStr">
        <is>
          <t>2x2t12</t>
        </is>
      </c>
      <c r="M24" s="42" t="n"/>
      <c r="N24" s="35" t="inlineStr">
        <is>
          <t>2x2t12</t>
        </is>
      </c>
      <c r="O24" s="42" t="n"/>
      <c r="P24" s="35" t="n"/>
      <c r="Q24" s="42" t="n"/>
      <c r="R24" s="35" t="n"/>
      <c r="S24" s="42" t="n"/>
      <c r="T24" s="35" t="n"/>
      <c r="U24" s="42" t="n"/>
      <c r="V24" s="35" t="n"/>
      <c r="W24" s="42" t="n"/>
      <c r="X24" s="35" t="n"/>
      <c r="Y24" s="42" t="n"/>
      <c r="Z24" s="35" t="n"/>
      <c r="AA24" s="42" t="n"/>
      <c r="AB24" s="35" t="n"/>
      <c r="AC24" s="42" t="n"/>
      <c r="AD24" s="35" t="n"/>
      <c r="AE24" s="42" t="n"/>
      <c r="AF24" s="35" t="n"/>
      <c r="AG24" s="43" t="n"/>
    </row>
    <row r="25" ht="21" customHeight="1">
      <c r="A25" s="29" t="inlineStr">
        <is>
          <t>Gối: lệch dầm giao  ·  Nhịp: đổi thép chạy DƯỚI</t>
        </is>
      </c>
      <c r="B25" s="6" t="n"/>
      <c r="C25" s="42" t="n"/>
      <c r="D25" s="35" t="n"/>
      <c r="E25" s="42" t="n"/>
      <c r="F25" s="35" t="n"/>
      <c r="G25" s="42" t="n"/>
      <c r="H25" s="35" t="inlineStr">
        <is>
          <t>0;5t28</t>
        </is>
      </c>
      <c r="I25" s="42" t="n"/>
      <c r="J25" s="35" t="n"/>
      <c r="K25" s="42" t="n"/>
      <c r="L25" s="35" t="inlineStr">
        <is>
          <t>0;3t28</t>
        </is>
      </c>
      <c r="M25" s="42" t="n"/>
      <c r="N25" s="35" t="n"/>
      <c r="O25" s="42" t="n"/>
      <c r="P25" s="35" t="n"/>
      <c r="Q25" s="42" t="n"/>
      <c r="R25" s="35" t="n"/>
      <c r="S25" s="42" t="n"/>
      <c r="T25" s="35" t="n"/>
      <c r="U25" s="42" t="n"/>
      <c r="V25" s="35" t="n"/>
      <c r="W25" s="42" t="n"/>
      <c r="X25" s="35" t="n"/>
      <c r="Y25" s="42" t="n"/>
      <c r="Z25" s="35" t="n"/>
      <c r="AA25" s="42" t="n"/>
      <c r="AB25" s="35" t="n"/>
      <c r="AC25" s="42" t="n"/>
      <c r="AD25" s="35" t="n"/>
      <c r="AE25" s="42" t="n"/>
      <c r="AF25" s="35" t="n"/>
      <c r="AG25" s="43" t="n"/>
    </row>
    <row r="26" ht="21" customHeight="1">
      <c r="A26" s="29" t="inlineStr">
        <is>
          <t>Gối: tên trục  ·  Nhịp: thép đai</t>
        </is>
      </c>
      <c r="B26" s="6" t="n"/>
      <c r="C26" s="42" t="inlineStr">
        <is>
          <t>E</t>
        </is>
      </c>
      <c r="D26" s="35" t="inlineStr">
        <is>
          <t>10-100/150</t>
        </is>
      </c>
      <c r="E26" s="42" t="inlineStr">
        <is>
          <t>6</t>
        </is>
      </c>
      <c r="F26" s="35" t="inlineStr">
        <is>
          <t>10-100/150</t>
        </is>
      </c>
      <c r="G26" s="42" t="inlineStr">
        <is>
          <t>7</t>
        </is>
      </c>
      <c r="H26" s="35" t="inlineStr">
        <is>
          <t>12-100/150</t>
        </is>
      </c>
      <c r="I26" s="42" t="inlineStr">
        <is>
          <t>8</t>
        </is>
      </c>
      <c r="J26" s="35" t="inlineStr">
        <is>
          <t>12-100/150</t>
        </is>
      </c>
      <c r="K26" s="42" t="inlineStr">
        <is>
          <t>1</t>
        </is>
      </c>
      <c r="L26" s="35" t="inlineStr">
        <is>
          <t>10-100/200</t>
        </is>
      </c>
      <c r="M26" s="42" t="inlineStr">
        <is>
          <t>2</t>
        </is>
      </c>
      <c r="N26" s="35" t="inlineStr">
        <is>
          <t>10-100/200</t>
        </is>
      </c>
      <c r="O26" s="42" t="inlineStr">
        <is>
          <t>3</t>
        </is>
      </c>
      <c r="P26" s="35" t="n"/>
      <c r="Q26" s="42" t="n"/>
      <c r="R26" s="35" t="n"/>
      <c r="S26" s="42" t="n"/>
      <c r="T26" s="35" t="n"/>
      <c r="U26" s="42" t="n"/>
      <c r="V26" s="35" t="n"/>
      <c r="W26" s="42" t="n"/>
      <c r="X26" s="35" t="n"/>
      <c r="Y26" s="42" t="n"/>
      <c r="Z26" s="35" t="n"/>
      <c r="AA26" s="42" t="n"/>
      <c r="AB26" s="35" t="n"/>
      <c r="AC26" s="42" t="n"/>
      <c r="AD26" s="35" t="n"/>
      <c r="AE26" s="42" t="n"/>
      <c r="AF26" s="35" t="n"/>
      <c r="AG26" s="43" t="n"/>
    </row>
    <row r="27" ht="21" customHeight="1">
      <c r="A27" s="29" t="inlineStr">
        <is>
          <t>Gối: lệch trục  ·  Nhịp: đai trong / cắt thép</t>
        </is>
      </c>
      <c r="B27" s="6" t="n"/>
      <c r="C27" s="42" t="n">
        <v>-149.2</v>
      </c>
      <c r="D27" s="35" t="n"/>
      <c r="E27" s="42" t="n">
        <v>700</v>
      </c>
      <c r="F27" s="35" t="n"/>
      <c r="G27" s="42" t="n">
        <v>-0.8</v>
      </c>
      <c r="H27" s="35" t="n"/>
      <c r="I27" s="42" t="n">
        <v>0</v>
      </c>
      <c r="J27" s="35" t="n"/>
      <c r="K27" s="42" t="n">
        <v>0</v>
      </c>
      <c r="L27" s="35" t="n"/>
      <c r="M27" s="42" t="n">
        <v>-20.1</v>
      </c>
      <c r="N27" s="35" t="n"/>
      <c r="O27" s="42" t="n">
        <v>0.3</v>
      </c>
      <c r="P27" s="35" t="n"/>
      <c r="Q27" s="42" t="n"/>
      <c r="R27" s="35" t="n"/>
      <c r="S27" s="42" t="n"/>
      <c r="T27" s="35" t="n"/>
      <c r="U27" s="42" t="n"/>
      <c r="V27" s="35" t="n"/>
      <c r="W27" s="42" t="n"/>
      <c r="X27" s="35" t="n"/>
      <c r="Y27" s="42" t="n"/>
      <c r="Z27" s="35" t="n"/>
      <c r="AA27" s="42" t="n"/>
      <c r="AB27" s="35" t="n"/>
      <c r="AC27" s="42" t="n"/>
      <c r="AD27" s="35" t="n"/>
      <c r="AE27" s="42" t="n"/>
      <c r="AF27" s="35" t="n"/>
      <c r="AG27" s="43" t="n"/>
    </row>
    <row r="28" ht="21" customHeight="1">
      <c r="A28" s="29" t="inlineStr">
        <is>
          <t>Gối: dầm giao trong nhịp phải  ·  Nhịp: kiểu đai</t>
        </is>
      </c>
      <c r="B28" s="6" t="n"/>
      <c r="C28" s="42" t="inlineStr">
        <is>
          <t>400x600</t>
        </is>
      </c>
      <c r="D28" s="35" t="n"/>
      <c r="E28" s="42" t="inlineStr">
        <is>
          <t>400x600</t>
        </is>
      </c>
      <c r="F28" s="35" t="n"/>
      <c r="G28" s="42" t="inlineStr">
        <is>
          <t>400x600</t>
        </is>
      </c>
      <c r="H28" s="35" t="n"/>
      <c r="I28" s="42" t="inlineStr">
        <is>
          <t>400x600</t>
        </is>
      </c>
      <c r="J28" s="35" t="n"/>
      <c r="K28" s="42" t="inlineStr">
        <is>
          <t>300x600</t>
        </is>
      </c>
      <c r="L28" s="35" t="n"/>
      <c r="M28" s="42" t="inlineStr">
        <is>
          <t>300x600</t>
        </is>
      </c>
      <c r="N28" s="35" t="n"/>
      <c r="O28" s="42" t="n"/>
      <c r="P28" s="35" t="n"/>
      <c r="Q28" s="42" t="n"/>
      <c r="R28" s="35" t="n"/>
      <c r="S28" s="42" t="n"/>
      <c r="T28" s="35" t="n"/>
      <c r="U28" s="42" t="n"/>
      <c r="V28" s="35" t="n"/>
      <c r="W28" s="42" t="n"/>
      <c r="X28" s="35" t="n"/>
      <c r="Y28" s="42" t="n"/>
      <c r="Z28" s="35" t="n"/>
      <c r="AA28" s="42" t="n"/>
      <c r="AB28" s="35" t="n"/>
      <c r="AC28" s="42" t="n"/>
      <c r="AD28" s="35" t="n"/>
      <c r="AE28" s="42" t="n"/>
      <c r="AF28" s="35" t="n"/>
      <c r="AG28" s="43" t="n"/>
    </row>
    <row r="29" ht="21" customHeight="1">
      <c r="A29" s="29" t="inlineStr">
        <is>
          <t>Gối: vị trí dầm giao  ·  Nhịp: đai gia cường</t>
        </is>
      </c>
      <c r="B29" s="6" t="n"/>
      <c r="C29" s="42" t="n">
        <v>3950</v>
      </c>
      <c r="D29" s="35" t="inlineStr">
        <is>
          <t>10t10a50</t>
        </is>
      </c>
      <c r="E29" s="42" t="n">
        <v>4900</v>
      </c>
      <c r="F29" s="35" t="inlineStr">
        <is>
          <t>10t10a50</t>
        </is>
      </c>
      <c r="G29" s="42" t="n">
        <v>4175</v>
      </c>
      <c r="H29" s="35" t="inlineStr">
        <is>
          <t>10t10a50</t>
        </is>
      </c>
      <c r="I29" s="42" t="n">
        <v>3120</v>
      </c>
      <c r="J29" s="35" t="inlineStr">
        <is>
          <t>10t10a50</t>
        </is>
      </c>
      <c r="K29" s="42" t="n">
        <v>3300</v>
      </c>
      <c r="L29" s="35" t="inlineStr">
        <is>
          <t>10t10a50</t>
        </is>
      </c>
      <c r="M29" s="42" t="n">
        <v>2260</v>
      </c>
      <c r="N29" s="35" t="inlineStr">
        <is>
          <t>10t10a50</t>
        </is>
      </c>
      <c r="O29" s="42" t="n"/>
      <c r="P29" s="35" t="n"/>
      <c r="Q29" s="42" t="n"/>
      <c r="R29" s="35" t="n"/>
      <c r="S29" s="42" t="n"/>
      <c r="T29" s="35" t="n"/>
      <c r="U29" s="42" t="n"/>
      <c r="V29" s="35" t="n"/>
      <c r="W29" s="42" t="n"/>
      <c r="X29" s="35" t="n"/>
      <c r="Y29" s="42" t="n"/>
      <c r="Z29" s="35" t="n"/>
      <c r="AA29" s="42" t="n"/>
      <c r="AB29" s="35" t="n"/>
      <c r="AC29" s="42" t="n"/>
      <c r="AD29" s="35" t="n"/>
      <c r="AE29" s="42" t="n"/>
      <c r="AF29" s="35" t="n"/>
      <c r="AG29" s="43" t="n"/>
    </row>
    <row r="30" ht="21" customHeight="1">
      <c r="A30" s="44" t="inlineStr">
        <is>
          <t>Nhịp: thép vai bò tại dầm giao</t>
        </is>
      </c>
      <c r="B30" s="45" t="n"/>
      <c r="C30" s="46" t="inlineStr"/>
      <c r="D30" s="47" t="n"/>
      <c r="E30" s="46" t="inlineStr"/>
      <c r="F30" s="47" t="n"/>
      <c r="G30" s="46" t="inlineStr"/>
      <c r="H30" s="47" t="n"/>
      <c r="I30" s="46" t="inlineStr"/>
      <c r="J30" s="47" t="n"/>
      <c r="K30" s="46" t="inlineStr"/>
      <c r="L30" s="47" t="n"/>
      <c r="M30" s="46" t="inlineStr"/>
      <c r="N30" s="47" t="n"/>
      <c r="O30" s="46" t="inlineStr"/>
      <c r="P30" s="47" t="n"/>
      <c r="Q30" s="46" t="inlineStr"/>
      <c r="R30" s="47" t="n"/>
      <c r="S30" s="46" t="inlineStr"/>
      <c r="T30" s="47" t="n"/>
      <c r="U30" s="46" t="inlineStr"/>
      <c r="V30" s="47" t="n"/>
      <c r="W30" s="46" t="inlineStr"/>
      <c r="X30" s="47" t="n"/>
      <c r="Y30" s="46" t="inlineStr"/>
      <c r="Z30" s="47" t="n"/>
      <c r="AA30" s="46" t="inlineStr"/>
      <c r="AB30" s="47" t="n"/>
      <c r="AC30" s="46" t="inlineStr"/>
      <c r="AD30" s="47" t="n"/>
      <c r="AE30" s="46" t="inlineStr"/>
      <c r="AF30" s="47" t="n"/>
      <c r="AG30" s="48" t="inlineStr"/>
    </row>
    <row r="32" ht="18" customHeight="1">
      <c r="A32" s="49" t="inlineStr">
        <is>
          <t>KIỂM TRA HÌNH HỌC (tự tính – đối chiếu mặt bằng kết cấu)</t>
        </is>
      </c>
      <c r="B32" s="50" t="n"/>
      <c r="C32" s="50" t="n"/>
      <c r="D32" s="50" t="n"/>
      <c r="E32" s="50" t="n"/>
      <c r="F32" s="50" t="n"/>
      <c r="G32" s="50" t="n"/>
      <c r="H32" s="50" t="n"/>
      <c r="I32" s="50" t="n"/>
      <c r="J32" s="50" t="n"/>
      <c r="K32" s="50" t="n"/>
      <c r="L32" s="50" t="n"/>
      <c r="M32" s="50" t="n"/>
      <c r="N32" s="50" t="n"/>
      <c r="O32" s="50" t="n"/>
      <c r="P32" s="50" t="n"/>
      <c r="Q32" s="50" t="n"/>
      <c r="R32" s="50" t="n"/>
      <c r="S32" s="50" t="n"/>
      <c r="T32" s="50" t="n"/>
      <c r="U32" s="50" t="n"/>
      <c r="V32" s="50" t="n"/>
      <c r="W32" s="50" t="n"/>
      <c r="X32" s="50" t="n"/>
      <c r="Y32" s="50" t="n"/>
      <c r="Z32" s="50" t="n"/>
      <c r="AA32" s="50" t="n"/>
      <c r="AB32" s="50" t="n"/>
      <c r="AC32" s="50" t="n"/>
      <c r="AD32" s="50" t="n"/>
      <c r="AE32" s="50" t="n"/>
      <c r="AF32" s="50" t="n"/>
      <c r="AG32" s="50" t="n"/>
    </row>
    <row r="33" ht="27" customHeight="1">
      <c r="A33" s="51" t="inlineStr">
        <is>
          <t>Gối: tọa độ trục (gốc = trục gối 1)  ·  Nhịp: KC trục-trục (mm)</t>
        </is>
      </c>
      <c r="B33" s="6" t="n"/>
      <c r="C33" s="52">
        <f>IF(C63=1,C62-$C$62,"")</f>
        <v/>
      </c>
      <c r="D33" s="52">
        <f>IF(D63=1,IFERROR(E62-C62,""),"")</f>
        <v/>
      </c>
      <c r="E33" s="52">
        <f>IF(E63=1,E62-$C$62,"")</f>
        <v/>
      </c>
      <c r="F33" s="52">
        <f>IF(F63=1,IFERROR(G62-E62,""),"")</f>
        <v/>
      </c>
      <c r="G33" s="52">
        <f>IF(G63=1,G62-$C$62,"")</f>
        <v/>
      </c>
      <c r="H33" s="52">
        <f>IF(H63=1,IFERROR(I62-G62,""),"")</f>
        <v/>
      </c>
      <c r="I33" s="52">
        <f>IF(I63=1,I62-$C$62,"")</f>
        <v/>
      </c>
      <c r="J33" s="52">
        <f>IF(J63=1,IFERROR(K62-I62,""),"")</f>
        <v/>
      </c>
      <c r="K33" s="52">
        <f>IF(K63=1,K62-$C$62,"")</f>
        <v/>
      </c>
      <c r="L33" s="52">
        <f>IF(L63=1,IFERROR(M62-K62,""),"")</f>
        <v/>
      </c>
      <c r="M33" s="52">
        <f>IF(M63=1,M62-$C$62,"")</f>
        <v/>
      </c>
      <c r="N33" s="52">
        <f>IF(N63=1,IFERROR(O62-M62,""),"")</f>
        <v/>
      </c>
      <c r="O33" s="52">
        <f>IF(O63=1,O62-$C$62,"")</f>
        <v/>
      </c>
      <c r="P33" s="52">
        <f>IF(P63=1,IFERROR(Q62-O62,""),"")</f>
        <v/>
      </c>
      <c r="Q33" s="52">
        <f>IF(Q63=1,Q62-$C$62,"")</f>
        <v/>
      </c>
      <c r="R33" s="52">
        <f>IF(R63=1,IFERROR(S62-Q62,""),"")</f>
        <v/>
      </c>
      <c r="S33" s="52">
        <f>IF(S63=1,S62-$C$62,"")</f>
        <v/>
      </c>
      <c r="T33" s="52">
        <f>IF(T63=1,IFERROR(U62-S62,""),"")</f>
        <v/>
      </c>
      <c r="U33" s="52">
        <f>IF(U63=1,U62-$C$62,"")</f>
        <v/>
      </c>
      <c r="V33" s="52">
        <f>IF(V63=1,IFERROR(W62-U62,""),"")</f>
        <v/>
      </c>
      <c r="W33" s="52">
        <f>IF(W63=1,W62-$C$62,"")</f>
        <v/>
      </c>
      <c r="X33" s="52">
        <f>IF(X63=1,IFERROR(Y62-W62,""),"")</f>
        <v/>
      </c>
      <c r="Y33" s="52">
        <f>IF(Y63=1,Y62-$C$62,"")</f>
        <v/>
      </c>
      <c r="Z33" s="52">
        <f>IF(Z63=1,IFERROR(AA62-Y62,""),"")</f>
        <v/>
      </c>
      <c r="AA33" s="52">
        <f>IF(AA63=1,AA62-$C$62,"")</f>
        <v/>
      </c>
      <c r="AB33" s="52">
        <f>IF(AB63=1,IFERROR(AC62-AA62,""),"")</f>
        <v/>
      </c>
      <c r="AC33" s="52">
        <f>IF(AC63=1,AC62-$C$62,"")</f>
        <v/>
      </c>
      <c r="AD33" s="52">
        <f>IF(AD63=1,IFERROR(AE62-AC62,""),"")</f>
        <v/>
      </c>
      <c r="AE33" s="52">
        <f>IF(AE63=1,AE62-$C$62,"")</f>
        <v/>
      </c>
      <c r="AF33" s="52">
        <f>IF(AF63=1,IFERROR(AG62-AE62,""),"")</f>
        <v/>
      </c>
      <c r="AG33" s="52">
        <f>IF(AG63=1,AG62-$C$62,"")</f>
        <v/>
      </c>
    </row>
    <row r="34" ht="27" customHeight="1">
      <c r="A34" s="53" t="inlineStr">
        <is>
          <t>Nhịp: KC trục theo mặt bằng (nhập để đối chiếu)</t>
        </is>
      </c>
      <c r="B34" s="6" t="n"/>
      <c r="C34" s="54" t="n"/>
      <c r="D34" s="55" t="n"/>
      <c r="E34" s="54" t="n"/>
      <c r="F34" s="55" t="n"/>
      <c r="G34" s="54" t="n"/>
      <c r="H34" s="55" t="n"/>
      <c r="I34" s="54" t="n"/>
      <c r="J34" s="55" t="n"/>
      <c r="K34" s="54" t="n"/>
      <c r="L34" s="55" t="n"/>
      <c r="M34" s="54" t="n"/>
      <c r="N34" s="55" t="n"/>
      <c r="O34" s="54" t="n"/>
      <c r="P34" s="55" t="n"/>
      <c r="Q34" s="54" t="n"/>
      <c r="R34" s="55" t="n"/>
      <c r="S34" s="54" t="n"/>
      <c r="T34" s="55" t="n"/>
      <c r="U34" s="54" t="n"/>
      <c r="V34" s="55" t="n"/>
      <c r="W34" s="54" t="n"/>
      <c r="X34" s="55" t="n"/>
      <c r="Y34" s="54" t="n"/>
      <c r="Z34" s="55" t="n"/>
      <c r="AA34" s="54" t="n"/>
      <c r="AB34" s="55" t="n"/>
      <c r="AC34" s="54" t="n"/>
      <c r="AD34" s="55" t="n"/>
      <c r="AE34" s="54" t="n"/>
      <c r="AF34" s="55" t="n"/>
      <c r="AG34" s="54" t="n"/>
    </row>
    <row r="35" ht="27" customHeight="1">
      <c r="A35" s="51" t="inlineStr">
        <is>
          <t>Nhịp: Ltt suy ra từ KC trục ở dòng 34 (mm)</t>
        </is>
      </c>
      <c r="B35" s="6" t="n"/>
      <c r="C35" s="52" t="n"/>
      <c r="D35" s="52">
        <f>IF(D34="","",D34-(N(C60)/2-C67)-(N(E60)/2+E67))</f>
        <v/>
      </c>
      <c r="E35" s="52" t="n"/>
      <c r="F35" s="52">
        <f>IF(F34="","",F34-(N(E60)/2-E67)-(N(G60)/2+G67))</f>
        <v/>
      </c>
      <c r="G35" s="52" t="n"/>
      <c r="H35" s="52">
        <f>IF(H34="","",H34-(N(G60)/2-G67)-(N(I60)/2+I67))</f>
        <v/>
      </c>
      <c r="I35" s="52" t="n"/>
      <c r="J35" s="52">
        <f>IF(J34="","",J34-(N(I60)/2-I67)-(N(K60)/2+K67))</f>
        <v/>
      </c>
      <c r="K35" s="52" t="n"/>
      <c r="L35" s="52">
        <f>IF(L34="","",L34-(N(K60)/2-K67)-(N(M60)/2+M67))</f>
        <v/>
      </c>
      <c r="M35" s="52" t="n"/>
      <c r="N35" s="52">
        <f>IF(N34="","",N34-(N(M60)/2-M67)-(N(O60)/2+O67))</f>
        <v/>
      </c>
      <c r="O35" s="52" t="n"/>
      <c r="P35" s="52">
        <f>IF(P34="","",P34-(N(O60)/2-O67)-(N(Q60)/2+Q67))</f>
        <v/>
      </c>
      <c r="Q35" s="52" t="n"/>
      <c r="R35" s="52">
        <f>IF(R34="","",R34-(N(Q60)/2-Q67)-(N(S60)/2+S67))</f>
        <v/>
      </c>
      <c r="S35" s="52" t="n"/>
      <c r="T35" s="52">
        <f>IF(T34="","",T34-(N(S60)/2-S67)-(N(U60)/2+U67))</f>
        <v/>
      </c>
      <c r="U35" s="52" t="n"/>
      <c r="V35" s="52">
        <f>IF(V34="","",V34-(N(U60)/2-U67)-(N(W60)/2+W67))</f>
        <v/>
      </c>
      <c r="W35" s="52" t="n"/>
      <c r="X35" s="52">
        <f>IF(X34="","",X34-(N(W60)/2-W67)-(N(Y60)/2+Y67))</f>
        <v/>
      </c>
      <c r="Y35" s="52" t="n"/>
      <c r="Z35" s="52">
        <f>IF(Z34="","",Z34-(N(Y60)/2-Y67)-(N(AA60)/2+AA67))</f>
        <v/>
      </c>
      <c r="AA35" s="52" t="n"/>
      <c r="AB35" s="52">
        <f>IF(AB34="","",AB34-(N(AA60)/2-AA67)-(N(AC60)/2+AC67))</f>
        <v/>
      </c>
      <c r="AC35" s="52" t="n"/>
      <c r="AD35" s="52">
        <f>IF(AD34="","",AD34-(N(AC60)/2-AC67)-(N(AE60)/2+AE67))</f>
        <v/>
      </c>
      <c r="AE35" s="52" t="n"/>
      <c r="AF35" s="52">
        <f>IF(AF34="","",AF34-(N(AE60)/2-AE67)-(N(AG60)/2+AG67))</f>
        <v/>
      </c>
      <c r="AG35" s="52" t="n"/>
    </row>
    <row r="36" ht="18" customHeight="1">
      <c r="A36" s="49" t="inlineStr">
        <is>
          <t>KIỂM TRA DIỆN TÍCH THÉP (cm²) – thép chạy suốt hiệu dụng + tăng cường lớp 1..5 (gối: trái/phải)</t>
        </is>
      </c>
      <c r="B36" s="50" t="n"/>
      <c r="C36" s="50" t="n"/>
      <c r="D36" s="50" t="n"/>
      <c r="E36" s="50" t="n"/>
      <c r="F36" s="50" t="n"/>
      <c r="G36" s="50" t="n"/>
      <c r="H36" s="50" t="n"/>
      <c r="I36" s="50" t="n"/>
      <c r="J36" s="50" t="n"/>
      <c r="K36" s="50" t="n"/>
      <c r="L36" s="50" t="n"/>
      <c r="M36" s="50" t="n"/>
      <c r="N36" s="50" t="n"/>
      <c r="O36" s="50" t="n"/>
      <c r="P36" s="50" t="n"/>
      <c r="Q36" s="50" t="n"/>
      <c r="R36" s="50" t="n"/>
      <c r="S36" s="50" t="n"/>
      <c r="T36" s="50" t="n"/>
      <c r="U36" s="50" t="n"/>
      <c r="V36" s="50" t="n"/>
      <c r="W36" s="50" t="n"/>
      <c r="X36" s="50" t="n"/>
      <c r="Y36" s="50" t="n"/>
      <c r="Z36" s="50" t="n"/>
      <c r="AA36" s="50" t="n"/>
      <c r="AB36" s="50" t="n"/>
      <c r="AC36" s="50" t="n"/>
      <c r="AD36" s="50" t="n"/>
      <c r="AE36" s="50" t="n"/>
      <c r="AF36" s="50" t="n"/>
      <c r="AG36" s="50" t="n"/>
    </row>
    <row r="37" ht="27" customHeight="1">
      <c r="A37" s="53" t="inlineStr">
        <is>
          <t>As yêu cầu TRÊN (nhập; gối: trái/phải vd 2.63/1.45)</t>
        </is>
      </c>
      <c r="B37" s="6" t="n"/>
      <c r="C37" s="56" t="n">
        <v>35.2</v>
      </c>
      <c r="D37" s="56" t="n"/>
      <c r="E37" s="56" t="inlineStr">
        <is>
          <t>48.5/50.1</t>
        </is>
      </c>
      <c r="F37" s="56" t="n"/>
      <c r="G37" s="56" t="inlineStr">
        <is>
          <t>42.0/65.0</t>
        </is>
      </c>
      <c r="H37" s="56" t="n"/>
      <c r="I37" s="56" t="inlineStr">
        <is>
          <t>98.6/101.3</t>
        </is>
      </c>
      <c r="J37" s="56" t="n"/>
      <c r="K37" s="56" t="inlineStr">
        <is>
          <t>55.0/45.0</t>
        </is>
      </c>
      <c r="L37" s="56" t="n"/>
      <c r="M37" s="56" t="inlineStr">
        <is>
          <t>30.2/31.0</t>
        </is>
      </c>
      <c r="N37" s="56" t="n"/>
      <c r="O37" s="56" t="n">
        <v>20.5</v>
      </c>
      <c r="P37" s="56" t="n"/>
      <c r="Q37" s="56" t="n"/>
      <c r="R37" s="56" t="n"/>
      <c r="S37" s="56" t="n"/>
      <c r="T37" s="56" t="n"/>
      <c r="U37" s="56" t="n"/>
      <c r="V37" s="56" t="n"/>
      <c r="W37" s="56" t="n"/>
      <c r="X37" s="56" t="n"/>
      <c r="Y37" s="56" t="n"/>
      <c r="Z37" s="56" t="n"/>
      <c r="AA37" s="56" t="n"/>
      <c r="AB37" s="56" t="n"/>
      <c r="AC37" s="56" t="n"/>
      <c r="AD37" s="56" t="n"/>
      <c r="AE37" s="56" t="n"/>
      <c r="AF37" s="56" t="n"/>
      <c r="AG37" s="56" t="n"/>
    </row>
    <row r="38" ht="27" customHeight="1">
      <c r="A38" s="51" t="inlineStr">
        <is>
          <t>As bố trí TRÊN</t>
        </is>
      </c>
      <c r="B38" s="6" t="n"/>
      <c r="C38" s="57">
        <f>IF(C63=1,IF(C65*C66=1,FIXED(C116,2,TRUE)&amp;"/"&amp;FIXED(C117,2,TRUE),IF(C65=1,FIXED(C116,2,TRUE),FIXED(C117,2,TRUE))),"")</f>
        <v/>
      </c>
      <c r="D38" s="58">
        <f>IF(D63=1,ROUND(D116,2),"")</f>
        <v/>
      </c>
      <c r="E38" s="57">
        <f>IF(E63=1,IF(E65*E66=1,FIXED(E116,2,TRUE)&amp;"/"&amp;FIXED(E117,2,TRUE),IF(E65=1,FIXED(E116,2,TRUE),FIXED(E117,2,TRUE))),"")</f>
        <v/>
      </c>
      <c r="F38" s="58">
        <f>IF(F63=1,ROUND(F116,2),"")</f>
        <v/>
      </c>
      <c r="G38" s="57">
        <f>IF(G63=1,IF(G65*G66=1,FIXED(G116,2,TRUE)&amp;"/"&amp;FIXED(G117,2,TRUE),IF(G65=1,FIXED(G116,2,TRUE),FIXED(G117,2,TRUE))),"")</f>
        <v/>
      </c>
      <c r="H38" s="58">
        <f>IF(H63=1,ROUND(H116,2),"")</f>
        <v/>
      </c>
      <c r="I38" s="57">
        <f>IF(I63=1,IF(I65*I66=1,FIXED(I116,2,TRUE)&amp;"/"&amp;FIXED(I117,2,TRUE),IF(I65=1,FIXED(I116,2,TRUE),FIXED(I117,2,TRUE))),"")</f>
        <v/>
      </c>
      <c r="J38" s="58">
        <f>IF(J63=1,ROUND(J116,2),"")</f>
        <v/>
      </c>
      <c r="K38" s="57">
        <f>IF(K63=1,IF(K65*K66=1,FIXED(K116,2,TRUE)&amp;"/"&amp;FIXED(K117,2,TRUE),IF(K65=1,FIXED(K116,2,TRUE),FIXED(K117,2,TRUE))),"")</f>
        <v/>
      </c>
      <c r="L38" s="58">
        <f>IF(L63=1,ROUND(L116,2),"")</f>
        <v/>
      </c>
      <c r="M38" s="57">
        <f>IF(M63=1,IF(M65*M66=1,FIXED(M116,2,TRUE)&amp;"/"&amp;FIXED(M117,2,TRUE),IF(M65=1,FIXED(M116,2,TRUE),FIXED(M117,2,TRUE))),"")</f>
        <v/>
      </c>
      <c r="N38" s="58">
        <f>IF(N63=1,ROUND(N116,2),"")</f>
        <v/>
      </c>
      <c r="O38" s="57">
        <f>IF(O63=1,IF(O65*O66=1,FIXED(O116,2,TRUE)&amp;"/"&amp;FIXED(O117,2,TRUE),IF(O65=1,FIXED(O116,2,TRUE),FIXED(O117,2,TRUE))),"")</f>
        <v/>
      </c>
      <c r="P38" s="58">
        <f>IF(P63=1,ROUND(P116,2),"")</f>
        <v/>
      </c>
      <c r="Q38" s="57">
        <f>IF(Q63=1,IF(Q65*Q66=1,FIXED(Q116,2,TRUE)&amp;"/"&amp;FIXED(Q117,2,TRUE),IF(Q65=1,FIXED(Q116,2,TRUE),FIXED(Q117,2,TRUE))),"")</f>
        <v/>
      </c>
      <c r="R38" s="58">
        <f>IF(R63=1,ROUND(R116,2),"")</f>
        <v/>
      </c>
      <c r="S38" s="57">
        <f>IF(S63=1,IF(S65*S66=1,FIXED(S116,2,TRUE)&amp;"/"&amp;FIXED(S117,2,TRUE),IF(S65=1,FIXED(S116,2,TRUE),FIXED(S117,2,TRUE))),"")</f>
        <v/>
      </c>
      <c r="T38" s="58">
        <f>IF(T63=1,ROUND(T116,2),"")</f>
        <v/>
      </c>
      <c r="U38" s="57">
        <f>IF(U63=1,IF(U65*U66=1,FIXED(U116,2,TRUE)&amp;"/"&amp;FIXED(U117,2,TRUE),IF(U65=1,FIXED(U116,2,TRUE),FIXED(U117,2,TRUE))),"")</f>
        <v/>
      </c>
      <c r="V38" s="58">
        <f>IF(V63=1,ROUND(V116,2),"")</f>
        <v/>
      </c>
      <c r="W38" s="57">
        <f>IF(W63=1,IF(W65*W66=1,FIXED(W116,2,TRUE)&amp;"/"&amp;FIXED(W117,2,TRUE),IF(W65=1,FIXED(W116,2,TRUE),FIXED(W117,2,TRUE))),"")</f>
        <v/>
      </c>
      <c r="X38" s="58">
        <f>IF(X63=1,ROUND(X116,2),"")</f>
        <v/>
      </c>
      <c r="Y38" s="57">
        <f>IF(Y63=1,IF(Y65*Y66=1,FIXED(Y116,2,TRUE)&amp;"/"&amp;FIXED(Y117,2,TRUE),IF(Y65=1,FIXED(Y116,2,TRUE),FIXED(Y117,2,TRUE))),"")</f>
        <v/>
      </c>
      <c r="Z38" s="58">
        <f>IF(Z63=1,ROUND(Z116,2),"")</f>
        <v/>
      </c>
      <c r="AA38" s="57">
        <f>IF(AA63=1,IF(AA65*AA66=1,FIXED(AA116,2,TRUE)&amp;"/"&amp;FIXED(AA117,2,TRUE),IF(AA65=1,FIXED(AA116,2,TRUE),FIXED(AA117,2,TRUE))),"")</f>
        <v/>
      </c>
      <c r="AB38" s="58">
        <f>IF(AB63=1,ROUND(AB116,2),"")</f>
        <v/>
      </c>
      <c r="AC38" s="57">
        <f>IF(AC63=1,IF(AC65*AC66=1,FIXED(AC116,2,TRUE)&amp;"/"&amp;FIXED(AC117,2,TRUE),IF(AC65=1,FIXED(AC116,2,TRUE),FIXED(AC117,2,TRUE))),"")</f>
        <v/>
      </c>
      <c r="AD38" s="58">
        <f>IF(AD63=1,ROUND(AD116,2),"")</f>
        <v/>
      </c>
      <c r="AE38" s="57">
        <f>IF(AE63=1,IF(AE65*AE66=1,FIXED(AE116,2,TRUE)&amp;"/"&amp;FIXED(AE117,2,TRUE),IF(AE65=1,FIXED(AE116,2,TRUE),FIXED(AE117,2,TRUE))),"")</f>
        <v/>
      </c>
      <c r="AF38" s="58">
        <f>IF(AF63=1,ROUND(AF116,2),"")</f>
        <v/>
      </c>
      <c r="AG38" s="57">
        <f>IF(AG63=1,IF(AG65*AG66=1,FIXED(AG116,2,TRUE)&amp;"/"&amp;FIXED(AG117,2,TRUE),IF(AG65=1,FIXED(AG116,2,TRUE),FIXED(AG117,2,TRUE))),"")</f>
        <v/>
      </c>
    </row>
    <row r="39" ht="27" customHeight="1">
      <c r="A39" s="51" t="inlineStr">
        <is>
          <t>Hệ số As bố trí / yêu cầu TRÊN</t>
        </is>
      </c>
      <c r="B39" s="6" t="n"/>
      <c r="C39" s="58">
        <f>IF(OR(C63=0,C120=""),"",IF(MIN(IF(AND(C65=1,N(C120)&gt;0),C116/C120,99),IF(AND(C66=1,N(C121)&gt;0),C117/C121,99))=99,"",ROUND(MIN(IF(AND(C65=1,N(C120)&gt;0),C116/C120,99),IF(AND(C66=1,N(C121)&gt;0),C117/C121,99)),2)))</f>
        <v/>
      </c>
      <c r="D39" s="58">
        <f>IF(OR(D63=0,D120=""),"",IF(MIN(IF(AND(D65=1,N(D120)&gt;0),D116/D120,99),IF(AND(D66=1,N(D121)&gt;0),D117/D121,99))=99,"",ROUND(MIN(IF(AND(D65=1,N(D120)&gt;0),D116/D120,99),IF(AND(D66=1,N(D121)&gt;0),D117/D121,99)),2)))</f>
        <v/>
      </c>
      <c r="E39" s="58">
        <f>IF(OR(E63=0,E120=""),"",IF(MIN(IF(AND(E65=1,N(E120)&gt;0),E116/E120,99),IF(AND(E66=1,N(E121)&gt;0),E117/E121,99))=99,"",ROUND(MIN(IF(AND(E65=1,N(E120)&gt;0),E116/E120,99),IF(AND(E66=1,N(E121)&gt;0),E117/E121,99)),2)))</f>
        <v/>
      </c>
      <c r="F39" s="58">
        <f>IF(OR(F63=0,F120=""),"",IF(MIN(IF(AND(F65=1,N(F120)&gt;0),F116/F120,99),IF(AND(F66=1,N(F121)&gt;0),F117/F121,99))=99,"",ROUND(MIN(IF(AND(F65=1,N(F120)&gt;0),F116/F120,99),IF(AND(F66=1,N(F121)&gt;0),F117/F121,99)),2)))</f>
        <v/>
      </c>
      <c r="G39" s="58">
        <f>IF(OR(G63=0,G120=""),"",IF(MIN(IF(AND(G65=1,N(G120)&gt;0),G116/G120,99),IF(AND(G66=1,N(G121)&gt;0),G117/G121,99))=99,"",ROUND(MIN(IF(AND(G65=1,N(G120)&gt;0),G116/G120,99),IF(AND(G66=1,N(G121)&gt;0),G117/G121,99)),2)))</f>
        <v/>
      </c>
      <c r="H39" s="58">
        <f>IF(OR(H63=0,H120=""),"",IF(MIN(IF(AND(H65=1,N(H120)&gt;0),H116/H120,99),IF(AND(H66=1,N(H121)&gt;0),H117/H121,99))=99,"",ROUND(MIN(IF(AND(H65=1,N(H120)&gt;0),H116/H120,99),IF(AND(H66=1,N(H121)&gt;0),H117/H121,99)),2)))</f>
        <v/>
      </c>
      <c r="I39" s="58">
        <f>IF(OR(I63=0,I120=""),"",IF(MIN(IF(AND(I65=1,N(I120)&gt;0),I116/I120,99),IF(AND(I66=1,N(I121)&gt;0),I117/I121,99))=99,"",ROUND(MIN(IF(AND(I65=1,N(I120)&gt;0),I116/I120,99),IF(AND(I66=1,N(I121)&gt;0),I117/I121,99)),2)))</f>
        <v/>
      </c>
      <c r="J39" s="58">
        <f>IF(OR(J63=0,J120=""),"",IF(MIN(IF(AND(J65=1,N(J120)&gt;0),J116/J120,99),IF(AND(J66=1,N(J121)&gt;0),J117/J121,99))=99,"",ROUND(MIN(IF(AND(J65=1,N(J120)&gt;0),J116/J120,99),IF(AND(J66=1,N(J121)&gt;0),J117/J121,99)),2)))</f>
        <v/>
      </c>
      <c r="K39" s="58">
        <f>IF(OR(K63=0,K120=""),"",IF(MIN(IF(AND(K65=1,N(K120)&gt;0),K116/K120,99),IF(AND(K66=1,N(K121)&gt;0),K117/K121,99))=99,"",ROUND(MIN(IF(AND(K65=1,N(K120)&gt;0),K116/K120,99),IF(AND(K66=1,N(K121)&gt;0),K117/K121,99)),2)))</f>
        <v/>
      </c>
      <c r="L39" s="58">
        <f>IF(OR(L63=0,L120=""),"",IF(MIN(IF(AND(L65=1,N(L120)&gt;0),L116/L120,99),IF(AND(L66=1,N(L121)&gt;0),L117/L121,99))=99,"",ROUND(MIN(IF(AND(L65=1,N(L120)&gt;0),L116/L120,99),IF(AND(L66=1,N(L121)&gt;0),L117/L121,99)),2)))</f>
        <v/>
      </c>
      <c r="M39" s="58">
        <f>IF(OR(M63=0,M120=""),"",IF(MIN(IF(AND(M65=1,N(M120)&gt;0),M116/M120,99),IF(AND(M66=1,N(M121)&gt;0),M117/M121,99))=99,"",ROUND(MIN(IF(AND(M65=1,N(M120)&gt;0),M116/M120,99),IF(AND(M66=1,N(M121)&gt;0),M117/M121,99)),2)))</f>
        <v/>
      </c>
      <c r="N39" s="58">
        <f>IF(OR(N63=0,N120=""),"",IF(MIN(IF(AND(N65=1,N(N120)&gt;0),N116/N120,99),IF(AND(N66=1,N(N121)&gt;0),N117/N121,99))=99,"",ROUND(MIN(IF(AND(N65=1,N(N120)&gt;0),N116/N120,99),IF(AND(N66=1,N(N121)&gt;0),N117/N121,99)),2)))</f>
        <v/>
      </c>
      <c r="O39" s="58">
        <f>IF(OR(O63=0,O120=""),"",IF(MIN(IF(AND(O65=1,N(O120)&gt;0),O116/O120,99),IF(AND(O66=1,N(O121)&gt;0),O117/O121,99))=99,"",ROUND(MIN(IF(AND(O65=1,N(O120)&gt;0),O116/O120,99),IF(AND(O66=1,N(O121)&gt;0),O117/O121,99)),2)))</f>
        <v/>
      </c>
      <c r="P39" s="58">
        <f>IF(OR(P63=0,P120=""),"",IF(MIN(IF(AND(P65=1,N(P120)&gt;0),P116/P120,99),IF(AND(P66=1,N(P121)&gt;0),P117/P121,99))=99,"",ROUND(MIN(IF(AND(P65=1,N(P120)&gt;0),P116/P120,99),IF(AND(P66=1,N(P121)&gt;0),P117/P121,99)),2)))</f>
        <v/>
      </c>
      <c r="Q39" s="58">
        <f>IF(OR(Q63=0,Q120=""),"",IF(MIN(IF(AND(Q65=1,N(Q120)&gt;0),Q116/Q120,99),IF(AND(Q66=1,N(Q121)&gt;0),Q117/Q121,99))=99,"",ROUND(MIN(IF(AND(Q65=1,N(Q120)&gt;0),Q116/Q120,99),IF(AND(Q66=1,N(Q121)&gt;0),Q117/Q121,99)),2)))</f>
        <v/>
      </c>
      <c r="R39" s="58">
        <f>IF(OR(R63=0,R120=""),"",IF(MIN(IF(AND(R65=1,N(R120)&gt;0),R116/R120,99),IF(AND(R66=1,N(R121)&gt;0),R117/R121,99))=99,"",ROUND(MIN(IF(AND(R65=1,N(R120)&gt;0),R116/R120,99),IF(AND(R66=1,N(R121)&gt;0),R117/R121,99)),2)))</f>
        <v/>
      </c>
      <c r="S39" s="58">
        <f>IF(OR(S63=0,S120=""),"",IF(MIN(IF(AND(S65=1,N(S120)&gt;0),S116/S120,99),IF(AND(S66=1,N(S121)&gt;0),S117/S121,99))=99,"",ROUND(MIN(IF(AND(S65=1,N(S120)&gt;0),S116/S120,99),IF(AND(S66=1,N(S121)&gt;0),S117/S121,99)),2)))</f>
        <v/>
      </c>
      <c r="T39" s="58">
        <f>IF(OR(T63=0,T120=""),"",IF(MIN(IF(AND(T65=1,N(T120)&gt;0),T116/T120,99),IF(AND(T66=1,N(T121)&gt;0),T117/T121,99))=99,"",ROUND(MIN(IF(AND(T65=1,N(T120)&gt;0),T116/T120,99),IF(AND(T66=1,N(T121)&gt;0),T117/T121,99)),2)))</f>
        <v/>
      </c>
      <c r="U39" s="58">
        <f>IF(OR(U63=0,U120=""),"",IF(MIN(IF(AND(U65=1,N(U120)&gt;0),U116/U120,99),IF(AND(U66=1,N(U121)&gt;0),U117/U121,99))=99,"",ROUND(MIN(IF(AND(U65=1,N(U120)&gt;0),U116/U120,99),IF(AND(U66=1,N(U121)&gt;0),U117/U121,99)),2)))</f>
        <v/>
      </c>
      <c r="V39" s="58">
        <f>IF(OR(V63=0,V120=""),"",IF(MIN(IF(AND(V65=1,N(V120)&gt;0),V116/V120,99),IF(AND(V66=1,N(V121)&gt;0),V117/V121,99))=99,"",ROUND(MIN(IF(AND(V65=1,N(V120)&gt;0),V116/V120,99),IF(AND(V66=1,N(V121)&gt;0),V117/V121,99)),2)))</f>
        <v/>
      </c>
      <c r="W39" s="58">
        <f>IF(OR(W63=0,W120=""),"",IF(MIN(IF(AND(W65=1,N(W120)&gt;0),W116/W120,99),IF(AND(W66=1,N(W121)&gt;0),W117/W121,99))=99,"",ROUND(MIN(IF(AND(W65=1,N(W120)&gt;0),W116/W120,99),IF(AND(W66=1,N(W121)&gt;0),W117/W121,99)),2)))</f>
        <v/>
      </c>
      <c r="X39" s="58">
        <f>IF(OR(X63=0,X120=""),"",IF(MIN(IF(AND(X65=1,N(X120)&gt;0),X116/X120,99),IF(AND(X66=1,N(X121)&gt;0),X117/X121,99))=99,"",ROUND(MIN(IF(AND(X65=1,N(X120)&gt;0),X116/X120,99),IF(AND(X66=1,N(X121)&gt;0),X117/X121,99)),2)))</f>
        <v/>
      </c>
      <c r="Y39" s="58">
        <f>IF(OR(Y63=0,Y120=""),"",IF(MIN(IF(AND(Y65=1,N(Y120)&gt;0),Y116/Y120,99),IF(AND(Y66=1,N(Y121)&gt;0),Y117/Y121,99))=99,"",ROUND(MIN(IF(AND(Y65=1,N(Y120)&gt;0),Y116/Y120,99),IF(AND(Y66=1,N(Y121)&gt;0),Y117/Y121,99)),2)))</f>
        <v/>
      </c>
      <c r="Z39" s="58">
        <f>IF(OR(Z63=0,Z120=""),"",IF(MIN(IF(AND(Z65=1,N(Z120)&gt;0),Z116/Z120,99),IF(AND(Z66=1,N(Z121)&gt;0),Z117/Z121,99))=99,"",ROUND(MIN(IF(AND(Z65=1,N(Z120)&gt;0),Z116/Z120,99),IF(AND(Z66=1,N(Z121)&gt;0),Z117/Z121,99)),2)))</f>
        <v/>
      </c>
      <c r="AA39" s="58">
        <f>IF(OR(AA63=0,AA120=""),"",IF(MIN(IF(AND(AA65=1,N(AA120)&gt;0),AA116/AA120,99),IF(AND(AA66=1,N(AA121)&gt;0),AA117/AA121,99))=99,"",ROUND(MIN(IF(AND(AA65=1,N(AA120)&gt;0),AA116/AA120,99),IF(AND(AA66=1,N(AA121)&gt;0),AA117/AA121,99)),2)))</f>
        <v/>
      </c>
      <c r="AB39" s="58">
        <f>IF(OR(AB63=0,AB120=""),"",IF(MIN(IF(AND(AB65=1,N(AB120)&gt;0),AB116/AB120,99),IF(AND(AB66=1,N(AB121)&gt;0),AB117/AB121,99))=99,"",ROUND(MIN(IF(AND(AB65=1,N(AB120)&gt;0),AB116/AB120,99),IF(AND(AB66=1,N(AB121)&gt;0),AB117/AB121,99)),2)))</f>
        <v/>
      </c>
      <c r="AC39" s="58">
        <f>IF(OR(AC63=0,AC120=""),"",IF(MIN(IF(AND(AC65=1,N(AC120)&gt;0),AC116/AC120,99),IF(AND(AC66=1,N(AC121)&gt;0),AC117/AC121,99))=99,"",ROUND(MIN(IF(AND(AC65=1,N(AC120)&gt;0),AC116/AC120,99),IF(AND(AC66=1,N(AC121)&gt;0),AC117/AC121,99)),2)))</f>
        <v/>
      </c>
      <c r="AD39" s="58">
        <f>IF(OR(AD63=0,AD120=""),"",IF(MIN(IF(AND(AD65=1,N(AD120)&gt;0),AD116/AD120,99),IF(AND(AD66=1,N(AD121)&gt;0),AD117/AD121,99))=99,"",ROUND(MIN(IF(AND(AD65=1,N(AD120)&gt;0),AD116/AD120,99),IF(AND(AD66=1,N(AD121)&gt;0),AD117/AD121,99)),2)))</f>
        <v/>
      </c>
      <c r="AE39" s="58">
        <f>IF(OR(AE63=0,AE120=""),"",IF(MIN(IF(AND(AE65=1,N(AE120)&gt;0),AE116/AE120,99),IF(AND(AE66=1,N(AE121)&gt;0),AE117/AE121,99))=99,"",ROUND(MIN(IF(AND(AE65=1,N(AE120)&gt;0),AE116/AE120,99),IF(AND(AE66=1,N(AE121)&gt;0),AE117/AE121,99)),2)))</f>
        <v/>
      </c>
      <c r="AF39" s="58">
        <f>IF(OR(AF63=0,AF120=""),"",IF(MIN(IF(AND(AF65=1,N(AF120)&gt;0),AF116/AF120,99),IF(AND(AF66=1,N(AF121)&gt;0),AF117/AF121,99))=99,"",ROUND(MIN(IF(AND(AF65=1,N(AF120)&gt;0),AF116/AF120,99),IF(AND(AF66=1,N(AF121)&gt;0),AF117/AF121,99)),2)))</f>
        <v/>
      </c>
      <c r="AG39" s="58">
        <f>IF(OR(AG63=0,AG120=""),"",IF(MIN(IF(AND(AG65=1,N(AG120)&gt;0),AG116/AG120,99),IF(AND(AG66=1,N(AG121)&gt;0),AG117/AG121,99))=99,"",ROUND(MIN(IF(AND(AG65=1,N(AG120)&gt;0),AG116/AG120,99),IF(AND(AG66=1,N(AG121)&gt;0),AG117/AG121,99)),2)))</f>
        <v/>
      </c>
    </row>
    <row r="40" ht="27" customHeight="1">
      <c r="A40" s="53" t="inlineStr">
        <is>
          <t>As yêu cầu DƯỚI (nhập)</t>
        </is>
      </c>
      <c r="B40" s="6" t="n"/>
      <c r="C40" s="56" t="n"/>
      <c r="D40" s="56" t="n">
        <v>45.3</v>
      </c>
      <c r="E40" s="56" t="n"/>
      <c r="F40" s="56" t="n">
        <v>40.2</v>
      </c>
      <c r="G40" s="56" t="n"/>
      <c r="H40" s="56" t="n">
        <v>58.1</v>
      </c>
      <c r="I40" s="56" t="n"/>
      <c r="J40" s="56" t="n">
        <v>50.2</v>
      </c>
      <c r="K40" s="56" t="n"/>
      <c r="L40" s="56" t="n">
        <v>25</v>
      </c>
      <c r="M40" s="56" t="n"/>
      <c r="N40" s="56" t="n">
        <v>26.3</v>
      </c>
      <c r="O40" s="56" t="n"/>
      <c r="P40" s="56" t="n"/>
      <c r="Q40" s="56" t="n"/>
      <c r="R40" s="56" t="n"/>
      <c r="S40" s="56" t="n"/>
      <c r="T40" s="56" t="n"/>
      <c r="U40" s="56" t="n"/>
      <c r="V40" s="56" t="n"/>
      <c r="W40" s="56" t="n"/>
      <c r="X40" s="56" t="n"/>
      <c r="Y40" s="56" t="n"/>
      <c r="Z40" s="56" t="n"/>
      <c r="AA40" s="56" t="n"/>
      <c r="AB40" s="56" t="n"/>
      <c r="AC40" s="56" t="n"/>
      <c r="AD40" s="56" t="n"/>
      <c r="AE40" s="56" t="n"/>
      <c r="AF40" s="56" t="n"/>
      <c r="AG40" s="56" t="n"/>
    </row>
    <row r="41" ht="27" customHeight="1">
      <c r="A41" s="51" t="inlineStr">
        <is>
          <t>As bố trí DƯỚI</t>
        </is>
      </c>
      <c r="B41" s="6" t="n"/>
      <c r="C41" s="57">
        <f>IF(C63=1,IF(C65*C66=1,FIXED(C118,2,TRUE)&amp;"/"&amp;FIXED(C119,2,TRUE),IF(C65=1,FIXED(C118,2,TRUE),FIXED(C119,2,TRUE))),"")</f>
        <v/>
      </c>
      <c r="D41" s="58">
        <f>IF(D63=1,ROUND(D118,2),"")</f>
        <v/>
      </c>
      <c r="E41" s="57">
        <f>IF(E63=1,IF(E65*E66=1,FIXED(E118,2,TRUE)&amp;"/"&amp;FIXED(E119,2,TRUE),IF(E65=1,FIXED(E118,2,TRUE),FIXED(E119,2,TRUE))),"")</f>
        <v/>
      </c>
      <c r="F41" s="58">
        <f>IF(F63=1,ROUND(F118,2),"")</f>
        <v/>
      </c>
      <c r="G41" s="57">
        <f>IF(G63=1,IF(G65*G66=1,FIXED(G118,2,TRUE)&amp;"/"&amp;FIXED(G119,2,TRUE),IF(G65=1,FIXED(G118,2,TRUE),FIXED(G119,2,TRUE))),"")</f>
        <v/>
      </c>
      <c r="H41" s="58">
        <f>IF(H63=1,ROUND(H118,2),"")</f>
        <v/>
      </c>
      <c r="I41" s="57">
        <f>IF(I63=1,IF(I65*I66=1,FIXED(I118,2,TRUE)&amp;"/"&amp;FIXED(I119,2,TRUE),IF(I65=1,FIXED(I118,2,TRUE),FIXED(I119,2,TRUE))),"")</f>
        <v/>
      </c>
      <c r="J41" s="58">
        <f>IF(J63=1,ROUND(J118,2),"")</f>
        <v/>
      </c>
      <c r="K41" s="57">
        <f>IF(K63=1,IF(K65*K66=1,FIXED(K118,2,TRUE)&amp;"/"&amp;FIXED(K119,2,TRUE),IF(K65=1,FIXED(K118,2,TRUE),FIXED(K119,2,TRUE))),"")</f>
        <v/>
      </c>
      <c r="L41" s="58">
        <f>IF(L63=1,ROUND(L118,2),"")</f>
        <v/>
      </c>
      <c r="M41" s="57">
        <f>IF(M63=1,IF(M65*M66=1,FIXED(M118,2,TRUE)&amp;"/"&amp;FIXED(M119,2,TRUE),IF(M65=1,FIXED(M118,2,TRUE),FIXED(M119,2,TRUE))),"")</f>
        <v/>
      </c>
      <c r="N41" s="58">
        <f>IF(N63=1,ROUND(N118,2),"")</f>
        <v/>
      </c>
      <c r="O41" s="57">
        <f>IF(O63=1,IF(O65*O66=1,FIXED(O118,2,TRUE)&amp;"/"&amp;FIXED(O119,2,TRUE),IF(O65=1,FIXED(O118,2,TRUE),FIXED(O119,2,TRUE))),"")</f>
        <v/>
      </c>
      <c r="P41" s="58">
        <f>IF(P63=1,ROUND(P118,2),"")</f>
        <v/>
      </c>
      <c r="Q41" s="57">
        <f>IF(Q63=1,IF(Q65*Q66=1,FIXED(Q118,2,TRUE)&amp;"/"&amp;FIXED(Q119,2,TRUE),IF(Q65=1,FIXED(Q118,2,TRUE),FIXED(Q119,2,TRUE))),"")</f>
        <v/>
      </c>
      <c r="R41" s="58">
        <f>IF(R63=1,ROUND(R118,2),"")</f>
        <v/>
      </c>
      <c r="S41" s="57">
        <f>IF(S63=1,IF(S65*S66=1,FIXED(S118,2,TRUE)&amp;"/"&amp;FIXED(S119,2,TRUE),IF(S65=1,FIXED(S118,2,TRUE),FIXED(S119,2,TRUE))),"")</f>
        <v/>
      </c>
      <c r="T41" s="58">
        <f>IF(T63=1,ROUND(T118,2),"")</f>
        <v/>
      </c>
      <c r="U41" s="57">
        <f>IF(U63=1,IF(U65*U66=1,FIXED(U118,2,TRUE)&amp;"/"&amp;FIXED(U119,2,TRUE),IF(U65=1,FIXED(U118,2,TRUE),FIXED(U119,2,TRUE))),"")</f>
        <v/>
      </c>
      <c r="V41" s="58">
        <f>IF(V63=1,ROUND(V118,2),"")</f>
        <v/>
      </c>
      <c r="W41" s="57">
        <f>IF(W63=1,IF(W65*W66=1,FIXED(W118,2,TRUE)&amp;"/"&amp;FIXED(W119,2,TRUE),IF(W65=1,FIXED(W118,2,TRUE),FIXED(W119,2,TRUE))),"")</f>
        <v/>
      </c>
      <c r="X41" s="58">
        <f>IF(X63=1,ROUND(X118,2),"")</f>
        <v/>
      </c>
      <c r="Y41" s="57">
        <f>IF(Y63=1,IF(Y65*Y66=1,FIXED(Y118,2,TRUE)&amp;"/"&amp;FIXED(Y119,2,TRUE),IF(Y65=1,FIXED(Y118,2,TRUE),FIXED(Y119,2,TRUE))),"")</f>
        <v/>
      </c>
      <c r="Z41" s="58">
        <f>IF(Z63=1,ROUND(Z118,2),"")</f>
        <v/>
      </c>
      <c r="AA41" s="57">
        <f>IF(AA63=1,IF(AA65*AA66=1,FIXED(AA118,2,TRUE)&amp;"/"&amp;FIXED(AA119,2,TRUE),IF(AA65=1,FIXED(AA118,2,TRUE),FIXED(AA119,2,TRUE))),"")</f>
        <v/>
      </c>
      <c r="AB41" s="58">
        <f>IF(AB63=1,ROUND(AB118,2),"")</f>
        <v/>
      </c>
      <c r="AC41" s="57">
        <f>IF(AC63=1,IF(AC65*AC66=1,FIXED(AC118,2,TRUE)&amp;"/"&amp;FIXED(AC119,2,TRUE),IF(AC65=1,FIXED(AC118,2,TRUE),FIXED(AC119,2,TRUE))),"")</f>
        <v/>
      </c>
      <c r="AD41" s="58">
        <f>IF(AD63=1,ROUND(AD118,2),"")</f>
        <v/>
      </c>
      <c r="AE41" s="57">
        <f>IF(AE63=1,IF(AE65*AE66=1,FIXED(AE118,2,TRUE)&amp;"/"&amp;FIXED(AE119,2,TRUE),IF(AE65=1,FIXED(AE118,2,TRUE),FIXED(AE119,2,TRUE))),"")</f>
        <v/>
      </c>
      <c r="AF41" s="58">
        <f>IF(AF63=1,ROUND(AF118,2),"")</f>
        <v/>
      </c>
      <c r="AG41" s="57">
        <f>IF(AG63=1,IF(AG65*AG66=1,FIXED(AG118,2,TRUE)&amp;"/"&amp;FIXED(AG119,2,TRUE),IF(AG65=1,FIXED(AG118,2,TRUE),FIXED(AG119,2,TRUE))),"")</f>
        <v/>
      </c>
    </row>
    <row r="42" ht="27" customHeight="1">
      <c r="A42" s="51" t="inlineStr">
        <is>
          <t>Hệ số As bố trí / yêu cầu DƯỚI</t>
        </is>
      </c>
      <c r="B42" s="6" t="n"/>
      <c r="C42" s="58">
        <f>IF(OR(C63=0,C122=""),"",IF(MIN(IF(AND(C65=1,N(C122)&gt;0),C118/C122,99),IF(AND(C66=1,N(C123)&gt;0),C119/C123,99))=99,"",ROUND(MIN(IF(AND(C65=1,N(C122)&gt;0),C118/C122,99),IF(AND(C66=1,N(C123)&gt;0),C119/C123,99)),2)))</f>
        <v/>
      </c>
      <c r="D42" s="58">
        <f>IF(OR(D63=0,D122=""),"",IF(MIN(IF(AND(D65=1,N(D122)&gt;0),D118/D122,99),IF(AND(D66=1,N(D123)&gt;0),D119/D123,99))=99,"",ROUND(MIN(IF(AND(D65=1,N(D122)&gt;0),D118/D122,99),IF(AND(D66=1,N(D123)&gt;0),D119/D123,99)),2)))</f>
        <v/>
      </c>
      <c r="E42" s="58">
        <f>IF(OR(E63=0,E122=""),"",IF(MIN(IF(AND(E65=1,N(E122)&gt;0),E118/E122,99),IF(AND(E66=1,N(E123)&gt;0),E119/E123,99))=99,"",ROUND(MIN(IF(AND(E65=1,N(E122)&gt;0),E118/E122,99),IF(AND(E66=1,N(E123)&gt;0),E119/E123,99)),2)))</f>
        <v/>
      </c>
      <c r="F42" s="58">
        <f>IF(OR(F63=0,F122=""),"",IF(MIN(IF(AND(F65=1,N(F122)&gt;0),F118/F122,99),IF(AND(F66=1,N(F123)&gt;0),F119/F123,99))=99,"",ROUND(MIN(IF(AND(F65=1,N(F122)&gt;0),F118/F122,99),IF(AND(F66=1,N(F123)&gt;0),F119/F123,99)),2)))</f>
        <v/>
      </c>
      <c r="G42" s="58">
        <f>IF(OR(G63=0,G122=""),"",IF(MIN(IF(AND(G65=1,N(G122)&gt;0),G118/G122,99),IF(AND(G66=1,N(G123)&gt;0),G119/G123,99))=99,"",ROUND(MIN(IF(AND(G65=1,N(G122)&gt;0),G118/G122,99),IF(AND(G66=1,N(G123)&gt;0),G119/G123,99)),2)))</f>
        <v/>
      </c>
      <c r="H42" s="58">
        <f>IF(OR(H63=0,H122=""),"",IF(MIN(IF(AND(H65=1,N(H122)&gt;0),H118/H122,99),IF(AND(H66=1,N(H123)&gt;0),H119/H123,99))=99,"",ROUND(MIN(IF(AND(H65=1,N(H122)&gt;0),H118/H122,99),IF(AND(H66=1,N(H123)&gt;0),H119/H123,99)),2)))</f>
        <v/>
      </c>
      <c r="I42" s="58">
        <f>IF(OR(I63=0,I122=""),"",IF(MIN(IF(AND(I65=1,N(I122)&gt;0),I118/I122,99),IF(AND(I66=1,N(I123)&gt;0),I119/I123,99))=99,"",ROUND(MIN(IF(AND(I65=1,N(I122)&gt;0),I118/I122,99),IF(AND(I66=1,N(I123)&gt;0),I119/I123,99)),2)))</f>
        <v/>
      </c>
      <c r="J42" s="58">
        <f>IF(OR(J63=0,J122=""),"",IF(MIN(IF(AND(J65=1,N(J122)&gt;0),J118/J122,99),IF(AND(J66=1,N(J123)&gt;0),J119/J123,99))=99,"",ROUND(MIN(IF(AND(J65=1,N(J122)&gt;0),J118/J122,99),IF(AND(J66=1,N(J123)&gt;0),J119/J123,99)),2)))</f>
        <v/>
      </c>
      <c r="K42" s="58">
        <f>IF(OR(K63=0,K122=""),"",IF(MIN(IF(AND(K65=1,N(K122)&gt;0),K118/K122,99),IF(AND(K66=1,N(K123)&gt;0),K119/K123,99))=99,"",ROUND(MIN(IF(AND(K65=1,N(K122)&gt;0),K118/K122,99),IF(AND(K66=1,N(K123)&gt;0),K119/K123,99)),2)))</f>
        <v/>
      </c>
      <c r="L42" s="58">
        <f>IF(OR(L63=0,L122=""),"",IF(MIN(IF(AND(L65=1,N(L122)&gt;0),L118/L122,99),IF(AND(L66=1,N(L123)&gt;0),L119/L123,99))=99,"",ROUND(MIN(IF(AND(L65=1,N(L122)&gt;0),L118/L122,99),IF(AND(L66=1,N(L123)&gt;0),L119/L123,99)),2)))</f>
        <v/>
      </c>
      <c r="M42" s="58">
        <f>IF(OR(M63=0,M122=""),"",IF(MIN(IF(AND(M65=1,N(M122)&gt;0),M118/M122,99),IF(AND(M66=1,N(M123)&gt;0),M119/M123,99))=99,"",ROUND(MIN(IF(AND(M65=1,N(M122)&gt;0),M118/M122,99),IF(AND(M66=1,N(M123)&gt;0),M119/M123,99)),2)))</f>
        <v/>
      </c>
      <c r="N42" s="58">
        <f>IF(OR(N63=0,N122=""),"",IF(MIN(IF(AND(N65=1,N(N122)&gt;0),N118/N122,99),IF(AND(N66=1,N(N123)&gt;0),N119/N123,99))=99,"",ROUND(MIN(IF(AND(N65=1,N(N122)&gt;0),N118/N122,99),IF(AND(N66=1,N(N123)&gt;0),N119/N123,99)),2)))</f>
        <v/>
      </c>
      <c r="O42" s="58">
        <f>IF(OR(O63=0,O122=""),"",IF(MIN(IF(AND(O65=1,N(O122)&gt;0),O118/O122,99),IF(AND(O66=1,N(O123)&gt;0),O119/O123,99))=99,"",ROUND(MIN(IF(AND(O65=1,N(O122)&gt;0),O118/O122,99),IF(AND(O66=1,N(O123)&gt;0),O119/O123,99)),2)))</f>
        <v/>
      </c>
      <c r="P42" s="58">
        <f>IF(OR(P63=0,P122=""),"",IF(MIN(IF(AND(P65=1,N(P122)&gt;0),P118/P122,99),IF(AND(P66=1,N(P123)&gt;0),P119/P123,99))=99,"",ROUND(MIN(IF(AND(P65=1,N(P122)&gt;0),P118/P122,99),IF(AND(P66=1,N(P123)&gt;0),P119/P123,99)),2)))</f>
        <v/>
      </c>
      <c r="Q42" s="58">
        <f>IF(OR(Q63=0,Q122=""),"",IF(MIN(IF(AND(Q65=1,N(Q122)&gt;0),Q118/Q122,99),IF(AND(Q66=1,N(Q123)&gt;0),Q119/Q123,99))=99,"",ROUND(MIN(IF(AND(Q65=1,N(Q122)&gt;0),Q118/Q122,99),IF(AND(Q66=1,N(Q123)&gt;0),Q119/Q123,99)),2)))</f>
        <v/>
      </c>
      <c r="R42" s="58">
        <f>IF(OR(R63=0,R122=""),"",IF(MIN(IF(AND(R65=1,N(R122)&gt;0),R118/R122,99),IF(AND(R66=1,N(R123)&gt;0),R119/R123,99))=99,"",ROUND(MIN(IF(AND(R65=1,N(R122)&gt;0),R118/R122,99),IF(AND(R66=1,N(R123)&gt;0),R119/R123,99)),2)))</f>
        <v/>
      </c>
      <c r="S42" s="58">
        <f>IF(OR(S63=0,S122=""),"",IF(MIN(IF(AND(S65=1,N(S122)&gt;0),S118/S122,99),IF(AND(S66=1,N(S123)&gt;0),S119/S123,99))=99,"",ROUND(MIN(IF(AND(S65=1,N(S122)&gt;0),S118/S122,99),IF(AND(S66=1,N(S123)&gt;0),S119/S123,99)),2)))</f>
        <v/>
      </c>
      <c r="T42" s="58">
        <f>IF(OR(T63=0,T122=""),"",IF(MIN(IF(AND(T65=1,N(T122)&gt;0),T118/T122,99),IF(AND(T66=1,N(T123)&gt;0),T119/T123,99))=99,"",ROUND(MIN(IF(AND(T65=1,N(T122)&gt;0),T118/T122,99),IF(AND(T66=1,N(T123)&gt;0),T119/T123,99)),2)))</f>
        <v/>
      </c>
      <c r="U42" s="58">
        <f>IF(OR(U63=0,U122=""),"",IF(MIN(IF(AND(U65=1,N(U122)&gt;0),U118/U122,99),IF(AND(U66=1,N(U123)&gt;0),U119/U123,99))=99,"",ROUND(MIN(IF(AND(U65=1,N(U122)&gt;0),U118/U122,99),IF(AND(U66=1,N(U123)&gt;0),U119/U123,99)),2)))</f>
        <v/>
      </c>
      <c r="V42" s="58">
        <f>IF(OR(V63=0,V122=""),"",IF(MIN(IF(AND(V65=1,N(V122)&gt;0),V118/V122,99),IF(AND(V66=1,N(V123)&gt;0),V119/V123,99))=99,"",ROUND(MIN(IF(AND(V65=1,N(V122)&gt;0),V118/V122,99),IF(AND(V66=1,N(V123)&gt;0),V119/V123,99)),2)))</f>
        <v/>
      </c>
      <c r="W42" s="58">
        <f>IF(OR(W63=0,W122=""),"",IF(MIN(IF(AND(W65=1,N(W122)&gt;0),W118/W122,99),IF(AND(W66=1,N(W123)&gt;0),W119/W123,99))=99,"",ROUND(MIN(IF(AND(W65=1,N(W122)&gt;0),W118/W122,99),IF(AND(W66=1,N(W123)&gt;0),W119/W123,99)),2)))</f>
        <v/>
      </c>
      <c r="X42" s="58">
        <f>IF(OR(X63=0,X122=""),"",IF(MIN(IF(AND(X65=1,N(X122)&gt;0),X118/X122,99),IF(AND(X66=1,N(X123)&gt;0),X119/X123,99))=99,"",ROUND(MIN(IF(AND(X65=1,N(X122)&gt;0),X118/X122,99),IF(AND(X66=1,N(X123)&gt;0),X119/X123,99)),2)))</f>
        <v/>
      </c>
      <c r="Y42" s="58">
        <f>IF(OR(Y63=0,Y122=""),"",IF(MIN(IF(AND(Y65=1,N(Y122)&gt;0),Y118/Y122,99),IF(AND(Y66=1,N(Y123)&gt;0),Y119/Y123,99))=99,"",ROUND(MIN(IF(AND(Y65=1,N(Y122)&gt;0),Y118/Y122,99),IF(AND(Y66=1,N(Y123)&gt;0),Y119/Y123,99)),2)))</f>
        <v/>
      </c>
      <c r="Z42" s="58">
        <f>IF(OR(Z63=0,Z122=""),"",IF(MIN(IF(AND(Z65=1,N(Z122)&gt;0),Z118/Z122,99),IF(AND(Z66=1,N(Z123)&gt;0),Z119/Z123,99))=99,"",ROUND(MIN(IF(AND(Z65=1,N(Z122)&gt;0),Z118/Z122,99),IF(AND(Z66=1,N(Z123)&gt;0),Z119/Z123,99)),2)))</f>
        <v/>
      </c>
      <c r="AA42" s="58">
        <f>IF(OR(AA63=0,AA122=""),"",IF(MIN(IF(AND(AA65=1,N(AA122)&gt;0),AA118/AA122,99),IF(AND(AA66=1,N(AA123)&gt;0),AA119/AA123,99))=99,"",ROUND(MIN(IF(AND(AA65=1,N(AA122)&gt;0),AA118/AA122,99),IF(AND(AA66=1,N(AA123)&gt;0),AA119/AA123,99)),2)))</f>
        <v/>
      </c>
      <c r="AB42" s="58">
        <f>IF(OR(AB63=0,AB122=""),"",IF(MIN(IF(AND(AB65=1,N(AB122)&gt;0),AB118/AB122,99),IF(AND(AB66=1,N(AB123)&gt;0),AB119/AB123,99))=99,"",ROUND(MIN(IF(AND(AB65=1,N(AB122)&gt;0),AB118/AB122,99),IF(AND(AB66=1,N(AB123)&gt;0),AB119/AB123,99)),2)))</f>
        <v/>
      </c>
      <c r="AC42" s="58">
        <f>IF(OR(AC63=0,AC122=""),"",IF(MIN(IF(AND(AC65=1,N(AC122)&gt;0),AC118/AC122,99),IF(AND(AC66=1,N(AC123)&gt;0),AC119/AC123,99))=99,"",ROUND(MIN(IF(AND(AC65=1,N(AC122)&gt;0),AC118/AC122,99),IF(AND(AC66=1,N(AC123)&gt;0),AC119/AC123,99)),2)))</f>
        <v/>
      </c>
      <c r="AD42" s="58">
        <f>IF(OR(AD63=0,AD122=""),"",IF(MIN(IF(AND(AD65=1,N(AD122)&gt;0),AD118/AD122,99),IF(AND(AD66=1,N(AD123)&gt;0),AD119/AD123,99))=99,"",ROUND(MIN(IF(AND(AD65=1,N(AD122)&gt;0),AD118/AD122,99),IF(AND(AD66=1,N(AD123)&gt;0),AD119/AD123,99)),2)))</f>
        <v/>
      </c>
      <c r="AE42" s="58">
        <f>IF(OR(AE63=0,AE122=""),"",IF(MIN(IF(AND(AE65=1,N(AE122)&gt;0),AE118/AE122,99),IF(AND(AE66=1,N(AE123)&gt;0),AE119/AE123,99))=99,"",ROUND(MIN(IF(AND(AE65=1,N(AE122)&gt;0),AE118/AE122,99),IF(AND(AE66=1,N(AE123)&gt;0),AE119/AE123,99)),2)))</f>
        <v/>
      </c>
      <c r="AF42" s="58">
        <f>IF(OR(AF63=0,AF122=""),"",IF(MIN(IF(AND(AF65=1,N(AF122)&gt;0),AF118/AF122,99),IF(AND(AF66=1,N(AF123)&gt;0),AF119/AF123,99))=99,"",ROUND(MIN(IF(AND(AF65=1,N(AF122)&gt;0),AF118/AF122,99),IF(AND(AF66=1,N(AF123)&gt;0),AF119/AF123,99)),2)))</f>
        <v/>
      </c>
      <c r="AG42" s="58">
        <f>IF(OR(AG63=0,AG122=""),"",IF(MIN(IF(AND(AG65=1,N(AG122)&gt;0),AG118/AG122,99),IF(AND(AG66=1,N(AG123)&gt;0),AG119/AG123,99))=99,"",ROUND(MIN(IF(AND(AG65=1,N(AG122)&gt;0),AG118/AG122,99),IF(AND(AG66=1,N(AG123)&gt;0),AG119/AG123,99)),2)))</f>
        <v/>
      </c>
    </row>
    <row r="43" ht="18" customHeight="1">
      <c r="A43" s="49" t="inlineStr">
        <is>
          <t>KIỂM TRA SỐ LIỆU</t>
        </is>
      </c>
      <c r="B43" s="50" t="n"/>
      <c r="C43" s="50" t="n"/>
      <c r="D43" s="50" t="n"/>
      <c r="E43" s="50" t="n"/>
      <c r="F43" s="50" t="n"/>
      <c r="G43" s="50" t="n"/>
      <c r="H43" s="50" t="n"/>
      <c r="I43" s="50" t="n"/>
      <c r="J43" s="50" t="n"/>
      <c r="K43" s="50" t="n"/>
      <c r="L43" s="50" t="n"/>
      <c r="M43" s="50" t="n"/>
      <c r="N43" s="50" t="n"/>
      <c r="O43" s="50" t="n"/>
      <c r="P43" s="50" t="n"/>
      <c r="Q43" s="50" t="n"/>
      <c r="R43" s="50" t="n"/>
      <c r="S43" s="50" t="n"/>
      <c r="T43" s="50" t="n"/>
      <c r="U43" s="50" t="n"/>
      <c r="V43" s="50" t="n"/>
      <c r="W43" s="50" t="n"/>
      <c r="X43" s="50" t="n"/>
      <c r="Y43" s="50" t="n"/>
      <c r="Z43" s="50" t="n"/>
      <c r="AA43" s="50" t="n"/>
      <c r="AB43" s="50" t="n"/>
      <c r="AC43" s="50" t="n"/>
      <c r="AD43" s="50" t="n"/>
      <c r="AE43" s="50" t="n"/>
      <c r="AF43" s="50" t="n"/>
      <c r="AG43" s="50" t="n"/>
    </row>
    <row r="44" ht="27" customHeight="1">
      <c r="A44" s="51" t="inlineStr">
        <is>
          <t>Kết quả kiểm tra từng cột</t>
        </is>
      </c>
      <c r="B44" s="6" t="n"/>
      <c r="C44" s="59">
        <f>IF(C63=0,"",IF(C60="","Thiếu KT gối",IF(C26="","Thiếu tên trục",IF(C124&gt;0,"Sai KH thép","OK"))))</f>
        <v/>
      </c>
      <c r="D44" s="59">
        <f>IF(D63=0,IF(D11="","","Sai Ltt"),IF(FALSE,"Nhịp đứt quãng",IF(D26="","Thiếu đai",IF(D124&gt;0,"Sai KH thép","OK"))))</f>
        <v/>
      </c>
      <c r="E44" s="59">
        <f>IF(E63=0,"",IF(E60="","Thiếu KT gối",IF(E26="","Thiếu tên trục",IF(E124&gt;0,"Sai KH thép","OK"))))</f>
        <v/>
      </c>
      <c r="F44" s="59">
        <f>IF(F63=0,IF(F11="","","Sai Ltt"),IF(AND(D$63=0,F63=1),"Nhịp đứt quãng",IF(F26="","Thiếu đai",IF(F124&gt;0,"Sai KH thép","OK"))))</f>
        <v/>
      </c>
      <c r="G44" s="59">
        <f>IF(G63=0,"",IF(G60="","Thiếu KT gối",IF(G26="","Thiếu tên trục",IF(G124&gt;0,"Sai KH thép","OK"))))</f>
        <v/>
      </c>
      <c r="H44" s="59">
        <f>IF(H63=0,IF(H11="","","Sai Ltt"),IF(AND(F$63=0,H63=1),"Nhịp đứt quãng",IF(H26="","Thiếu đai",IF(H124&gt;0,"Sai KH thép","OK"))))</f>
        <v/>
      </c>
      <c r="I44" s="59">
        <f>IF(I63=0,"",IF(I60="","Thiếu KT gối",IF(I26="","Thiếu tên trục",IF(I124&gt;0,"Sai KH thép","OK"))))</f>
        <v/>
      </c>
      <c r="J44" s="59">
        <f>IF(J63=0,IF(J11="","","Sai Ltt"),IF(AND(H$63=0,J63=1),"Nhịp đứt quãng",IF(J26="","Thiếu đai",IF(J124&gt;0,"Sai KH thép","OK"))))</f>
        <v/>
      </c>
      <c r="K44" s="59">
        <f>IF(K63=0,"",IF(K60="","Thiếu KT gối",IF(K26="","Thiếu tên trục",IF(K124&gt;0,"Sai KH thép","OK"))))</f>
        <v/>
      </c>
      <c r="L44" s="59">
        <f>IF(L63=0,IF(L11="","","Sai Ltt"),IF(AND(J$63=0,L63=1),"Nhịp đứt quãng",IF(L26="","Thiếu đai",IF(L124&gt;0,"Sai KH thép","OK"))))</f>
        <v/>
      </c>
      <c r="M44" s="59">
        <f>IF(M63=0,"",IF(M60="","Thiếu KT gối",IF(M26="","Thiếu tên trục",IF(M124&gt;0,"Sai KH thép","OK"))))</f>
        <v/>
      </c>
      <c r="N44" s="59">
        <f>IF(N63=0,IF(N11="","","Sai Ltt"),IF(AND(L$63=0,N63=1),"Nhịp đứt quãng",IF(N26="","Thiếu đai",IF(N124&gt;0,"Sai KH thép","OK"))))</f>
        <v/>
      </c>
      <c r="O44" s="59">
        <f>IF(O63=0,"",IF(O60="","Thiếu KT gối",IF(O26="","Thiếu tên trục",IF(O124&gt;0,"Sai KH thép","OK"))))</f>
        <v/>
      </c>
      <c r="P44" s="59">
        <f>IF(P63=0,IF(P11="","","Sai Ltt"),IF(AND(N$63=0,P63=1),"Nhịp đứt quãng",IF(P26="","Thiếu đai",IF(P124&gt;0,"Sai KH thép","OK"))))</f>
        <v/>
      </c>
      <c r="Q44" s="59">
        <f>IF(Q63=0,"",IF(Q60="","Thiếu KT gối",IF(Q26="","Thiếu tên trục",IF(Q124&gt;0,"Sai KH thép","OK"))))</f>
        <v/>
      </c>
      <c r="R44" s="59">
        <f>IF(R63=0,IF(R11="","","Sai Ltt"),IF(AND(P$63=0,R63=1),"Nhịp đứt quãng",IF(R26="","Thiếu đai",IF(R124&gt;0,"Sai KH thép","OK"))))</f>
        <v/>
      </c>
      <c r="S44" s="59">
        <f>IF(S63=0,"",IF(S60="","Thiếu KT gối",IF(S26="","Thiếu tên trục",IF(S124&gt;0,"Sai KH thép","OK"))))</f>
        <v/>
      </c>
      <c r="T44" s="59">
        <f>IF(T63=0,IF(T11="","","Sai Ltt"),IF(AND(R$63=0,T63=1),"Nhịp đứt quãng",IF(T26="","Thiếu đai",IF(T124&gt;0,"Sai KH thép","OK"))))</f>
        <v/>
      </c>
      <c r="U44" s="59">
        <f>IF(U63=0,"",IF(U60="","Thiếu KT gối",IF(U26="","Thiếu tên trục",IF(U124&gt;0,"Sai KH thép","OK"))))</f>
        <v/>
      </c>
      <c r="V44" s="59">
        <f>IF(V63=0,IF(V11="","","Sai Ltt"),IF(AND(T$63=0,V63=1),"Nhịp đứt quãng",IF(V26="","Thiếu đai",IF(V124&gt;0,"Sai KH thép","OK"))))</f>
        <v/>
      </c>
      <c r="W44" s="59">
        <f>IF(W63=0,"",IF(W60="","Thiếu KT gối",IF(W26="","Thiếu tên trục",IF(W124&gt;0,"Sai KH thép","OK"))))</f>
        <v/>
      </c>
      <c r="X44" s="59">
        <f>IF(X63=0,IF(X11="","","Sai Ltt"),IF(AND(V$63=0,X63=1),"Nhịp đứt quãng",IF(X26="","Thiếu đai",IF(X124&gt;0,"Sai KH thép","OK"))))</f>
        <v/>
      </c>
      <c r="Y44" s="59">
        <f>IF(Y63=0,"",IF(Y60="","Thiếu KT gối",IF(Y26="","Thiếu tên trục",IF(Y124&gt;0,"Sai KH thép","OK"))))</f>
        <v/>
      </c>
      <c r="Z44" s="59">
        <f>IF(Z63=0,IF(Z11="","","Sai Ltt"),IF(AND(X$63=0,Z63=1),"Nhịp đứt quãng",IF(Z26="","Thiếu đai",IF(Z124&gt;0,"Sai KH thép","OK"))))</f>
        <v/>
      </c>
      <c r="AA44" s="59">
        <f>IF(AA63=0,"",IF(AA60="","Thiếu KT gối",IF(AA26="","Thiếu tên trục",IF(AA124&gt;0,"Sai KH thép","OK"))))</f>
        <v/>
      </c>
      <c r="AB44" s="59">
        <f>IF(AB63=0,IF(AB11="","","Sai Ltt"),IF(AND(Z$63=0,AB63=1),"Nhịp đứt quãng",IF(AB26="","Thiếu đai",IF(AB124&gt;0,"Sai KH thép","OK"))))</f>
        <v/>
      </c>
      <c r="AC44" s="59">
        <f>IF(AC63=0,"",IF(AC60="","Thiếu KT gối",IF(AC26="","Thiếu tên trục",IF(AC124&gt;0,"Sai KH thép","OK"))))</f>
        <v/>
      </c>
      <c r="AD44" s="59">
        <f>IF(AD63=0,IF(AD11="","","Sai Ltt"),IF(AND(AB$63=0,AD63=1),"Nhịp đứt quãng",IF(AD26="","Thiếu đai",IF(AD124&gt;0,"Sai KH thép","OK"))))</f>
        <v/>
      </c>
      <c r="AE44" s="59">
        <f>IF(AE63=0,"",IF(AE60="","Thiếu KT gối",IF(AE26="","Thiếu tên trục",IF(AE124&gt;0,"Sai KH thép","OK"))))</f>
        <v/>
      </c>
      <c r="AF44" s="59">
        <f>IF(AF63=0,IF(AF11="","","Sai Ltt"),IF(AND(AD$63=0,AF63=1),"Nhịp đứt quãng",IF(AF26="","Thiếu đai",IF(AF124&gt;0,"Sai KH thép","OK"))))</f>
        <v/>
      </c>
      <c r="AG44" s="59">
        <f>IF(AG63=0,"",IF(AG60="","Thiếu KT gối",IF(AG26="","Thiếu tên trục",IF(AG124&gt;0,"Sai KH thép","OK"))))</f>
        <v/>
      </c>
    </row>
    <row r="59">
      <c r="A59" s="60" t="inlineStr">
        <is>
          <t>▼ Hàng ẩn phụ trợ (dòng 60+) – dùng cho kiểm tra, không nhập.</t>
        </is>
      </c>
    </row>
    <row r="60" hidden="1" outlineLevel="1">
      <c r="A60" s="61"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1"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1"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1"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1"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1"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1"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1"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1"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1"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1"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1"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1"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1"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1"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1"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1"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1"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1"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1"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1"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1"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1"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1"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1"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1"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1"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1"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1"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1"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1"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1"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1"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1"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1"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1"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1"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1"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1"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1"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1"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1"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1"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1"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1"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1"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1"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1"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1"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1"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1"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1"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1"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1"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1"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1"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1"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1"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1"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1"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1"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1"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1"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1"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1"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1" t="inlineStr">
        <is>
          <t>(phụ trợ) NB11</t>
        </is>
      </c>
      <c r="B125">
        <f>SUBSTITUTE(SUBSTITUTE(SUBSTITUTE(SUBSTITUTE(SUBSTITUTE(SUBSTITUTE(LOWER($B$11)," ",""),"%%c","t"),"ø","t"),"φ","t"),"f","t"),"d","t")</f>
        <v/>
      </c>
    </row>
    <row r="126" hidden="1" outlineLevel="1">
      <c r="A126" s="61" t="inlineStr">
        <is>
          <t>(phụ trợ) NB12</t>
        </is>
      </c>
      <c r="B126">
        <f>SUBSTITUTE(SUBSTITUTE(SUBSTITUTE(SUBSTITUTE(SUBSTITUTE(SUBSTITUTE(LOWER($B$12)," ",""),"%%c","t"),"ø","t"),"φ","t"),"f","t"),"d","t")</f>
        <v/>
      </c>
    </row>
  </sheetData>
  <mergeCells count="64">
    <mergeCell ref="A18:A22"/>
    <mergeCell ref="A24:B24"/>
    <mergeCell ref="A30:B30"/>
    <mergeCell ref="C1:N1"/>
    <mergeCell ref="G6:I6"/>
    <mergeCell ref="P2:R2"/>
    <mergeCell ref="P8:R8"/>
    <mergeCell ref="P1:T1"/>
    <mergeCell ref="G3:I3"/>
    <mergeCell ref="A1:B3"/>
    <mergeCell ref="V6:X6"/>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V5:X5"/>
    <mergeCell ref="K5:M5"/>
    <mergeCell ref="A5:B7"/>
    <mergeCell ref="A28:B28"/>
    <mergeCell ref="C4:E4"/>
    <mergeCell ref="G8:I8"/>
    <mergeCell ref="V4:X4"/>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6">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Chờ thẳng: AUTO = L nối ngoài vùng · 40d · 1200 (mm)&#10;Coupler: đoạn ra ngoài mép 0 · 100 · 100/300 = so le (½ thanh 100, ½ thanh 300); AUTO = QS_DAMSET" type="list">
      <formula1>LIST!$V$2:$V$8</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S8 T8" showDropDown="0" showInputMessage="1" showErrorMessage="0" allowBlank="1" promptTitle="Tên dầm chờ nối" prompt="Tên dầm / zone sau mà thép chờ (thẳng hoặc coupler) nối sang, vd B138 – ghi lên MC dọc và shop: 'COUPLER NỐI DẦM B138'. Để trống = không ghi."/>
    <dataValidation sqref="Y2" showDropDown="0" showInputMessage="1" showErrorMessage="1" allowBlank="1" errorTitle="QS_DAM" error="Chọn giá trị trong danh sách." promptTitle="Tai sàn (phía có sàn)" prompt="2 ben / Trai / Phai / Khong&#10;Chỉ dùng khi F7 là số." type="list">
      <formula1>LIST!$Y$2:$Y$5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Y4" showDropDown="0" showInputMessage="1" showErrorMessage="1" allowBlank="1" errorTitle="QS_DAM" error="Chọn giá trị trong danh sách." promptTitle="Đai con đi hết dầm" prompt="Co = 1 khai báo (Y5) cho cả dầm.&#10;Khong = vùng gối (vùng đai dày 2 đầu nhịp) dùng Y5, vùng nhịp dùng Y6.&#10;Trống = theo QS_DAMSET trang 2." type="list">
      <formula1>LIST!$W$2:$W$3</formula1>
    </dataValidation>
    <dataValidation sqref="Y5" showDropDown="0" showInputMessage="1" showErrorMessage="0" allowBlank="1" promptTitle="Đai con toàn dầm / vùng gối" prompt="Theo số thứ tự thanh lớp 1 trên (trái → phải): 3 = đai C thanh 3 · 2_4 = đai Q ôm thanh 2..4 · 2-4 = đai U · ghép 3,2_4 · 0 = không có&#10;Theo số lượng thép: 4:2_3;5:3,2_4&#10;AUTO/trống = tra bảng QS_DAMSET trang 7" type="list">
      <formula1>LIST!$X$2:$X$11</formula1>
    </dataValidation>
    <dataValidation sqref="Y6" showDropDown="0" showInputMessage="1" showErrorMessage="0" allowBlank="1" promptTitle="Đai con vùng nhịp" prompt="Dùng khi Y4 = Khong. Cú pháp như Y5: 2 · 2_4 · 2-4 · 3,2_4 · 4:2_3;5:3,2_4 · 0 · AUTO" type="list">
      <formula1>LIST!$X$2:$X$11</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3.xml><?xml version="1.0" encoding="utf-8"?>
<worksheet xmlns="http://schemas.openxmlformats.org/spreadsheetml/2006/main">
  <sheetPr>
    <tabColor rgb="0092D050"/>
    <outlinePr summaryBelow="1" summaryRight="1"/>
    <pageSetUpPr fitToPage="1"/>
  </sheetPr>
  <dimension ref="A1:AG126"/>
  <sheetViews>
    <sheetView showGridLines="0" tabSelected="0"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 / ĐAI CON</t>
        </is>
      </c>
      <c r="W1" s="6" t="n"/>
      <c r="X1" s="6" t="n"/>
      <c r="Y1" s="6" t="n"/>
    </row>
    <row r="2" ht="17" customHeight="1">
      <c r="C2" s="8" t="inlineStr">
        <is>
          <t>Tên dầm:</t>
        </is>
      </c>
      <c r="D2" s="9" t="n"/>
      <c r="E2" s="9" t="n"/>
      <c r="F2" s="10" t="n"/>
      <c r="G2" s="8" t="inlineStr">
        <is>
          <t>Thép gia cường gối:</t>
        </is>
      </c>
      <c r="H2" s="9" t="n"/>
      <c r="I2" s="9" t="n"/>
      <c r="J2" s="10" t="n"/>
      <c r="K2" s="8" t="inlineStr">
        <is>
          <t>ĐK thép C đỡ lớp TC:</t>
        </is>
      </c>
      <c r="L2" s="9" t="n"/>
      <c r="M2" s="9" t="n"/>
      <c r="N2" s="10" t="n"/>
      <c r="P2" s="11" t="inlineStr">
        <is>
          <t>Mạch ngừng / zone sau</t>
        </is>
      </c>
      <c r="Q2" s="6" t="n"/>
      <c r="R2" s="6" t="n"/>
      <c r="S2" s="12" t="inlineStr">
        <is>
          <t>TRÁI</t>
        </is>
      </c>
      <c r="T2" s="12" t="inlineStr">
        <is>
          <t>PHẢI</t>
        </is>
      </c>
      <c r="V2" s="13" t="inlineStr">
        <is>
          <t>Tai sàn (phía có sàn)</t>
        </is>
      </c>
      <c r="W2" s="6" t="n"/>
      <c r="X2" s="6" t="n"/>
      <c r="Y2" s="14" t="n"/>
    </row>
    <row r="3" ht="17" customHeight="1">
      <c r="C3" s="8" t="inlineStr">
        <is>
          <t>b dầm (mm):</t>
        </is>
      </c>
      <c r="D3" s="9" t="n"/>
      <c r="E3" s="9" t="n"/>
      <c r="F3" s="10" t="n"/>
      <c r="G3" s="8" t="inlineStr">
        <is>
          <t>Thép gia cường nhịp:</t>
        </is>
      </c>
      <c r="H3" s="9" t="n"/>
      <c r="I3" s="9" t="n"/>
      <c r="J3" s="10" t="n"/>
      <c r="K3" s="8" t="inlineStr">
        <is>
          <t>KC thép C đỡ lớp TC:</t>
        </is>
      </c>
      <c r="L3" s="9" t="n"/>
      <c r="M3" s="9" t="n"/>
      <c r="N3" s="10" t="n"/>
      <c r="P3" s="13" t="inlineStr">
        <is>
          <t>Kiểu thép chờ</t>
        </is>
      </c>
      <c r="Q3" s="6" t="n"/>
      <c r="R3" s="6" t="n"/>
      <c r="S3" s="14" t="n"/>
      <c r="T3" s="14" t="n"/>
      <c r="V3" s="13" t="inlineStr">
        <is>
          <t>Sàn lật (dầm úp)</t>
        </is>
      </c>
      <c r="W3" s="6" t="n"/>
      <c r="X3" s="6" t="n"/>
      <c r="Y3" s="14" t="n"/>
    </row>
    <row r="4" ht="17" customHeight="1">
      <c r="A4" s="15" t="inlineStr">
        <is>
          <t>NHẬP LIỆU DẦM – QS_VEDAM / QS_SHOPDAM</t>
        </is>
      </c>
      <c r="C4" s="8" t="inlineStr">
        <is>
          <t>h dầm (mm):</t>
        </is>
      </c>
      <c r="D4" s="9" t="n"/>
      <c r="E4" s="9" t="n"/>
      <c r="F4" s="10" t="n"/>
      <c r="G4" s="8" t="inlineStr">
        <is>
          <t>Neo thép trên (d):</t>
        </is>
      </c>
      <c r="H4" s="9" t="n"/>
      <c r="I4" s="9" t="n"/>
      <c r="J4" s="10" t="n"/>
      <c r="K4" s="8" t="inlineStr">
        <is>
          <t>Đai C nối giữa thép giá:</t>
        </is>
      </c>
      <c r="L4" s="9" t="n"/>
      <c r="M4" s="9" t="n"/>
      <c r="N4" s="10" t="n"/>
      <c r="P4" s="13" t="inlineStr">
        <is>
          <t>Lớp được chờ</t>
        </is>
      </c>
      <c r="Q4" s="6" t="n"/>
      <c r="R4" s="6" t="n"/>
      <c r="S4" s="14" t="n"/>
      <c r="T4" s="14" t="n"/>
      <c r="V4" s="13" t="inlineStr">
        <is>
          <t>Đai con đi hết dầm</t>
        </is>
      </c>
      <c r="W4" s="6" t="n"/>
      <c r="X4" s="6" t="n"/>
      <c r="Y4" s="14" t="n"/>
    </row>
    <row r="5" ht="17" customHeight="1">
      <c r="A5" s="16" t="inlineStr">
        <is>
          <t>Nguyễn Xuân Phát
banhbaonxp@gmail.com
QS_DAM v3.1</t>
        </is>
      </c>
      <c r="C5" s="8" t="inlineStr">
        <is>
          <t>Số cấu kiện:</t>
        </is>
      </c>
      <c r="D5" s="9" t="n"/>
      <c r="E5" s="9" t="n"/>
      <c r="F5" s="10" t="n"/>
      <c r="G5" s="8" t="inlineStr">
        <is>
          <t>Neo thép dưới (d):</t>
        </is>
      </c>
      <c r="H5" s="9" t="n"/>
      <c r="I5" s="9" t="n"/>
      <c r="J5" s="10" t="n"/>
      <c r="K5" s="8" t="inlineStr">
        <is>
          <t>ĐK đai C nối 2 thép giá:</t>
        </is>
      </c>
      <c r="L5" s="9" t="n"/>
      <c r="M5" s="9" t="n"/>
      <c r="N5" s="10" t="n"/>
      <c r="P5" s="13" t="inlineStr">
        <is>
          <t>Thanh được chờ</t>
        </is>
      </c>
      <c r="Q5" s="6" t="n"/>
      <c r="R5" s="6" t="n"/>
      <c r="S5" s="14" t="n"/>
      <c r="T5" s="14" t="n"/>
      <c r="V5" s="13" t="inlineStr">
        <is>
          <t>Đai con toàn dầm / vùng gối</t>
        </is>
      </c>
      <c r="W5" s="6" t="n"/>
      <c r="X5" s="6" t="n"/>
      <c r="Y5" s="17" t="n"/>
    </row>
    <row r="6" ht="17" customHeight="1">
      <c r="C6" s="8" t="inlineStr">
        <is>
          <t>Cao trình dầm (m):</t>
        </is>
      </c>
      <c r="D6" s="9" t="n"/>
      <c r="E6" s="9" t="n"/>
      <c r="F6" s="18" t="n"/>
      <c r="G6" s="8" t="inlineStr">
        <is>
          <t>Neo thép giá (d):</t>
        </is>
      </c>
      <c r="H6" s="9" t="n"/>
      <c r="I6" s="9" t="n"/>
      <c r="J6" s="10" t="n"/>
      <c r="K6" s="8" t="inlineStr">
        <is>
          <t>KC đai C nối 2 thép giá:</t>
        </is>
      </c>
      <c r="L6" s="9" t="n"/>
      <c r="M6" s="9" t="n"/>
      <c r="N6" s="10" t="n"/>
      <c r="P6" s="13" t="inlineStr">
        <is>
          <t>L chờ</t>
        </is>
      </c>
      <c r="Q6" s="6" t="n"/>
      <c r="R6" s="6" t="n"/>
      <c r="S6" s="14" t="n"/>
      <c r="T6" s="14" t="n"/>
      <c r="V6" s="13" t="inlineStr">
        <is>
          <t>Đai con vùng nhịp</t>
        </is>
      </c>
      <c r="W6" s="6" t="n"/>
      <c r="X6" s="6" t="n"/>
      <c r="Y6" s="17" t="n"/>
    </row>
    <row r="7" ht="17" customHeight="1">
      <c r="C7" s="8" t="inlineStr">
        <is>
          <t>h sàn (mm):</t>
        </is>
      </c>
      <c r="D7" s="9" t="n"/>
      <c r="E7" s="9" t="n"/>
      <c r="F7" s="10" t="n"/>
      <c r="G7" s="8" t="inlineStr">
        <is>
          <t>Tên trục MCN dầm:</t>
        </is>
      </c>
      <c r="H7" s="9" t="n"/>
      <c r="I7" s="9" t="n"/>
      <c r="J7" s="10" t="n"/>
      <c r="K7" s="8" t="inlineStr">
        <is>
          <t>Giật cao độ dầm:</t>
        </is>
      </c>
      <c r="L7" s="9" t="n"/>
      <c r="M7" s="9" t="n"/>
      <c r="N7" s="10" t="n"/>
      <c r="P7" s="13" t="inlineStr">
        <is>
          <t>Chờ so le 50%</t>
        </is>
      </c>
      <c r="Q7" s="6" t="n"/>
      <c r="R7" s="6" t="n"/>
      <c r="S7" s="14" t="n"/>
      <c r="T7" s="14" t="n"/>
    </row>
    <row r="8" ht="17" customHeight="1">
      <c r="A8" s="19" t="inlineStr">
        <is>
          <t>Ô trắng = nhập · ▼ = có danh sách</t>
        </is>
      </c>
      <c r="C8" s="8" t="inlineStr">
        <is>
          <t>Dầm ngắn L(m) &lt;</t>
        </is>
      </c>
      <c r="D8" s="9" t="n"/>
      <c r="E8" s="9" t="n"/>
      <c r="F8" s="10" t="n"/>
      <c r="G8" s="8" t="inlineStr">
        <is>
          <t>Lệch trục / Ẩn MC dọc:</t>
        </is>
      </c>
      <c r="H8" s="9" t="n"/>
      <c r="I8" s="9" t="n"/>
      <c r="J8" s="10" t="n"/>
      <c r="K8" s="8" t="inlineStr">
        <is>
          <t>Dày BT lót dưới dầm:</t>
        </is>
      </c>
      <c r="L8" s="9" t="n"/>
      <c r="M8" s="9" t="n"/>
      <c r="N8" s="10" t="n"/>
      <c r="P8" s="13" t="inlineStr">
        <is>
          <t>Tên dầm chờ nối</t>
        </is>
      </c>
      <c r="Q8" s="6" t="n"/>
      <c r="R8" s="6" t="n"/>
      <c r="S8" s="14" t="n"/>
      <c r="T8" s="14" t="n"/>
    </row>
    <row r="9">
      <c r="A9" s="20" t="inlineStr">
        <is>
          <t>TÌNH TRẠNG SỐ LIỆU:</t>
        </is>
      </c>
      <c r="B9" s="21" t="n"/>
      <c r="C9" s="22">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c r="AA9" s="23" t="n"/>
      <c r="AB9" s="23" t="n"/>
      <c r="AC9" s="23" t="n"/>
      <c r="AD9" s="23" t="n"/>
      <c r="AE9" s="23" t="n"/>
      <c r="AF9" s="23" t="n"/>
      <c r="AG9" s="23" t="n"/>
    </row>
    <row r="10" ht="18" customHeight="1">
      <c r="A10" s="24" t="inlineStr">
        <is>
          <t>HẠNG MỤC</t>
        </is>
      </c>
      <c r="B10" s="25" t="inlineStr">
        <is>
          <t>Chạy suốt</t>
        </is>
      </c>
      <c r="C10" s="26" t="inlineStr">
        <is>
          <t>Gối 1</t>
        </is>
      </c>
      <c r="D10" s="27" t="inlineStr">
        <is>
          <t>Nhịp 1</t>
        </is>
      </c>
      <c r="E10" s="26" t="inlineStr">
        <is>
          <t>Gối 2</t>
        </is>
      </c>
      <c r="F10" s="27" t="inlineStr">
        <is>
          <t>Nhịp 2</t>
        </is>
      </c>
      <c r="G10" s="26" t="inlineStr">
        <is>
          <t>Gối 3</t>
        </is>
      </c>
      <c r="H10" s="27" t="inlineStr">
        <is>
          <t>Nhịp 3</t>
        </is>
      </c>
      <c r="I10" s="26" t="inlineStr">
        <is>
          <t>Gối 4</t>
        </is>
      </c>
      <c r="J10" s="27" t="inlineStr">
        <is>
          <t>Nhịp 4</t>
        </is>
      </c>
      <c r="K10" s="26" t="inlineStr">
        <is>
          <t>Gối 5</t>
        </is>
      </c>
      <c r="L10" s="27" t="inlineStr">
        <is>
          <t>Nhịp 5</t>
        </is>
      </c>
      <c r="M10" s="26" t="inlineStr">
        <is>
          <t>Gối 6</t>
        </is>
      </c>
      <c r="N10" s="27" t="inlineStr">
        <is>
          <t>Nhịp 6</t>
        </is>
      </c>
      <c r="O10" s="26" t="inlineStr">
        <is>
          <t>Gối 7</t>
        </is>
      </c>
      <c r="P10" s="27" t="inlineStr">
        <is>
          <t>Nhịp 7</t>
        </is>
      </c>
      <c r="Q10" s="26" t="inlineStr">
        <is>
          <t>Gối 8</t>
        </is>
      </c>
      <c r="R10" s="27" t="inlineStr">
        <is>
          <t>Nhịp 8</t>
        </is>
      </c>
      <c r="S10" s="26" t="inlineStr">
        <is>
          <t>Gối 9</t>
        </is>
      </c>
      <c r="T10" s="27" t="inlineStr">
        <is>
          <t>Nhịp 9</t>
        </is>
      </c>
      <c r="U10" s="26" t="inlineStr">
        <is>
          <t>Gối 10</t>
        </is>
      </c>
      <c r="V10" s="27" t="inlineStr">
        <is>
          <t>Nhịp 10</t>
        </is>
      </c>
      <c r="W10" s="26" t="inlineStr">
        <is>
          <t>Gối 11</t>
        </is>
      </c>
      <c r="X10" s="27" t="inlineStr">
        <is>
          <t>Nhịp 11</t>
        </is>
      </c>
      <c r="Y10" s="26" t="inlineStr">
        <is>
          <t>Gối 12</t>
        </is>
      </c>
      <c r="Z10" s="27" t="inlineStr">
        <is>
          <t>Nhịp 12</t>
        </is>
      </c>
      <c r="AA10" s="26" t="inlineStr">
        <is>
          <t>Gối 13</t>
        </is>
      </c>
      <c r="AB10" s="27" t="inlineStr">
        <is>
          <t>Nhịp 13</t>
        </is>
      </c>
      <c r="AC10" s="26" t="inlineStr">
        <is>
          <t>Gối 14</t>
        </is>
      </c>
      <c r="AD10" s="27" t="inlineStr">
        <is>
          <t>Nhịp 14</t>
        </is>
      </c>
      <c r="AE10" s="26" t="inlineStr">
        <is>
          <t>Gối 15</t>
        </is>
      </c>
      <c r="AF10" s="27" t="inlineStr">
        <is>
          <t>Nhịp 15</t>
        </is>
      </c>
      <c r="AG10" s="28" t="inlineStr">
        <is>
          <t>Gối 16</t>
        </is>
      </c>
    </row>
    <row r="11" ht="27" customHeight="1">
      <c r="A11" s="29" t="inlineStr">
        <is>
          <t>Thép chạy suốt TRÊN  |  Gối: bề rộng  ·  Nhịp: L thông thủy</t>
        </is>
      </c>
      <c r="B11" s="30" t="n"/>
      <c r="C11" s="31" t="n"/>
      <c r="D11" s="32" t="n"/>
      <c r="E11" s="31" t="n"/>
      <c r="F11" s="32" t="n"/>
      <c r="G11" s="31" t="n"/>
      <c r="H11" s="32" t="n"/>
      <c r="I11" s="31" t="n"/>
      <c r="J11" s="32" t="n"/>
      <c r="K11" s="31" t="n"/>
      <c r="L11" s="32" t="n"/>
      <c r="M11" s="31" t="n"/>
      <c r="N11" s="32" t="n"/>
      <c r="O11" s="31" t="n"/>
      <c r="P11" s="32" t="n"/>
      <c r="Q11" s="31" t="n"/>
      <c r="R11" s="32" t="n"/>
      <c r="S11" s="31" t="n"/>
      <c r="T11" s="32" t="n"/>
      <c r="U11" s="31" t="n"/>
      <c r="V11" s="32" t="n"/>
      <c r="W11" s="31" t="n"/>
      <c r="X11" s="32" t="n"/>
      <c r="Y11" s="31" t="n"/>
      <c r="Z11" s="32" t="n"/>
      <c r="AA11" s="31" t="n"/>
      <c r="AB11" s="32" t="n"/>
      <c r="AC11" s="31" t="n"/>
      <c r="AD11" s="32" t="n"/>
      <c r="AE11" s="31" t="n"/>
      <c r="AF11" s="32" t="n"/>
      <c r="AG11" s="33" t="n"/>
    </row>
    <row r="12" ht="27" customHeight="1">
      <c r="A12" s="29" t="inlineStr">
        <is>
          <t>Thép chạy suốt DƯỚI  |  Gối: đai trong cột  ·  Nhịp: b nhịp</t>
        </is>
      </c>
      <c r="B12" s="30" t="n"/>
      <c r="C12" s="34" t="n"/>
      <c r="D12" s="35" t="n"/>
      <c r="E12" s="34" t="n"/>
      <c r="F12" s="35" t="n"/>
      <c r="G12" s="34" t="n"/>
      <c r="H12" s="35" t="n"/>
      <c r="I12" s="34" t="n"/>
      <c r="J12" s="35" t="n"/>
      <c r="K12" s="34" t="n"/>
      <c r="L12" s="35" t="n"/>
      <c r="M12" s="34" t="n"/>
      <c r="N12" s="35" t="n"/>
      <c r="O12" s="34" t="n"/>
      <c r="P12" s="35" t="n"/>
      <c r="Q12" s="34" t="n"/>
      <c r="R12" s="35" t="n"/>
      <c r="S12" s="34" t="n"/>
      <c r="T12" s="35" t="n"/>
      <c r="U12" s="34" t="n"/>
      <c r="V12" s="35" t="n"/>
      <c r="W12" s="34" t="n"/>
      <c r="X12" s="35" t="n"/>
      <c r="Y12" s="34" t="n"/>
      <c r="Z12" s="35" t="n"/>
      <c r="AA12" s="34" t="n"/>
      <c r="AB12" s="35" t="n"/>
      <c r="AC12" s="34" t="n"/>
      <c r="AD12" s="35" t="n"/>
      <c r="AE12" s="34" t="n"/>
      <c r="AF12" s="35" t="n"/>
      <c r="AG12" s="36" t="n"/>
    </row>
    <row r="13" ht="16" customHeight="1">
      <c r="A13" s="37" t="inlineStr">
        <is>
          <t>THÉP TĂNG CƯỜNG
LỚP TRÊN</t>
        </is>
      </c>
      <c r="B13" s="11" t="inlineStr">
        <is>
          <t>Lớp 1</t>
        </is>
      </c>
      <c r="C13" s="38" t="n"/>
      <c r="D13" s="39" t="n"/>
      <c r="E13" s="38" t="n"/>
      <c r="F13" s="39" t="n"/>
      <c r="G13" s="38" t="n"/>
      <c r="H13" s="39" t="n"/>
      <c r="I13" s="38" t="n"/>
      <c r="J13" s="39" t="n"/>
      <c r="K13" s="38" t="n"/>
      <c r="L13" s="39" t="n"/>
      <c r="M13" s="38" t="n"/>
      <c r="N13" s="39" t="n"/>
      <c r="O13" s="38" t="n"/>
      <c r="P13" s="39" t="n"/>
      <c r="Q13" s="38" t="n"/>
      <c r="R13" s="39" t="n"/>
      <c r="S13" s="38" t="n"/>
      <c r="T13" s="39" t="n"/>
      <c r="U13" s="38" t="n"/>
      <c r="V13" s="39" t="n"/>
      <c r="W13" s="38" t="n"/>
      <c r="X13" s="39" t="n"/>
      <c r="Y13" s="38" t="n"/>
      <c r="Z13" s="39" t="n"/>
      <c r="AA13" s="38" t="n"/>
      <c r="AB13" s="39" t="n"/>
      <c r="AC13" s="38" t="n"/>
      <c r="AD13" s="39" t="n"/>
      <c r="AE13" s="38" t="n"/>
      <c r="AF13" s="39" t="n"/>
      <c r="AG13" s="40" t="n"/>
    </row>
    <row r="14" ht="16" customHeight="1">
      <c r="A14" s="41" t="n"/>
      <c r="B14" s="11" t="inlineStr">
        <is>
          <t>Lớp 2</t>
        </is>
      </c>
      <c r="C14" s="38" t="n"/>
      <c r="D14" s="39" t="n"/>
      <c r="E14" s="38" t="n"/>
      <c r="F14" s="39" t="n"/>
      <c r="G14" s="38" t="n"/>
      <c r="H14" s="39" t="n"/>
      <c r="I14" s="38" t="n"/>
      <c r="J14" s="39" t="n"/>
      <c r="K14" s="38" t="n"/>
      <c r="L14" s="39" t="n"/>
      <c r="M14" s="38" t="n"/>
      <c r="N14" s="39" t="n"/>
      <c r="O14" s="38" t="n"/>
      <c r="P14" s="39" t="n"/>
      <c r="Q14" s="38" t="n"/>
      <c r="R14" s="39" t="n"/>
      <c r="S14" s="38" t="n"/>
      <c r="T14" s="39" t="n"/>
      <c r="U14" s="38" t="n"/>
      <c r="V14" s="39" t="n"/>
      <c r="W14" s="38" t="n"/>
      <c r="X14" s="39" t="n"/>
      <c r="Y14" s="38" t="n"/>
      <c r="Z14" s="39" t="n"/>
      <c r="AA14" s="38" t="n"/>
      <c r="AB14" s="39" t="n"/>
      <c r="AC14" s="38" t="n"/>
      <c r="AD14" s="39" t="n"/>
      <c r="AE14" s="38" t="n"/>
      <c r="AF14" s="39" t="n"/>
      <c r="AG14" s="40" t="n"/>
    </row>
    <row r="15" ht="16" customHeight="1">
      <c r="A15" s="41" t="n"/>
      <c r="B15" s="11" t="inlineStr">
        <is>
          <t>Lớp 3</t>
        </is>
      </c>
      <c r="C15" s="38" t="n"/>
      <c r="D15" s="39" t="n"/>
      <c r="E15" s="38" t="n"/>
      <c r="F15" s="39" t="n"/>
      <c r="G15" s="38" t="n"/>
      <c r="H15" s="39" t="n"/>
      <c r="I15" s="38" t="n"/>
      <c r="J15" s="39" t="n"/>
      <c r="K15" s="38" t="n"/>
      <c r="L15" s="39" t="n"/>
      <c r="M15" s="38" t="n"/>
      <c r="N15" s="39" t="n"/>
      <c r="O15" s="38" t="n"/>
      <c r="P15" s="39" t="n"/>
      <c r="Q15" s="38" t="n"/>
      <c r="R15" s="39" t="n"/>
      <c r="S15" s="38" t="n"/>
      <c r="T15" s="39" t="n"/>
      <c r="U15" s="38" t="n"/>
      <c r="V15" s="39" t="n"/>
      <c r="W15" s="38" t="n"/>
      <c r="X15" s="39" t="n"/>
      <c r="Y15" s="38" t="n"/>
      <c r="Z15" s="39" t="n"/>
      <c r="AA15" s="38" t="n"/>
      <c r="AB15" s="39" t="n"/>
      <c r="AC15" s="38" t="n"/>
      <c r="AD15" s="39" t="n"/>
      <c r="AE15" s="38" t="n"/>
      <c r="AF15" s="39" t="n"/>
      <c r="AG15" s="40" t="n"/>
    </row>
    <row r="16" ht="16" customHeight="1">
      <c r="A16" s="41" t="n"/>
      <c r="B16" s="11" t="inlineStr">
        <is>
          <t>Lớp 4</t>
        </is>
      </c>
      <c r="C16" s="38" t="n"/>
      <c r="D16" s="39" t="n"/>
      <c r="E16" s="38" t="n"/>
      <c r="F16" s="39" t="n"/>
      <c r="G16" s="38" t="n"/>
      <c r="H16" s="39" t="n"/>
      <c r="I16" s="38" t="n"/>
      <c r="J16" s="39" t="n"/>
      <c r="K16" s="38" t="n"/>
      <c r="L16" s="39" t="n"/>
      <c r="M16" s="38" t="n"/>
      <c r="N16" s="39" t="n"/>
      <c r="O16" s="38" t="n"/>
      <c r="P16" s="39" t="n"/>
      <c r="Q16" s="38" t="n"/>
      <c r="R16" s="39" t="n"/>
      <c r="S16" s="38" t="n"/>
      <c r="T16" s="39" t="n"/>
      <c r="U16" s="38" t="n"/>
      <c r="V16" s="39" t="n"/>
      <c r="W16" s="38" t="n"/>
      <c r="X16" s="39" t="n"/>
      <c r="Y16" s="38" t="n"/>
      <c r="Z16" s="39" t="n"/>
      <c r="AA16" s="38" t="n"/>
      <c r="AB16" s="39" t="n"/>
      <c r="AC16" s="38" t="n"/>
      <c r="AD16" s="39" t="n"/>
      <c r="AE16" s="38" t="n"/>
      <c r="AF16" s="39" t="n"/>
      <c r="AG16" s="40" t="n"/>
    </row>
    <row r="17" ht="16" customHeight="1">
      <c r="A17" s="41" t="n"/>
      <c r="B17" s="11" t="inlineStr">
        <is>
          <t>Lớp 5</t>
        </is>
      </c>
      <c r="C17" s="38" t="n"/>
      <c r="D17" s="39" t="n"/>
      <c r="E17" s="38" t="n"/>
      <c r="F17" s="39" t="n"/>
      <c r="G17" s="38" t="n"/>
      <c r="H17" s="39" t="n"/>
      <c r="I17" s="38" t="n"/>
      <c r="J17" s="39" t="n"/>
      <c r="K17" s="38" t="n"/>
      <c r="L17" s="39" t="n"/>
      <c r="M17" s="38" t="n"/>
      <c r="N17" s="39" t="n"/>
      <c r="O17" s="38" t="n"/>
      <c r="P17" s="39" t="n"/>
      <c r="Q17" s="38" t="n"/>
      <c r="R17" s="39" t="n"/>
      <c r="S17" s="38" t="n"/>
      <c r="T17" s="39" t="n"/>
      <c r="U17" s="38" t="n"/>
      <c r="V17" s="39" t="n"/>
      <c r="W17" s="38" t="n"/>
      <c r="X17" s="39" t="n"/>
      <c r="Y17" s="38" t="n"/>
      <c r="Z17" s="39" t="n"/>
      <c r="AA17" s="38" t="n"/>
      <c r="AB17" s="39" t="n"/>
      <c r="AC17" s="38" t="n"/>
      <c r="AD17" s="39" t="n"/>
      <c r="AE17" s="38" t="n"/>
      <c r="AF17" s="39" t="n"/>
      <c r="AG17" s="40" t="n"/>
    </row>
    <row r="18" ht="16" customHeight="1">
      <c r="A18" s="37" t="inlineStr">
        <is>
          <t>THÉP TĂNG CƯỜNG
LỚP DƯỚI</t>
        </is>
      </c>
      <c r="B18" s="11" t="inlineStr">
        <is>
          <t>Lớp 5</t>
        </is>
      </c>
      <c r="C18" s="38" t="n"/>
      <c r="D18" s="39" t="n"/>
      <c r="E18" s="38" t="n"/>
      <c r="F18" s="39" t="n"/>
      <c r="G18" s="38" t="n"/>
      <c r="H18" s="39" t="n"/>
      <c r="I18" s="38" t="n"/>
      <c r="J18" s="39" t="n"/>
      <c r="K18" s="38" t="n"/>
      <c r="L18" s="39" t="n"/>
      <c r="M18" s="38" t="n"/>
      <c r="N18" s="39" t="n"/>
      <c r="O18" s="38" t="n"/>
      <c r="P18" s="39" t="n"/>
      <c r="Q18" s="38" t="n"/>
      <c r="R18" s="39" t="n"/>
      <c r="S18" s="38" t="n"/>
      <c r="T18" s="39" t="n"/>
      <c r="U18" s="38" t="n"/>
      <c r="V18" s="39" t="n"/>
      <c r="W18" s="38" t="n"/>
      <c r="X18" s="39" t="n"/>
      <c r="Y18" s="38" t="n"/>
      <c r="Z18" s="39" t="n"/>
      <c r="AA18" s="38" t="n"/>
      <c r="AB18" s="39" t="n"/>
      <c r="AC18" s="38" t="n"/>
      <c r="AD18" s="39" t="n"/>
      <c r="AE18" s="38" t="n"/>
      <c r="AF18" s="39" t="n"/>
      <c r="AG18" s="40" t="n"/>
    </row>
    <row r="19" ht="16" customHeight="1">
      <c r="A19" s="41" t="n"/>
      <c r="B19" s="11" t="inlineStr">
        <is>
          <t>Lớp 4</t>
        </is>
      </c>
      <c r="C19" s="38" t="n"/>
      <c r="D19" s="39" t="n"/>
      <c r="E19" s="38" t="n"/>
      <c r="F19" s="39" t="n"/>
      <c r="G19" s="38" t="n"/>
      <c r="H19" s="39" t="n"/>
      <c r="I19" s="38" t="n"/>
      <c r="J19" s="39" t="n"/>
      <c r="K19" s="38" t="n"/>
      <c r="L19" s="39" t="n"/>
      <c r="M19" s="38" t="n"/>
      <c r="N19" s="39" t="n"/>
      <c r="O19" s="38" t="n"/>
      <c r="P19" s="39" t="n"/>
      <c r="Q19" s="38" t="n"/>
      <c r="R19" s="39" t="n"/>
      <c r="S19" s="38" t="n"/>
      <c r="T19" s="39" t="n"/>
      <c r="U19" s="38" t="n"/>
      <c r="V19" s="39" t="n"/>
      <c r="W19" s="38" t="n"/>
      <c r="X19" s="39" t="n"/>
      <c r="Y19" s="38" t="n"/>
      <c r="Z19" s="39" t="n"/>
      <c r="AA19" s="38" t="n"/>
      <c r="AB19" s="39" t="n"/>
      <c r="AC19" s="38" t="n"/>
      <c r="AD19" s="39" t="n"/>
      <c r="AE19" s="38" t="n"/>
      <c r="AF19" s="39" t="n"/>
      <c r="AG19" s="40" t="n"/>
    </row>
    <row r="20" ht="16" customHeight="1">
      <c r="A20" s="41" t="n"/>
      <c r="B20" s="11" t="inlineStr">
        <is>
          <t>Lớp 3</t>
        </is>
      </c>
      <c r="C20" s="38" t="n"/>
      <c r="D20" s="39" t="n"/>
      <c r="E20" s="38" t="n"/>
      <c r="F20" s="39" t="n"/>
      <c r="G20" s="38" t="n"/>
      <c r="H20" s="39" t="n"/>
      <c r="I20" s="38" t="n"/>
      <c r="J20" s="39" t="n"/>
      <c r="K20" s="38" t="n"/>
      <c r="L20" s="39" t="n"/>
      <c r="M20" s="38" t="n"/>
      <c r="N20" s="39" t="n"/>
      <c r="O20" s="38" t="n"/>
      <c r="P20" s="39" t="n"/>
      <c r="Q20" s="38" t="n"/>
      <c r="R20" s="39" t="n"/>
      <c r="S20" s="38" t="n"/>
      <c r="T20" s="39" t="n"/>
      <c r="U20" s="38" t="n"/>
      <c r="V20" s="39" t="n"/>
      <c r="W20" s="38" t="n"/>
      <c r="X20" s="39" t="n"/>
      <c r="Y20" s="38" t="n"/>
      <c r="Z20" s="39" t="n"/>
      <c r="AA20" s="38" t="n"/>
      <c r="AB20" s="39" t="n"/>
      <c r="AC20" s="38" t="n"/>
      <c r="AD20" s="39" t="n"/>
      <c r="AE20" s="38" t="n"/>
      <c r="AF20" s="39" t="n"/>
      <c r="AG20" s="40" t="n"/>
    </row>
    <row r="21" ht="16" customHeight="1">
      <c r="A21" s="41" t="n"/>
      <c r="B21" s="11" t="inlineStr">
        <is>
          <t>Lớp 2</t>
        </is>
      </c>
      <c r="C21" s="38" t="n"/>
      <c r="D21" s="39" t="n"/>
      <c r="E21" s="38" t="n"/>
      <c r="F21" s="39" t="n"/>
      <c r="G21" s="38" t="n"/>
      <c r="H21" s="39" t="n"/>
      <c r="I21" s="38" t="n"/>
      <c r="J21" s="39" t="n"/>
      <c r="K21" s="38" t="n"/>
      <c r="L21" s="39" t="n"/>
      <c r="M21" s="38" t="n"/>
      <c r="N21" s="39" t="n"/>
      <c r="O21" s="38" t="n"/>
      <c r="P21" s="39" t="n"/>
      <c r="Q21" s="38" t="n"/>
      <c r="R21" s="39" t="n"/>
      <c r="S21" s="38" t="n"/>
      <c r="T21" s="39" t="n"/>
      <c r="U21" s="38" t="n"/>
      <c r="V21" s="39" t="n"/>
      <c r="W21" s="38" t="n"/>
      <c r="X21" s="39" t="n"/>
      <c r="Y21" s="38" t="n"/>
      <c r="Z21" s="39" t="n"/>
      <c r="AA21" s="38" t="n"/>
      <c r="AB21" s="39" t="n"/>
      <c r="AC21" s="38" t="n"/>
      <c r="AD21" s="39" t="n"/>
      <c r="AE21" s="38" t="n"/>
      <c r="AF21" s="39" t="n"/>
      <c r="AG21" s="40" t="n"/>
    </row>
    <row r="22" ht="16" customHeight="1">
      <c r="A22" s="41" t="n"/>
      <c r="B22" s="11" t="inlineStr">
        <is>
          <t>Lớp 1</t>
        </is>
      </c>
      <c r="C22" s="38" t="n"/>
      <c r="D22" s="39" t="n"/>
      <c r="E22" s="38" t="n"/>
      <c r="F22" s="39" t="n"/>
      <c r="G22" s="38" t="n"/>
      <c r="H22" s="39" t="n"/>
      <c r="I22" s="38" t="n"/>
      <c r="J22" s="39" t="n"/>
      <c r="K22" s="38" t="n"/>
      <c r="L22" s="39" t="n"/>
      <c r="M22" s="38" t="n"/>
      <c r="N22" s="39" t="n"/>
      <c r="O22" s="38" t="n"/>
      <c r="P22" s="39" t="n"/>
      <c r="Q22" s="38" t="n"/>
      <c r="R22" s="39" t="n"/>
      <c r="S22" s="38" t="n"/>
      <c r="T22" s="39" t="n"/>
      <c r="U22" s="38" t="n"/>
      <c r="V22" s="39" t="n"/>
      <c r="W22" s="38" t="n"/>
      <c r="X22" s="39" t="n"/>
      <c r="Y22" s="38" t="n"/>
      <c r="Z22" s="39" t="n"/>
      <c r="AA22" s="38" t="n"/>
      <c r="AB22" s="39" t="n"/>
      <c r="AC22" s="38" t="n"/>
      <c r="AD22" s="39" t="n"/>
      <c r="AE22" s="38" t="n"/>
      <c r="AF22" s="39" t="n"/>
      <c r="AG22" s="40" t="n"/>
    </row>
    <row r="23" ht="21" customHeight="1">
      <c r="A23" s="29" t="inlineStr">
        <is>
          <t>Gối: ẩn cột  ·  Nhịp: đổi thép chạy TRÊN</t>
        </is>
      </c>
      <c r="B23" s="6" t="n"/>
      <c r="C23" s="42" t="n"/>
      <c r="D23" s="35" t="n"/>
      <c r="E23" s="42" t="n"/>
      <c r="F23" s="35" t="n"/>
      <c r="G23" s="42" t="n"/>
      <c r="H23" s="35" t="n"/>
      <c r="I23" s="42" t="n"/>
      <c r="J23" s="35" t="n"/>
      <c r="K23" s="42" t="n"/>
      <c r="L23" s="35" t="n"/>
      <c r="M23" s="42" t="n"/>
      <c r="N23" s="35" t="n"/>
      <c r="O23" s="42" t="n"/>
      <c r="P23" s="35" t="n"/>
      <c r="Q23" s="42" t="n"/>
      <c r="R23" s="35" t="n"/>
      <c r="S23" s="42" t="n"/>
      <c r="T23" s="35" t="n"/>
      <c r="U23" s="42" t="n"/>
      <c r="V23" s="35" t="n"/>
      <c r="W23" s="42" t="n"/>
      <c r="X23" s="35" t="n"/>
      <c r="Y23" s="42" t="n"/>
      <c r="Z23" s="35" t="n"/>
      <c r="AA23" s="42" t="n"/>
      <c r="AB23" s="35" t="n"/>
      <c r="AC23" s="42" t="n"/>
      <c r="AD23" s="35" t="n"/>
      <c r="AE23" s="42" t="n"/>
      <c r="AF23" s="35" t="n"/>
      <c r="AG23" s="43" t="n"/>
    </row>
    <row r="24" ht="21" customHeight="1">
      <c r="A24" s="29" t="inlineStr">
        <is>
          <t>Gối: dầm giao tại cột  ·  Nhịp: thép giá</t>
        </is>
      </c>
      <c r="B24" s="6" t="n"/>
      <c r="C24" s="42" t="n"/>
      <c r="D24" s="35" t="n"/>
      <c r="E24" s="42" t="n"/>
      <c r="F24" s="35" t="n"/>
      <c r="G24" s="42" t="n"/>
      <c r="H24" s="35" t="n"/>
      <c r="I24" s="42" t="n"/>
      <c r="J24" s="35" t="n"/>
      <c r="K24" s="42" t="n"/>
      <c r="L24" s="35" t="n"/>
      <c r="M24" s="42" t="n"/>
      <c r="N24" s="35" t="n"/>
      <c r="O24" s="42" t="n"/>
      <c r="P24" s="35" t="n"/>
      <c r="Q24" s="42" t="n"/>
      <c r="R24" s="35" t="n"/>
      <c r="S24" s="42" t="n"/>
      <c r="T24" s="35" t="n"/>
      <c r="U24" s="42" t="n"/>
      <c r="V24" s="35" t="n"/>
      <c r="W24" s="42" t="n"/>
      <c r="X24" s="35" t="n"/>
      <c r="Y24" s="42" t="n"/>
      <c r="Z24" s="35" t="n"/>
      <c r="AA24" s="42" t="n"/>
      <c r="AB24" s="35" t="n"/>
      <c r="AC24" s="42" t="n"/>
      <c r="AD24" s="35" t="n"/>
      <c r="AE24" s="42" t="n"/>
      <c r="AF24" s="35" t="n"/>
      <c r="AG24" s="43" t="n"/>
    </row>
    <row r="25" ht="21" customHeight="1">
      <c r="A25" s="29" t="inlineStr">
        <is>
          <t>Gối: lệch dầm giao  ·  Nhịp: đổi thép chạy DƯỚI</t>
        </is>
      </c>
      <c r="B25" s="6" t="n"/>
      <c r="C25" s="42" t="n"/>
      <c r="D25" s="35" t="n"/>
      <c r="E25" s="42" t="n"/>
      <c r="F25" s="35" t="n"/>
      <c r="G25" s="42" t="n"/>
      <c r="H25" s="35" t="n"/>
      <c r="I25" s="42" t="n"/>
      <c r="J25" s="35" t="n"/>
      <c r="K25" s="42" t="n"/>
      <c r="L25" s="35" t="n"/>
      <c r="M25" s="42" t="n"/>
      <c r="N25" s="35" t="n"/>
      <c r="O25" s="42" t="n"/>
      <c r="P25" s="35" t="n"/>
      <c r="Q25" s="42" t="n"/>
      <c r="R25" s="35" t="n"/>
      <c r="S25" s="42" t="n"/>
      <c r="T25" s="35" t="n"/>
      <c r="U25" s="42" t="n"/>
      <c r="V25" s="35" t="n"/>
      <c r="W25" s="42" t="n"/>
      <c r="X25" s="35" t="n"/>
      <c r="Y25" s="42" t="n"/>
      <c r="Z25" s="35" t="n"/>
      <c r="AA25" s="42" t="n"/>
      <c r="AB25" s="35" t="n"/>
      <c r="AC25" s="42" t="n"/>
      <c r="AD25" s="35" t="n"/>
      <c r="AE25" s="42" t="n"/>
      <c r="AF25" s="35" t="n"/>
      <c r="AG25" s="43" t="n"/>
    </row>
    <row r="26" ht="21" customHeight="1">
      <c r="A26" s="29" t="inlineStr">
        <is>
          <t>Gối: tên trục  ·  Nhịp: thép đai</t>
        </is>
      </c>
      <c r="B26" s="6" t="n"/>
      <c r="C26" s="42" t="n"/>
      <c r="D26" s="35" t="n"/>
      <c r="E26" s="42" t="n"/>
      <c r="F26" s="35" t="n"/>
      <c r="G26" s="42" t="n"/>
      <c r="H26" s="35" t="n"/>
      <c r="I26" s="42" t="n"/>
      <c r="J26" s="35" t="n"/>
      <c r="K26" s="42" t="n"/>
      <c r="L26" s="35" t="n"/>
      <c r="M26" s="42" t="n"/>
      <c r="N26" s="35" t="n"/>
      <c r="O26" s="42" t="n"/>
      <c r="P26" s="35" t="n"/>
      <c r="Q26" s="42" t="n"/>
      <c r="R26" s="35" t="n"/>
      <c r="S26" s="42" t="n"/>
      <c r="T26" s="35" t="n"/>
      <c r="U26" s="42" t="n"/>
      <c r="V26" s="35" t="n"/>
      <c r="W26" s="42" t="n"/>
      <c r="X26" s="35" t="n"/>
      <c r="Y26" s="42" t="n"/>
      <c r="Z26" s="35" t="n"/>
      <c r="AA26" s="42" t="n"/>
      <c r="AB26" s="35" t="n"/>
      <c r="AC26" s="42" t="n"/>
      <c r="AD26" s="35" t="n"/>
      <c r="AE26" s="42" t="n"/>
      <c r="AF26" s="35" t="n"/>
      <c r="AG26" s="43" t="n"/>
    </row>
    <row r="27" ht="21" customHeight="1">
      <c r="A27" s="29" t="inlineStr">
        <is>
          <t>Gối: lệch trục  ·  Nhịp: đai trong / cắt thép</t>
        </is>
      </c>
      <c r="B27" s="6" t="n"/>
      <c r="C27" s="42" t="n"/>
      <c r="D27" s="35" t="n"/>
      <c r="E27" s="42" t="n"/>
      <c r="F27" s="35" t="n"/>
      <c r="G27" s="42" t="n"/>
      <c r="H27" s="35" t="n"/>
      <c r="I27" s="42" t="n"/>
      <c r="J27" s="35" t="n"/>
      <c r="K27" s="42" t="n"/>
      <c r="L27" s="35" t="n"/>
      <c r="M27" s="42" t="n"/>
      <c r="N27" s="35" t="n"/>
      <c r="O27" s="42" t="n"/>
      <c r="P27" s="35" t="n"/>
      <c r="Q27" s="42" t="n"/>
      <c r="R27" s="35" t="n"/>
      <c r="S27" s="42" t="n"/>
      <c r="T27" s="35" t="n"/>
      <c r="U27" s="42" t="n"/>
      <c r="V27" s="35" t="n"/>
      <c r="W27" s="42" t="n"/>
      <c r="X27" s="35" t="n"/>
      <c r="Y27" s="42" t="n"/>
      <c r="Z27" s="35" t="n"/>
      <c r="AA27" s="42" t="n"/>
      <c r="AB27" s="35" t="n"/>
      <c r="AC27" s="42" t="n"/>
      <c r="AD27" s="35" t="n"/>
      <c r="AE27" s="42" t="n"/>
      <c r="AF27" s="35" t="n"/>
      <c r="AG27" s="43" t="n"/>
    </row>
    <row r="28" ht="21" customHeight="1">
      <c r="A28" s="29" t="inlineStr">
        <is>
          <t>Gối: dầm giao trong nhịp phải  ·  Nhịp: kiểu đai</t>
        </is>
      </c>
      <c r="B28" s="6" t="n"/>
      <c r="C28" s="42" t="n"/>
      <c r="D28" s="35" t="n"/>
      <c r="E28" s="42" t="n"/>
      <c r="F28" s="35" t="n"/>
      <c r="G28" s="42" t="n"/>
      <c r="H28" s="35" t="n"/>
      <c r="I28" s="42" t="n"/>
      <c r="J28" s="35" t="n"/>
      <c r="K28" s="42" t="n"/>
      <c r="L28" s="35" t="n"/>
      <c r="M28" s="42" t="n"/>
      <c r="N28" s="35" t="n"/>
      <c r="O28" s="42" t="n"/>
      <c r="P28" s="35" t="n"/>
      <c r="Q28" s="42" t="n"/>
      <c r="R28" s="35" t="n"/>
      <c r="S28" s="42" t="n"/>
      <c r="T28" s="35" t="n"/>
      <c r="U28" s="42" t="n"/>
      <c r="V28" s="35" t="n"/>
      <c r="W28" s="42" t="n"/>
      <c r="X28" s="35" t="n"/>
      <c r="Y28" s="42" t="n"/>
      <c r="Z28" s="35" t="n"/>
      <c r="AA28" s="42" t="n"/>
      <c r="AB28" s="35" t="n"/>
      <c r="AC28" s="42" t="n"/>
      <c r="AD28" s="35" t="n"/>
      <c r="AE28" s="42" t="n"/>
      <c r="AF28" s="35" t="n"/>
      <c r="AG28" s="43" t="n"/>
    </row>
    <row r="29" ht="21" customHeight="1">
      <c r="A29" s="29" t="inlineStr">
        <is>
          <t>Gối: vị trí dầm giao  ·  Nhịp: đai gia cường</t>
        </is>
      </c>
      <c r="B29" s="6" t="n"/>
      <c r="C29" s="42" t="n"/>
      <c r="D29" s="35" t="n"/>
      <c r="E29" s="42" t="n"/>
      <c r="F29" s="35" t="n"/>
      <c r="G29" s="42" t="n"/>
      <c r="H29" s="35" t="n"/>
      <c r="I29" s="42" t="n"/>
      <c r="J29" s="35" t="n"/>
      <c r="K29" s="42" t="n"/>
      <c r="L29" s="35" t="n"/>
      <c r="M29" s="42" t="n"/>
      <c r="N29" s="35" t="n"/>
      <c r="O29" s="42" t="n"/>
      <c r="P29" s="35" t="n"/>
      <c r="Q29" s="42" t="n"/>
      <c r="R29" s="35" t="n"/>
      <c r="S29" s="42" t="n"/>
      <c r="T29" s="35" t="n"/>
      <c r="U29" s="42" t="n"/>
      <c r="V29" s="35" t="n"/>
      <c r="W29" s="42" t="n"/>
      <c r="X29" s="35" t="n"/>
      <c r="Y29" s="42" t="n"/>
      <c r="Z29" s="35" t="n"/>
      <c r="AA29" s="42" t="n"/>
      <c r="AB29" s="35" t="n"/>
      <c r="AC29" s="42" t="n"/>
      <c r="AD29" s="35" t="n"/>
      <c r="AE29" s="42" t="n"/>
      <c r="AF29" s="35" t="n"/>
      <c r="AG29" s="43" t="n"/>
    </row>
    <row r="30" ht="21" customHeight="1">
      <c r="A30" s="44" t="inlineStr">
        <is>
          <t>Nhịp: thép vai bò tại dầm giao</t>
        </is>
      </c>
      <c r="B30" s="45" t="n"/>
      <c r="C30" s="46" t="inlineStr"/>
      <c r="D30" s="47" t="n"/>
      <c r="E30" s="46" t="inlineStr"/>
      <c r="F30" s="47" t="n"/>
      <c r="G30" s="46" t="inlineStr"/>
      <c r="H30" s="47" t="n"/>
      <c r="I30" s="46" t="inlineStr"/>
      <c r="J30" s="47" t="n"/>
      <c r="K30" s="46" t="inlineStr"/>
      <c r="L30" s="47" t="n"/>
      <c r="M30" s="46" t="inlineStr"/>
      <c r="N30" s="47" t="n"/>
      <c r="O30" s="46" t="inlineStr"/>
      <c r="P30" s="47" t="n"/>
      <c r="Q30" s="46" t="inlineStr"/>
      <c r="R30" s="47" t="n"/>
      <c r="S30" s="46" t="inlineStr"/>
      <c r="T30" s="47" t="n"/>
      <c r="U30" s="46" t="inlineStr"/>
      <c r="V30" s="47" t="n"/>
      <c r="W30" s="46" t="inlineStr"/>
      <c r="X30" s="47" t="n"/>
      <c r="Y30" s="46" t="inlineStr"/>
      <c r="Z30" s="47" t="n"/>
      <c r="AA30" s="46" t="inlineStr"/>
      <c r="AB30" s="47" t="n"/>
      <c r="AC30" s="46" t="inlineStr"/>
      <c r="AD30" s="47" t="n"/>
      <c r="AE30" s="46" t="inlineStr"/>
      <c r="AF30" s="47" t="n"/>
      <c r="AG30" s="48" t="inlineStr"/>
    </row>
    <row r="32" ht="18" customHeight="1">
      <c r="A32" s="49" t="inlineStr">
        <is>
          <t>KIỂM TRA HÌNH HỌC (tự tính – đối chiếu mặt bằng kết cấu)</t>
        </is>
      </c>
      <c r="B32" s="50" t="n"/>
      <c r="C32" s="50" t="n"/>
      <c r="D32" s="50" t="n"/>
      <c r="E32" s="50" t="n"/>
      <c r="F32" s="50" t="n"/>
      <c r="G32" s="50" t="n"/>
      <c r="H32" s="50" t="n"/>
      <c r="I32" s="50" t="n"/>
      <c r="J32" s="50" t="n"/>
      <c r="K32" s="50" t="n"/>
      <c r="L32" s="50" t="n"/>
      <c r="M32" s="50" t="n"/>
      <c r="N32" s="50" t="n"/>
      <c r="O32" s="50" t="n"/>
      <c r="P32" s="50" t="n"/>
      <c r="Q32" s="50" t="n"/>
      <c r="R32" s="50" t="n"/>
      <c r="S32" s="50" t="n"/>
      <c r="T32" s="50" t="n"/>
      <c r="U32" s="50" t="n"/>
      <c r="V32" s="50" t="n"/>
      <c r="W32" s="50" t="n"/>
      <c r="X32" s="50" t="n"/>
      <c r="Y32" s="50" t="n"/>
      <c r="Z32" s="50" t="n"/>
      <c r="AA32" s="50" t="n"/>
      <c r="AB32" s="50" t="n"/>
      <c r="AC32" s="50" t="n"/>
      <c r="AD32" s="50" t="n"/>
      <c r="AE32" s="50" t="n"/>
      <c r="AF32" s="50" t="n"/>
      <c r="AG32" s="50" t="n"/>
    </row>
    <row r="33" ht="27" customHeight="1">
      <c r="A33" s="51" t="inlineStr">
        <is>
          <t>Gối: tọa độ trục (gốc = trục gối 1)  ·  Nhịp: KC trục-trục (mm)</t>
        </is>
      </c>
      <c r="B33" s="6" t="n"/>
      <c r="C33" s="52">
        <f>IF(C63=1,C62-$C$62,"")</f>
        <v/>
      </c>
      <c r="D33" s="52">
        <f>IF(D63=1,IFERROR(E62-C62,""),"")</f>
        <v/>
      </c>
      <c r="E33" s="52">
        <f>IF(E63=1,E62-$C$62,"")</f>
        <v/>
      </c>
      <c r="F33" s="52">
        <f>IF(F63=1,IFERROR(G62-E62,""),"")</f>
        <v/>
      </c>
      <c r="G33" s="52">
        <f>IF(G63=1,G62-$C$62,"")</f>
        <v/>
      </c>
      <c r="H33" s="52">
        <f>IF(H63=1,IFERROR(I62-G62,""),"")</f>
        <v/>
      </c>
      <c r="I33" s="52">
        <f>IF(I63=1,I62-$C$62,"")</f>
        <v/>
      </c>
      <c r="J33" s="52">
        <f>IF(J63=1,IFERROR(K62-I62,""),"")</f>
        <v/>
      </c>
      <c r="K33" s="52">
        <f>IF(K63=1,K62-$C$62,"")</f>
        <v/>
      </c>
      <c r="L33" s="52">
        <f>IF(L63=1,IFERROR(M62-K62,""),"")</f>
        <v/>
      </c>
      <c r="M33" s="52">
        <f>IF(M63=1,M62-$C$62,"")</f>
        <v/>
      </c>
      <c r="N33" s="52">
        <f>IF(N63=1,IFERROR(O62-M62,""),"")</f>
        <v/>
      </c>
      <c r="O33" s="52">
        <f>IF(O63=1,O62-$C$62,"")</f>
        <v/>
      </c>
      <c r="P33" s="52">
        <f>IF(P63=1,IFERROR(Q62-O62,""),"")</f>
        <v/>
      </c>
      <c r="Q33" s="52">
        <f>IF(Q63=1,Q62-$C$62,"")</f>
        <v/>
      </c>
      <c r="R33" s="52">
        <f>IF(R63=1,IFERROR(S62-Q62,""),"")</f>
        <v/>
      </c>
      <c r="S33" s="52">
        <f>IF(S63=1,S62-$C$62,"")</f>
        <v/>
      </c>
      <c r="T33" s="52">
        <f>IF(T63=1,IFERROR(U62-S62,""),"")</f>
        <v/>
      </c>
      <c r="U33" s="52">
        <f>IF(U63=1,U62-$C$62,"")</f>
        <v/>
      </c>
      <c r="V33" s="52">
        <f>IF(V63=1,IFERROR(W62-U62,""),"")</f>
        <v/>
      </c>
      <c r="W33" s="52">
        <f>IF(W63=1,W62-$C$62,"")</f>
        <v/>
      </c>
      <c r="X33" s="52">
        <f>IF(X63=1,IFERROR(Y62-W62,""),"")</f>
        <v/>
      </c>
      <c r="Y33" s="52">
        <f>IF(Y63=1,Y62-$C$62,"")</f>
        <v/>
      </c>
      <c r="Z33" s="52">
        <f>IF(Z63=1,IFERROR(AA62-Y62,""),"")</f>
        <v/>
      </c>
      <c r="AA33" s="52">
        <f>IF(AA63=1,AA62-$C$62,"")</f>
        <v/>
      </c>
      <c r="AB33" s="52">
        <f>IF(AB63=1,IFERROR(AC62-AA62,""),"")</f>
        <v/>
      </c>
      <c r="AC33" s="52">
        <f>IF(AC63=1,AC62-$C$62,"")</f>
        <v/>
      </c>
      <c r="AD33" s="52">
        <f>IF(AD63=1,IFERROR(AE62-AC62,""),"")</f>
        <v/>
      </c>
      <c r="AE33" s="52">
        <f>IF(AE63=1,AE62-$C$62,"")</f>
        <v/>
      </c>
      <c r="AF33" s="52">
        <f>IF(AF63=1,IFERROR(AG62-AE62,""),"")</f>
        <v/>
      </c>
      <c r="AG33" s="52">
        <f>IF(AG63=1,AG62-$C$62,"")</f>
        <v/>
      </c>
    </row>
    <row r="34" ht="27" customHeight="1">
      <c r="A34" s="53" t="inlineStr">
        <is>
          <t>Nhịp: KC trục theo mặt bằng (nhập để đối chiếu)</t>
        </is>
      </c>
      <c r="B34" s="6" t="n"/>
      <c r="C34" s="54" t="n"/>
      <c r="D34" s="55" t="n"/>
      <c r="E34" s="54" t="n"/>
      <c r="F34" s="55" t="n"/>
      <c r="G34" s="54" t="n"/>
      <c r="H34" s="55" t="n"/>
      <c r="I34" s="54" t="n"/>
      <c r="J34" s="55" t="n"/>
      <c r="K34" s="54" t="n"/>
      <c r="L34" s="55" t="n"/>
      <c r="M34" s="54" t="n"/>
      <c r="N34" s="55" t="n"/>
      <c r="O34" s="54" t="n"/>
      <c r="P34" s="55" t="n"/>
      <c r="Q34" s="54" t="n"/>
      <c r="R34" s="55" t="n"/>
      <c r="S34" s="54" t="n"/>
      <c r="T34" s="55" t="n"/>
      <c r="U34" s="54" t="n"/>
      <c r="V34" s="55" t="n"/>
      <c r="W34" s="54" t="n"/>
      <c r="X34" s="55" t="n"/>
      <c r="Y34" s="54" t="n"/>
      <c r="Z34" s="55" t="n"/>
      <c r="AA34" s="54" t="n"/>
      <c r="AB34" s="55" t="n"/>
      <c r="AC34" s="54" t="n"/>
      <c r="AD34" s="55" t="n"/>
      <c r="AE34" s="54" t="n"/>
      <c r="AF34" s="55" t="n"/>
      <c r="AG34" s="54" t="n"/>
    </row>
    <row r="35" ht="27" customHeight="1">
      <c r="A35" s="51" t="inlineStr">
        <is>
          <t>Nhịp: Ltt suy ra từ KC trục ở dòng 34 (mm)</t>
        </is>
      </c>
      <c r="B35" s="6" t="n"/>
      <c r="C35" s="52" t="n"/>
      <c r="D35" s="52">
        <f>IF(D34="","",D34-(N(C60)/2-C67)-(N(E60)/2+E67))</f>
        <v/>
      </c>
      <c r="E35" s="52" t="n"/>
      <c r="F35" s="52">
        <f>IF(F34="","",F34-(N(E60)/2-E67)-(N(G60)/2+G67))</f>
        <v/>
      </c>
      <c r="G35" s="52" t="n"/>
      <c r="H35" s="52">
        <f>IF(H34="","",H34-(N(G60)/2-G67)-(N(I60)/2+I67))</f>
        <v/>
      </c>
      <c r="I35" s="52" t="n"/>
      <c r="J35" s="52">
        <f>IF(J34="","",J34-(N(I60)/2-I67)-(N(K60)/2+K67))</f>
        <v/>
      </c>
      <c r="K35" s="52" t="n"/>
      <c r="L35" s="52">
        <f>IF(L34="","",L34-(N(K60)/2-K67)-(N(M60)/2+M67))</f>
        <v/>
      </c>
      <c r="M35" s="52" t="n"/>
      <c r="N35" s="52">
        <f>IF(N34="","",N34-(N(M60)/2-M67)-(N(O60)/2+O67))</f>
        <v/>
      </c>
      <c r="O35" s="52" t="n"/>
      <c r="P35" s="52">
        <f>IF(P34="","",P34-(N(O60)/2-O67)-(N(Q60)/2+Q67))</f>
        <v/>
      </c>
      <c r="Q35" s="52" t="n"/>
      <c r="R35" s="52">
        <f>IF(R34="","",R34-(N(Q60)/2-Q67)-(N(S60)/2+S67))</f>
        <v/>
      </c>
      <c r="S35" s="52" t="n"/>
      <c r="T35" s="52">
        <f>IF(T34="","",T34-(N(S60)/2-S67)-(N(U60)/2+U67))</f>
        <v/>
      </c>
      <c r="U35" s="52" t="n"/>
      <c r="V35" s="52">
        <f>IF(V34="","",V34-(N(U60)/2-U67)-(N(W60)/2+W67))</f>
        <v/>
      </c>
      <c r="W35" s="52" t="n"/>
      <c r="X35" s="52">
        <f>IF(X34="","",X34-(N(W60)/2-W67)-(N(Y60)/2+Y67))</f>
        <v/>
      </c>
      <c r="Y35" s="52" t="n"/>
      <c r="Z35" s="52">
        <f>IF(Z34="","",Z34-(N(Y60)/2-Y67)-(N(AA60)/2+AA67))</f>
        <v/>
      </c>
      <c r="AA35" s="52" t="n"/>
      <c r="AB35" s="52">
        <f>IF(AB34="","",AB34-(N(AA60)/2-AA67)-(N(AC60)/2+AC67))</f>
        <v/>
      </c>
      <c r="AC35" s="52" t="n"/>
      <c r="AD35" s="52">
        <f>IF(AD34="","",AD34-(N(AC60)/2-AC67)-(N(AE60)/2+AE67))</f>
        <v/>
      </c>
      <c r="AE35" s="52" t="n"/>
      <c r="AF35" s="52">
        <f>IF(AF34="","",AF34-(N(AE60)/2-AE67)-(N(AG60)/2+AG67))</f>
        <v/>
      </c>
      <c r="AG35" s="52" t="n"/>
    </row>
    <row r="36" ht="18" customHeight="1">
      <c r="A36" s="49" t="inlineStr">
        <is>
          <t>KIỂM TRA DIỆN TÍCH THÉP (cm²) – thép chạy suốt hiệu dụng + tăng cường lớp 1..5 (gối: trái/phải)</t>
        </is>
      </c>
      <c r="B36" s="50" t="n"/>
      <c r="C36" s="50" t="n"/>
      <c r="D36" s="50" t="n"/>
      <c r="E36" s="50" t="n"/>
      <c r="F36" s="50" t="n"/>
      <c r="G36" s="50" t="n"/>
      <c r="H36" s="50" t="n"/>
      <c r="I36" s="50" t="n"/>
      <c r="J36" s="50" t="n"/>
      <c r="K36" s="50" t="n"/>
      <c r="L36" s="50" t="n"/>
      <c r="M36" s="50" t="n"/>
      <c r="N36" s="50" t="n"/>
      <c r="O36" s="50" t="n"/>
      <c r="P36" s="50" t="n"/>
      <c r="Q36" s="50" t="n"/>
      <c r="R36" s="50" t="n"/>
      <c r="S36" s="50" t="n"/>
      <c r="T36" s="50" t="n"/>
      <c r="U36" s="50" t="n"/>
      <c r="V36" s="50" t="n"/>
      <c r="W36" s="50" t="n"/>
      <c r="X36" s="50" t="n"/>
      <c r="Y36" s="50" t="n"/>
      <c r="Z36" s="50" t="n"/>
      <c r="AA36" s="50" t="n"/>
      <c r="AB36" s="50" t="n"/>
      <c r="AC36" s="50" t="n"/>
      <c r="AD36" s="50" t="n"/>
      <c r="AE36" s="50" t="n"/>
      <c r="AF36" s="50" t="n"/>
      <c r="AG36" s="50" t="n"/>
    </row>
    <row r="37" ht="27" customHeight="1">
      <c r="A37" s="53" t="inlineStr">
        <is>
          <t>As yêu cầu TRÊN (nhập; gối: trái/phải vd 2.63/1.45)</t>
        </is>
      </c>
      <c r="B37" s="6" t="n"/>
      <c r="C37" s="56" t="n"/>
      <c r="D37" s="56" t="n"/>
      <c r="E37" s="56" t="n"/>
      <c r="F37" s="56" t="n"/>
      <c r="G37" s="56" t="n"/>
      <c r="H37" s="56" t="n"/>
      <c r="I37" s="56" t="n"/>
      <c r="J37" s="56" t="n"/>
      <c r="K37" s="56" t="n"/>
      <c r="L37" s="56" t="n"/>
      <c r="M37" s="56" t="n"/>
      <c r="N37" s="56" t="n"/>
      <c r="O37" s="56" t="n"/>
      <c r="P37" s="56" t="n"/>
      <c r="Q37" s="56" t="n"/>
      <c r="R37" s="56" t="n"/>
      <c r="S37" s="56" t="n"/>
      <c r="T37" s="56" t="n"/>
      <c r="U37" s="56" t="n"/>
      <c r="V37" s="56" t="n"/>
      <c r="W37" s="56" t="n"/>
      <c r="X37" s="56" t="n"/>
      <c r="Y37" s="56" t="n"/>
      <c r="Z37" s="56" t="n"/>
      <c r="AA37" s="56" t="n"/>
      <c r="AB37" s="56" t="n"/>
      <c r="AC37" s="56" t="n"/>
      <c r="AD37" s="56" t="n"/>
      <c r="AE37" s="56" t="n"/>
      <c r="AF37" s="56" t="n"/>
      <c r="AG37" s="56" t="n"/>
    </row>
    <row r="38" ht="27" customHeight="1">
      <c r="A38" s="51" t="inlineStr">
        <is>
          <t>As bố trí TRÊN</t>
        </is>
      </c>
      <c r="B38" s="6" t="n"/>
      <c r="C38" s="57">
        <f>IF(C63=1,IF(C65*C66=1,FIXED(C116,2,TRUE)&amp;"/"&amp;FIXED(C117,2,TRUE),IF(C65=1,FIXED(C116,2,TRUE),FIXED(C117,2,TRUE))),"")</f>
        <v/>
      </c>
      <c r="D38" s="58">
        <f>IF(D63=1,ROUND(D116,2),"")</f>
        <v/>
      </c>
      <c r="E38" s="57">
        <f>IF(E63=1,IF(E65*E66=1,FIXED(E116,2,TRUE)&amp;"/"&amp;FIXED(E117,2,TRUE),IF(E65=1,FIXED(E116,2,TRUE),FIXED(E117,2,TRUE))),"")</f>
        <v/>
      </c>
      <c r="F38" s="58">
        <f>IF(F63=1,ROUND(F116,2),"")</f>
        <v/>
      </c>
      <c r="G38" s="57">
        <f>IF(G63=1,IF(G65*G66=1,FIXED(G116,2,TRUE)&amp;"/"&amp;FIXED(G117,2,TRUE),IF(G65=1,FIXED(G116,2,TRUE),FIXED(G117,2,TRUE))),"")</f>
        <v/>
      </c>
      <c r="H38" s="58">
        <f>IF(H63=1,ROUND(H116,2),"")</f>
        <v/>
      </c>
      <c r="I38" s="57">
        <f>IF(I63=1,IF(I65*I66=1,FIXED(I116,2,TRUE)&amp;"/"&amp;FIXED(I117,2,TRUE),IF(I65=1,FIXED(I116,2,TRUE),FIXED(I117,2,TRUE))),"")</f>
        <v/>
      </c>
      <c r="J38" s="58">
        <f>IF(J63=1,ROUND(J116,2),"")</f>
        <v/>
      </c>
      <c r="K38" s="57">
        <f>IF(K63=1,IF(K65*K66=1,FIXED(K116,2,TRUE)&amp;"/"&amp;FIXED(K117,2,TRUE),IF(K65=1,FIXED(K116,2,TRUE),FIXED(K117,2,TRUE))),"")</f>
        <v/>
      </c>
      <c r="L38" s="58">
        <f>IF(L63=1,ROUND(L116,2),"")</f>
        <v/>
      </c>
      <c r="M38" s="57">
        <f>IF(M63=1,IF(M65*M66=1,FIXED(M116,2,TRUE)&amp;"/"&amp;FIXED(M117,2,TRUE),IF(M65=1,FIXED(M116,2,TRUE),FIXED(M117,2,TRUE))),"")</f>
        <v/>
      </c>
      <c r="N38" s="58">
        <f>IF(N63=1,ROUND(N116,2),"")</f>
        <v/>
      </c>
      <c r="O38" s="57">
        <f>IF(O63=1,IF(O65*O66=1,FIXED(O116,2,TRUE)&amp;"/"&amp;FIXED(O117,2,TRUE),IF(O65=1,FIXED(O116,2,TRUE),FIXED(O117,2,TRUE))),"")</f>
        <v/>
      </c>
      <c r="P38" s="58">
        <f>IF(P63=1,ROUND(P116,2),"")</f>
        <v/>
      </c>
      <c r="Q38" s="57">
        <f>IF(Q63=1,IF(Q65*Q66=1,FIXED(Q116,2,TRUE)&amp;"/"&amp;FIXED(Q117,2,TRUE),IF(Q65=1,FIXED(Q116,2,TRUE),FIXED(Q117,2,TRUE))),"")</f>
        <v/>
      </c>
      <c r="R38" s="58">
        <f>IF(R63=1,ROUND(R116,2),"")</f>
        <v/>
      </c>
      <c r="S38" s="57">
        <f>IF(S63=1,IF(S65*S66=1,FIXED(S116,2,TRUE)&amp;"/"&amp;FIXED(S117,2,TRUE),IF(S65=1,FIXED(S116,2,TRUE),FIXED(S117,2,TRUE))),"")</f>
        <v/>
      </c>
      <c r="T38" s="58">
        <f>IF(T63=1,ROUND(T116,2),"")</f>
        <v/>
      </c>
      <c r="U38" s="57">
        <f>IF(U63=1,IF(U65*U66=1,FIXED(U116,2,TRUE)&amp;"/"&amp;FIXED(U117,2,TRUE),IF(U65=1,FIXED(U116,2,TRUE),FIXED(U117,2,TRUE))),"")</f>
        <v/>
      </c>
      <c r="V38" s="58">
        <f>IF(V63=1,ROUND(V116,2),"")</f>
        <v/>
      </c>
      <c r="W38" s="57">
        <f>IF(W63=1,IF(W65*W66=1,FIXED(W116,2,TRUE)&amp;"/"&amp;FIXED(W117,2,TRUE),IF(W65=1,FIXED(W116,2,TRUE),FIXED(W117,2,TRUE))),"")</f>
        <v/>
      </c>
      <c r="X38" s="58">
        <f>IF(X63=1,ROUND(X116,2),"")</f>
        <v/>
      </c>
      <c r="Y38" s="57">
        <f>IF(Y63=1,IF(Y65*Y66=1,FIXED(Y116,2,TRUE)&amp;"/"&amp;FIXED(Y117,2,TRUE),IF(Y65=1,FIXED(Y116,2,TRUE),FIXED(Y117,2,TRUE))),"")</f>
        <v/>
      </c>
      <c r="Z38" s="58">
        <f>IF(Z63=1,ROUND(Z116,2),"")</f>
        <v/>
      </c>
      <c r="AA38" s="57">
        <f>IF(AA63=1,IF(AA65*AA66=1,FIXED(AA116,2,TRUE)&amp;"/"&amp;FIXED(AA117,2,TRUE),IF(AA65=1,FIXED(AA116,2,TRUE),FIXED(AA117,2,TRUE))),"")</f>
        <v/>
      </c>
      <c r="AB38" s="58">
        <f>IF(AB63=1,ROUND(AB116,2),"")</f>
        <v/>
      </c>
      <c r="AC38" s="57">
        <f>IF(AC63=1,IF(AC65*AC66=1,FIXED(AC116,2,TRUE)&amp;"/"&amp;FIXED(AC117,2,TRUE),IF(AC65=1,FIXED(AC116,2,TRUE),FIXED(AC117,2,TRUE))),"")</f>
        <v/>
      </c>
      <c r="AD38" s="58">
        <f>IF(AD63=1,ROUND(AD116,2),"")</f>
        <v/>
      </c>
      <c r="AE38" s="57">
        <f>IF(AE63=1,IF(AE65*AE66=1,FIXED(AE116,2,TRUE)&amp;"/"&amp;FIXED(AE117,2,TRUE),IF(AE65=1,FIXED(AE116,2,TRUE),FIXED(AE117,2,TRUE))),"")</f>
        <v/>
      </c>
      <c r="AF38" s="58">
        <f>IF(AF63=1,ROUND(AF116,2),"")</f>
        <v/>
      </c>
      <c r="AG38" s="57">
        <f>IF(AG63=1,IF(AG65*AG66=1,FIXED(AG116,2,TRUE)&amp;"/"&amp;FIXED(AG117,2,TRUE),IF(AG65=1,FIXED(AG116,2,TRUE),FIXED(AG117,2,TRUE))),"")</f>
        <v/>
      </c>
    </row>
    <row r="39" ht="27" customHeight="1">
      <c r="A39" s="51" t="inlineStr">
        <is>
          <t>Hệ số As bố trí / yêu cầu TRÊN</t>
        </is>
      </c>
      <c r="B39" s="6" t="n"/>
      <c r="C39" s="58">
        <f>IF(OR(C63=0,C120=""),"",IF(MIN(IF(AND(C65=1,N(C120)&gt;0),C116/C120,99),IF(AND(C66=1,N(C121)&gt;0),C117/C121,99))=99,"",ROUND(MIN(IF(AND(C65=1,N(C120)&gt;0),C116/C120,99),IF(AND(C66=1,N(C121)&gt;0),C117/C121,99)),2)))</f>
        <v/>
      </c>
      <c r="D39" s="58">
        <f>IF(OR(D63=0,D120=""),"",IF(MIN(IF(AND(D65=1,N(D120)&gt;0),D116/D120,99),IF(AND(D66=1,N(D121)&gt;0),D117/D121,99))=99,"",ROUND(MIN(IF(AND(D65=1,N(D120)&gt;0),D116/D120,99),IF(AND(D66=1,N(D121)&gt;0),D117/D121,99)),2)))</f>
        <v/>
      </c>
      <c r="E39" s="58">
        <f>IF(OR(E63=0,E120=""),"",IF(MIN(IF(AND(E65=1,N(E120)&gt;0),E116/E120,99),IF(AND(E66=1,N(E121)&gt;0),E117/E121,99))=99,"",ROUND(MIN(IF(AND(E65=1,N(E120)&gt;0),E116/E120,99),IF(AND(E66=1,N(E121)&gt;0),E117/E121,99)),2)))</f>
        <v/>
      </c>
      <c r="F39" s="58">
        <f>IF(OR(F63=0,F120=""),"",IF(MIN(IF(AND(F65=1,N(F120)&gt;0),F116/F120,99),IF(AND(F66=1,N(F121)&gt;0),F117/F121,99))=99,"",ROUND(MIN(IF(AND(F65=1,N(F120)&gt;0),F116/F120,99),IF(AND(F66=1,N(F121)&gt;0),F117/F121,99)),2)))</f>
        <v/>
      </c>
      <c r="G39" s="58">
        <f>IF(OR(G63=0,G120=""),"",IF(MIN(IF(AND(G65=1,N(G120)&gt;0),G116/G120,99),IF(AND(G66=1,N(G121)&gt;0),G117/G121,99))=99,"",ROUND(MIN(IF(AND(G65=1,N(G120)&gt;0),G116/G120,99),IF(AND(G66=1,N(G121)&gt;0),G117/G121,99)),2)))</f>
        <v/>
      </c>
      <c r="H39" s="58">
        <f>IF(OR(H63=0,H120=""),"",IF(MIN(IF(AND(H65=1,N(H120)&gt;0),H116/H120,99),IF(AND(H66=1,N(H121)&gt;0),H117/H121,99))=99,"",ROUND(MIN(IF(AND(H65=1,N(H120)&gt;0),H116/H120,99),IF(AND(H66=1,N(H121)&gt;0),H117/H121,99)),2)))</f>
        <v/>
      </c>
      <c r="I39" s="58">
        <f>IF(OR(I63=0,I120=""),"",IF(MIN(IF(AND(I65=1,N(I120)&gt;0),I116/I120,99),IF(AND(I66=1,N(I121)&gt;0),I117/I121,99))=99,"",ROUND(MIN(IF(AND(I65=1,N(I120)&gt;0),I116/I120,99),IF(AND(I66=1,N(I121)&gt;0),I117/I121,99)),2)))</f>
        <v/>
      </c>
      <c r="J39" s="58">
        <f>IF(OR(J63=0,J120=""),"",IF(MIN(IF(AND(J65=1,N(J120)&gt;0),J116/J120,99),IF(AND(J66=1,N(J121)&gt;0),J117/J121,99))=99,"",ROUND(MIN(IF(AND(J65=1,N(J120)&gt;0),J116/J120,99),IF(AND(J66=1,N(J121)&gt;0),J117/J121,99)),2)))</f>
        <v/>
      </c>
      <c r="K39" s="58">
        <f>IF(OR(K63=0,K120=""),"",IF(MIN(IF(AND(K65=1,N(K120)&gt;0),K116/K120,99),IF(AND(K66=1,N(K121)&gt;0),K117/K121,99))=99,"",ROUND(MIN(IF(AND(K65=1,N(K120)&gt;0),K116/K120,99),IF(AND(K66=1,N(K121)&gt;0),K117/K121,99)),2)))</f>
        <v/>
      </c>
      <c r="L39" s="58">
        <f>IF(OR(L63=0,L120=""),"",IF(MIN(IF(AND(L65=1,N(L120)&gt;0),L116/L120,99),IF(AND(L66=1,N(L121)&gt;0),L117/L121,99))=99,"",ROUND(MIN(IF(AND(L65=1,N(L120)&gt;0),L116/L120,99),IF(AND(L66=1,N(L121)&gt;0),L117/L121,99)),2)))</f>
        <v/>
      </c>
      <c r="M39" s="58">
        <f>IF(OR(M63=0,M120=""),"",IF(MIN(IF(AND(M65=1,N(M120)&gt;0),M116/M120,99),IF(AND(M66=1,N(M121)&gt;0),M117/M121,99))=99,"",ROUND(MIN(IF(AND(M65=1,N(M120)&gt;0),M116/M120,99),IF(AND(M66=1,N(M121)&gt;0),M117/M121,99)),2)))</f>
        <v/>
      </c>
      <c r="N39" s="58">
        <f>IF(OR(N63=0,N120=""),"",IF(MIN(IF(AND(N65=1,N(N120)&gt;0),N116/N120,99),IF(AND(N66=1,N(N121)&gt;0),N117/N121,99))=99,"",ROUND(MIN(IF(AND(N65=1,N(N120)&gt;0),N116/N120,99),IF(AND(N66=1,N(N121)&gt;0),N117/N121,99)),2)))</f>
        <v/>
      </c>
      <c r="O39" s="58">
        <f>IF(OR(O63=0,O120=""),"",IF(MIN(IF(AND(O65=1,N(O120)&gt;0),O116/O120,99),IF(AND(O66=1,N(O121)&gt;0),O117/O121,99))=99,"",ROUND(MIN(IF(AND(O65=1,N(O120)&gt;0),O116/O120,99),IF(AND(O66=1,N(O121)&gt;0),O117/O121,99)),2)))</f>
        <v/>
      </c>
      <c r="P39" s="58">
        <f>IF(OR(P63=0,P120=""),"",IF(MIN(IF(AND(P65=1,N(P120)&gt;0),P116/P120,99),IF(AND(P66=1,N(P121)&gt;0),P117/P121,99))=99,"",ROUND(MIN(IF(AND(P65=1,N(P120)&gt;0),P116/P120,99),IF(AND(P66=1,N(P121)&gt;0),P117/P121,99)),2)))</f>
        <v/>
      </c>
      <c r="Q39" s="58">
        <f>IF(OR(Q63=0,Q120=""),"",IF(MIN(IF(AND(Q65=1,N(Q120)&gt;0),Q116/Q120,99),IF(AND(Q66=1,N(Q121)&gt;0),Q117/Q121,99))=99,"",ROUND(MIN(IF(AND(Q65=1,N(Q120)&gt;0),Q116/Q120,99),IF(AND(Q66=1,N(Q121)&gt;0),Q117/Q121,99)),2)))</f>
        <v/>
      </c>
      <c r="R39" s="58">
        <f>IF(OR(R63=0,R120=""),"",IF(MIN(IF(AND(R65=1,N(R120)&gt;0),R116/R120,99),IF(AND(R66=1,N(R121)&gt;0),R117/R121,99))=99,"",ROUND(MIN(IF(AND(R65=1,N(R120)&gt;0),R116/R120,99),IF(AND(R66=1,N(R121)&gt;0),R117/R121,99)),2)))</f>
        <v/>
      </c>
      <c r="S39" s="58">
        <f>IF(OR(S63=0,S120=""),"",IF(MIN(IF(AND(S65=1,N(S120)&gt;0),S116/S120,99),IF(AND(S66=1,N(S121)&gt;0),S117/S121,99))=99,"",ROUND(MIN(IF(AND(S65=1,N(S120)&gt;0),S116/S120,99),IF(AND(S66=1,N(S121)&gt;0),S117/S121,99)),2)))</f>
        <v/>
      </c>
      <c r="T39" s="58">
        <f>IF(OR(T63=0,T120=""),"",IF(MIN(IF(AND(T65=1,N(T120)&gt;0),T116/T120,99),IF(AND(T66=1,N(T121)&gt;0),T117/T121,99))=99,"",ROUND(MIN(IF(AND(T65=1,N(T120)&gt;0),T116/T120,99),IF(AND(T66=1,N(T121)&gt;0),T117/T121,99)),2)))</f>
        <v/>
      </c>
      <c r="U39" s="58">
        <f>IF(OR(U63=0,U120=""),"",IF(MIN(IF(AND(U65=1,N(U120)&gt;0),U116/U120,99),IF(AND(U66=1,N(U121)&gt;0),U117/U121,99))=99,"",ROUND(MIN(IF(AND(U65=1,N(U120)&gt;0),U116/U120,99),IF(AND(U66=1,N(U121)&gt;0),U117/U121,99)),2)))</f>
        <v/>
      </c>
      <c r="V39" s="58">
        <f>IF(OR(V63=0,V120=""),"",IF(MIN(IF(AND(V65=1,N(V120)&gt;0),V116/V120,99),IF(AND(V66=1,N(V121)&gt;0),V117/V121,99))=99,"",ROUND(MIN(IF(AND(V65=1,N(V120)&gt;0),V116/V120,99),IF(AND(V66=1,N(V121)&gt;0),V117/V121,99)),2)))</f>
        <v/>
      </c>
      <c r="W39" s="58">
        <f>IF(OR(W63=0,W120=""),"",IF(MIN(IF(AND(W65=1,N(W120)&gt;0),W116/W120,99),IF(AND(W66=1,N(W121)&gt;0),W117/W121,99))=99,"",ROUND(MIN(IF(AND(W65=1,N(W120)&gt;0),W116/W120,99),IF(AND(W66=1,N(W121)&gt;0),W117/W121,99)),2)))</f>
        <v/>
      </c>
      <c r="X39" s="58">
        <f>IF(OR(X63=0,X120=""),"",IF(MIN(IF(AND(X65=1,N(X120)&gt;0),X116/X120,99),IF(AND(X66=1,N(X121)&gt;0),X117/X121,99))=99,"",ROUND(MIN(IF(AND(X65=1,N(X120)&gt;0),X116/X120,99),IF(AND(X66=1,N(X121)&gt;0),X117/X121,99)),2)))</f>
        <v/>
      </c>
      <c r="Y39" s="58">
        <f>IF(OR(Y63=0,Y120=""),"",IF(MIN(IF(AND(Y65=1,N(Y120)&gt;0),Y116/Y120,99),IF(AND(Y66=1,N(Y121)&gt;0),Y117/Y121,99))=99,"",ROUND(MIN(IF(AND(Y65=1,N(Y120)&gt;0),Y116/Y120,99),IF(AND(Y66=1,N(Y121)&gt;0),Y117/Y121,99)),2)))</f>
        <v/>
      </c>
      <c r="Z39" s="58">
        <f>IF(OR(Z63=0,Z120=""),"",IF(MIN(IF(AND(Z65=1,N(Z120)&gt;0),Z116/Z120,99),IF(AND(Z66=1,N(Z121)&gt;0),Z117/Z121,99))=99,"",ROUND(MIN(IF(AND(Z65=1,N(Z120)&gt;0),Z116/Z120,99),IF(AND(Z66=1,N(Z121)&gt;0),Z117/Z121,99)),2)))</f>
        <v/>
      </c>
      <c r="AA39" s="58">
        <f>IF(OR(AA63=0,AA120=""),"",IF(MIN(IF(AND(AA65=1,N(AA120)&gt;0),AA116/AA120,99),IF(AND(AA66=1,N(AA121)&gt;0),AA117/AA121,99))=99,"",ROUND(MIN(IF(AND(AA65=1,N(AA120)&gt;0),AA116/AA120,99),IF(AND(AA66=1,N(AA121)&gt;0),AA117/AA121,99)),2)))</f>
        <v/>
      </c>
      <c r="AB39" s="58">
        <f>IF(OR(AB63=0,AB120=""),"",IF(MIN(IF(AND(AB65=1,N(AB120)&gt;0),AB116/AB120,99),IF(AND(AB66=1,N(AB121)&gt;0),AB117/AB121,99))=99,"",ROUND(MIN(IF(AND(AB65=1,N(AB120)&gt;0),AB116/AB120,99),IF(AND(AB66=1,N(AB121)&gt;0),AB117/AB121,99)),2)))</f>
        <v/>
      </c>
      <c r="AC39" s="58">
        <f>IF(OR(AC63=0,AC120=""),"",IF(MIN(IF(AND(AC65=1,N(AC120)&gt;0),AC116/AC120,99),IF(AND(AC66=1,N(AC121)&gt;0),AC117/AC121,99))=99,"",ROUND(MIN(IF(AND(AC65=1,N(AC120)&gt;0),AC116/AC120,99),IF(AND(AC66=1,N(AC121)&gt;0),AC117/AC121,99)),2)))</f>
        <v/>
      </c>
      <c r="AD39" s="58">
        <f>IF(OR(AD63=0,AD120=""),"",IF(MIN(IF(AND(AD65=1,N(AD120)&gt;0),AD116/AD120,99),IF(AND(AD66=1,N(AD121)&gt;0),AD117/AD121,99))=99,"",ROUND(MIN(IF(AND(AD65=1,N(AD120)&gt;0),AD116/AD120,99),IF(AND(AD66=1,N(AD121)&gt;0),AD117/AD121,99)),2)))</f>
        <v/>
      </c>
      <c r="AE39" s="58">
        <f>IF(OR(AE63=0,AE120=""),"",IF(MIN(IF(AND(AE65=1,N(AE120)&gt;0),AE116/AE120,99),IF(AND(AE66=1,N(AE121)&gt;0),AE117/AE121,99))=99,"",ROUND(MIN(IF(AND(AE65=1,N(AE120)&gt;0),AE116/AE120,99),IF(AND(AE66=1,N(AE121)&gt;0),AE117/AE121,99)),2)))</f>
        <v/>
      </c>
      <c r="AF39" s="58">
        <f>IF(OR(AF63=0,AF120=""),"",IF(MIN(IF(AND(AF65=1,N(AF120)&gt;0),AF116/AF120,99),IF(AND(AF66=1,N(AF121)&gt;0),AF117/AF121,99))=99,"",ROUND(MIN(IF(AND(AF65=1,N(AF120)&gt;0),AF116/AF120,99),IF(AND(AF66=1,N(AF121)&gt;0),AF117/AF121,99)),2)))</f>
        <v/>
      </c>
      <c r="AG39" s="58">
        <f>IF(OR(AG63=0,AG120=""),"",IF(MIN(IF(AND(AG65=1,N(AG120)&gt;0),AG116/AG120,99),IF(AND(AG66=1,N(AG121)&gt;0),AG117/AG121,99))=99,"",ROUND(MIN(IF(AND(AG65=1,N(AG120)&gt;0),AG116/AG120,99),IF(AND(AG66=1,N(AG121)&gt;0),AG117/AG121,99)),2)))</f>
        <v/>
      </c>
    </row>
    <row r="40" ht="27" customHeight="1">
      <c r="A40" s="53" t="inlineStr">
        <is>
          <t>As yêu cầu DƯỚI (nhập)</t>
        </is>
      </c>
      <c r="B40" s="6" t="n"/>
      <c r="C40" s="56" t="n"/>
      <c r="D40" s="56" t="n"/>
      <c r="E40" s="56" t="n"/>
      <c r="F40" s="56" t="n"/>
      <c r="G40" s="56" t="n"/>
      <c r="H40" s="56" t="n"/>
      <c r="I40" s="56" t="n"/>
      <c r="J40" s="56" t="n"/>
      <c r="K40" s="56" t="n"/>
      <c r="L40" s="56" t="n"/>
      <c r="M40" s="56" t="n"/>
      <c r="N40" s="56" t="n"/>
      <c r="O40" s="56" t="n"/>
      <c r="P40" s="56" t="n"/>
      <c r="Q40" s="56" t="n"/>
      <c r="R40" s="56" t="n"/>
      <c r="S40" s="56" t="n"/>
      <c r="T40" s="56" t="n"/>
      <c r="U40" s="56" t="n"/>
      <c r="V40" s="56" t="n"/>
      <c r="W40" s="56" t="n"/>
      <c r="X40" s="56" t="n"/>
      <c r="Y40" s="56" t="n"/>
      <c r="Z40" s="56" t="n"/>
      <c r="AA40" s="56" t="n"/>
      <c r="AB40" s="56" t="n"/>
      <c r="AC40" s="56" t="n"/>
      <c r="AD40" s="56" t="n"/>
      <c r="AE40" s="56" t="n"/>
      <c r="AF40" s="56" t="n"/>
      <c r="AG40" s="56" t="n"/>
    </row>
    <row r="41" ht="27" customHeight="1">
      <c r="A41" s="51" t="inlineStr">
        <is>
          <t>As bố trí DƯỚI</t>
        </is>
      </c>
      <c r="B41" s="6" t="n"/>
      <c r="C41" s="57">
        <f>IF(C63=1,IF(C65*C66=1,FIXED(C118,2,TRUE)&amp;"/"&amp;FIXED(C119,2,TRUE),IF(C65=1,FIXED(C118,2,TRUE),FIXED(C119,2,TRUE))),"")</f>
        <v/>
      </c>
      <c r="D41" s="58">
        <f>IF(D63=1,ROUND(D118,2),"")</f>
        <v/>
      </c>
      <c r="E41" s="57">
        <f>IF(E63=1,IF(E65*E66=1,FIXED(E118,2,TRUE)&amp;"/"&amp;FIXED(E119,2,TRUE),IF(E65=1,FIXED(E118,2,TRUE),FIXED(E119,2,TRUE))),"")</f>
        <v/>
      </c>
      <c r="F41" s="58">
        <f>IF(F63=1,ROUND(F118,2),"")</f>
        <v/>
      </c>
      <c r="G41" s="57">
        <f>IF(G63=1,IF(G65*G66=1,FIXED(G118,2,TRUE)&amp;"/"&amp;FIXED(G119,2,TRUE),IF(G65=1,FIXED(G118,2,TRUE),FIXED(G119,2,TRUE))),"")</f>
        <v/>
      </c>
      <c r="H41" s="58">
        <f>IF(H63=1,ROUND(H118,2),"")</f>
        <v/>
      </c>
      <c r="I41" s="57">
        <f>IF(I63=1,IF(I65*I66=1,FIXED(I118,2,TRUE)&amp;"/"&amp;FIXED(I119,2,TRUE),IF(I65=1,FIXED(I118,2,TRUE),FIXED(I119,2,TRUE))),"")</f>
        <v/>
      </c>
      <c r="J41" s="58">
        <f>IF(J63=1,ROUND(J118,2),"")</f>
        <v/>
      </c>
      <c r="K41" s="57">
        <f>IF(K63=1,IF(K65*K66=1,FIXED(K118,2,TRUE)&amp;"/"&amp;FIXED(K119,2,TRUE),IF(K65=1,FIXED(K118,2,TRUE),FIXED(K119,2,TRUE))),"")</f>
        <v/>
      </c>
      <c r="L41" s="58">
        <f>IF(L63=1,ROUND(L118,2),"")</f>
        <v/>
      </c>
      <c r="M41" s="57">
        <f>IF(M63=1,IF(M65*M66=1,FIXED(M118,2,TRUE)&amp;"/"&amp;FIXED(M119,2,TRUE),IF(M65=1,FIXED(M118,2,TRUE),FIXED(M119,2,TRUE))),"")</f>
        <v/>
      </c>
      <c r="N41" s="58">
        <f>IF(N63=1,ROUND(N118,2),"")</f>
        <v/>
      </c>
      <c r="O41" s="57">
        <f>IF(O63=1,IF(O65*O66=1,FIXED(O118,2,TRUE)&amp;"/"&amp;FIXED(O119,2,TRUE),IF(O65=1,FIXED(O118,2,TRUE),FIXED(O119,2,TRUE))),"")</f>
        <v/>
      </c>
      <c r="P41" s="58">
        <f>IF(P63=1,ROUND(P118,2),"")</f>
        <v/>
      </c>
      <c r="Q41" s="57">
        <f>IF(Q63=1,IF(Q65*Q66=1,FIXED(Q118,2,TRUE)&amp;"/"&amp;FIXED(Q119,2,TRUE),IF(Q65=1,FIXED(Q118,2,TRUE),FIXED(Q119,2,TRUE))),"")</f>
        <v/>
      </c>
      <c r="R41" s="58">
        <f>IF(R63=1,ROUND(R118,2),"")</f>
        <v/>
      </c>
      <c r="S41" s="57">
        <f>IF(S63=1,IF(S65*S66=1,FIXED(S118,2,TRUE)&amp;"/"&amp;FIXED(S119,2,TRUE),IF(S65=1,FIXED(S118,2,TRUE),FIXED(S119,2,TRUE))),"")</f>
        <v/>
      </c>
      <c r="T41" s="58">
        <f>IF(T63=1,ROUND(T118,2),"")</f>
        <v/>
      </c>
      <c r="U41" s="57">
        <f>IF(U63=1,IF(U65*U66=1,FIXED(U118,2,TRUE)&amp;"/"&amp;FIXED(U119,2,TRUE),IF(U65=1,FIXED(U118,2,TRUE),FIXED(U119,2,TRUE))),"")</f>
        <v/>
      </c>
      <c r="V41" s="58">
        <f>IF(V63=1,ROUND(V118,2),"")</f>
        <v/>
      </c>
      <c r="W41" s="57">
        <f>IF(W63=1,IF(W65*W66=1,FIXED(W118,2,TRUE)&amp;"/"&amp;FIXED(W119,2,TRUE),IF(W65=1,FIXED(W118,2,TRUE),FIXED(W119,2,TRUE))),"")</f>
        <v/>
      </c>
      <c r="X41" s="58">
        <f>IF(X63=1,ROUND(X118,2),"")</f>
        <v/>
      </c>
      <c r="Y41" s="57">
        <f>IF(Y63=1,IF(Y65*Y66=1,FIXED(Y118,2,TRUE)&amp;"/"&amp;FIXED(Y119,2,TRUE),IF(Y65=1,FIXED(Y118,2,TRUE),FIXED(Y119,2,TRUE))),"")</f>
        <v/>
      </c>
      <c r="Z41" s="58">
        <f>IF(Z63=1,ROUND(Z118,2),"")</f>
        <v/>
      </c>
      <c r="AA41" s="57">
        <f>IF(AA63=1,IF(AA65*AA66=1,FIXED(AA118,2,TRUE)&amp;"/"&amp;FIXED(AA119,2,TRUE),IF(AA65=1,FIXED(AA118,2,TRUE),FIXED(AA119,2,TRUE))),"")</f>
        <v/>
      </c>
      <c r="AB41" s="58">
        <f>IF(AB63=1,ROUND(AB118,2),"")</f>
        <v/>
      </c>
      <c r="AC41" s="57">
        <f>IF(AC63=1,IF(AC65*AC66=1,FIXED(AC118,2,TRUE)&amp;"/"&amp;FIXED(AC119,2,TRUE),IF(AC65=1,FIXED(AC118,2,TRUE),FIXED(AC119,2,TRUE))),"")</f>
        <v/>
      </c>
      <c r="AD41" s="58">
        <f>IF(AD63=1,ROUND(AD118,2),"")</f>
        <v/>
      </c>
      <c r="AE41" s="57">
        <f>IF(AE63=1,IF(AE65*AE66=1,FIXED(AE118,2,TRUE)&amp;"/"&amp;FIXED(AE119,2,TRUE),IF(AE65=1,FIXED(AE118,2,TRUE),FIXED(AE119,2,TRUE))),"")</f>
        <v/>
      </c>
      <c r="AF41" s="58">
        <f>IF(AF63=1,ROUND(AF118,2),"")</f>
        <v/>
      </c>
      <c r="AG41" s="57">
        <f>IF(AG63=1,IF(AG65*AG66=1,FIXED(AG118,2,TRUE)&amp;"/"&amp;FIXED(AG119,2,TRUE),IF(AG65=1,FIXED(AG118,2,TRUE),FIXED(AG119,2,TRUE))),"")</f>
        <v/>
      </c>
    </row>
    <row r="42" ht="27" customHeight="1">
      <c r="A42" s="51" t="inlineStr">
        <is>
          <t>Hệ số As bố trí / yêu cầu DƯỚI</t>
        </is>
      </c>
      <c r="B42" s="6" t="n"/>
      <c r="C42" s="58">
        <f>IF(OR(C63=0,C122=""),"",IF(MIN(IF(AND(C65=1,N(C122)&gt;0),C118/C122,99),IF(AND(C66=1,N(C123)&gt;0),C119/C123,99))=99,"",ROUND(MIN(IF(AND(C65=1,N(C122)&gt;0),C118/C122,99),IF(AND(C66=1,N(C123)&gt;0),C119/C123,99)),2)))</f>
        <v/>
      </c>
      <c r="D42" s="58">
        <f>IF(OR(D63=0,D122=""),"",IF(MIN(IF(AND(D65=1,N(D122)&gt;0),D118/D122,99),IF(AND(D66=1,N(D123)&gt;0),D119/D123,99))=99,"",ROUND(MIN(IF(AND(D65=1,N(D122)&gt;0),D118/D122,99),IF(AND(D66=1,N(D123)&gt;0),D119/D123,99)),2)))</f>
        <v/>
      </c>
      <c r="E42" s="58">
        <f>IF(OR(E63=0,E122=""),"",IF(MIN(IF(AND(E65=1,N(E122)&gt;0),E118/E122,99),IF(AND(E66=1,N(E123)&gt;0),E119/E123,99))=99,"",ROUND(MIN(IF(AND(E65=1,N(E122)&gt;0),E118/E122,99),IF(AND(E66=1,N(E123)&gt;0),E119/E123,99)),2)))</f>
        <v/>
      </c>
      <c r="F42" s="58">
        <f>IF(OR(F63=0,F122=""),"",IF(MIN(IF(AND(F65=1,N(F122)&gt;0),F118/F122,99),IF(AND(F66=1,N(F123)&gt;0),F119/F123,99))=99,"",ROUND(MIN(IF(AND(F65=1,N(F122)&gt;0),F118/F122,99),IF(AND(F66=1,N(F123)&gt;0),F119/F123,99)),2)))</f>
        <v/>
      </c>
      <c r="G42" s="58">
        <f>IF(OR(G63=0,G122=""),"",IF(MIN(IF(AND(G65=1,N(G122)&gt;0),G118/G122,99),IF(AND(G66=1,N(G123)&gt;0),G119/G123,99))=99,"",ROUND(MIN(IF(AND(G65=1,N(G122)&gt;0),G118/G122,99),IF(AND(G66=1,N(G123)&gt;0),G119/G123,99)),2)))</f>
        <v/>
      </c>
      <c r="H42" s="58">
        <f>IF(OR(H63=0,H122=""),"",IF(MIN(IF(AND(H65=1,N(H122)&gt;0),H118/H122,99),IF(AND(H66=1,N(H123)&gt;0),H119/H123,99))=99,"",ROUND(MIN(IF(AND(H65=1,N(H122)&gt;0),H118/H122,99),IF(AND(H66=1,N(H123)&gt;0),H119/H123,99)),2)))</f>
        <v/>
      </c>
      <c r="I42" s="58">
        <f>IF(OR(I63=0,I122=""),"",IF(MIN(IF(AND(I65=1,N(I122)&gt;0),I118/I122,99),IF(AND(I66=1,N(I123)&gt;0),I119/I123,99))=99,"",ROUND(MIN(IF(AND(I65=1,N(I122)&gt;0),I118/I122,99),IF(AND(I66=1,N(I123)&gt;0),I119/I123,99)),2)))</f>
        <v/>
      </c>
      <c r="J42" s="58">
        <f>IF(OR(J63=0,J122=""),"",IF(MIN(IF(AND(J65=1,N(J122)&gt;0),J118/J122,99),IF(AND(J66=1,N(J123)&gt;0),J119/J123,99))=99,"",ROUND(MIN(IF(AND(J65=1,N(J122)&gt;0),J118/J122,99),IF(AND(J66=1,N(J123)&gt;0),J119/J123,99)),2)))</f>
        <v/>
      </c>
      <c r="K42" s="58">
        <f>IF(OR(K63=0,K122=""),"",IF(MIN(IF(AND(K65=1,N(K122)&gt;0),K118/K122,99),IF(AND(K66=1,N(K123)&gt;0),K119/K123,99))=99,"",ROUND(MIN(IF(AND(K65=1,N(K122)&gt;0),K118/K122,99),IF(AND(K66=1,N(K123)&gt;0),K119/K123,99)),2)))</f>
        <v/>
      </c>
      <c r="L42" s="58">
        <f>IF(OR(L63=0,L122=""),"",IF(MIN(IF(AND(L65=1,N(L122)&gt;0),L118/L122,99),IF(AND(L66=1,N(L123)&gt;0),L119/L123,99))=99,"",ROUND(MIN(IF(AND(L65=1,N(L122)&gt;0),L118/L122,99),IF(AND(L66=1,N(L123)&gt;0),L119/L123,99)),2)))</f>
        <v/>
      </c>
      <c r="M42" s="58">
        <f>IF(OR(M63=0,M122=""),"",IF(MIN(IF(AND(M65=1,N(M122)&gt;0),M118/M122,99),IF(AND(M66=1,N(M123)&gt;0),M119/M123,99))=99,"",ROUND(MIN(IF(AND(M65=1,N(M122)&gt;0),M118/M122,99),IF(AND(M66=1,N(M123)&gt;0),M119/M123,99)),2)))</f>
        <v/>
      </c>
      <c r="N42" s="58">
        <f>IF(OR(N63=0,N122=""),"",IF(MIN(IF(AND(N65=1,N(N122)&gt;0),N118/N122,99),IF(AND(N66=1,N(N123)&gt;0),N119/N123,99))=99,"",ROUND(MIN(IF(AND(N65=1,N(N122)&gt;0),N118/N122,99),IF(AND(N66=1,N(N123)&gt;0),N119/N123,99)),2)))</f>
        <v/>
      </c>
      <c r="O42" s="58">
        <f>IF(OR(O63=0,O122=""),"",IF(MIN(IF(AND(O65=1,N(O122)&gt;0),O118/O122,99),IF(AND(O66=1,N(O123)&gt;0),O119/O123,99))=99,"",ROUND(MIN(IF(AND(O65=1,N(O122)&gt;0),O118/O122,99),IF(AND(O66=1,N(O123)&gt;0),O119/O123,99)),2)))</f>
        <v/>
      </c>
      <c r="P42" s="58">
        <f>IF(OR(P63=0,P122=""),"",IF(MIN(IF(AND(P65=1,N(P122)&gt;0),P118/P122,99),IF(AND(P66=1,N(P123)&gt;0),P119/P123,99))=99,"",ROUND(MIN(IF(AND(P65=1,N(P122)&gt;0),P118/P122,99),IF(AND(P66=1,N(P123)&gt;0),P119/P123,99)),2)))</f>
        <v/>
      </c>
      <c r="Q42" s="58">
        <f>IF(OR(Q63=0,Q122=""),"",IF(MIN(IF(AND(Q65=1,N(Q122)&gt;0),Q118/Q122,99),IF(AND(Q66=1,N(Q123)&gt;0),Q119/Q123,99))=99,"",ROUND(MIN(IF(AND(Q65=1,N(Q122)&gt;0),Q118/Q122,99),IF(AND(Q66=1,N(Q123)&gt;0),Q119/Q123,99)),2)))</f>
        <v/>
      </c>
      <c r="R42" s="58">
        <f>IF(OR(R63=0,R122=""),"",IF(MIN(IF(AND(R65=1,N(R122)&gt;0),R118/R122,99),IF(AND(R66=1,N(R123)&gt;0),R119/R123,99))=99,"",ROUND(MIN(IF(AND(R65=1,N(R122)&gt;0),R118/R122,99),IF(AND(R66=1,N(R123)&gt;0),R119/R123,99)),2)))</f>
        <v/>
      </c>
      <c r="S42" s="58">
        <f>IF(OR(S63=0,S122=""),"",IF(MIN(IF(AND(S65=1,N(S122)&gt;0),S118/S122,99),IF(AND(S66=1,N(S123)&gt;0),S119/S123,99))=99,"",ROUND(MIN(IF(AND(S65=1,N(S122)&gt;0),S118/S122,99),IF(AND(S66=1,N(S123)&gt;0),S119/S123,99)),2)))</f>
        <v/>
      </c>
      <c r="T42" s="58">
        <f>IF(OR(T63=0,T122=""),"",IF(MIN(IF(AND(T65=1,N(T122)&gt;0),T118/T122,99),IF(AND(T66=1,N(T123)&gt;0),T119/T123,99))=99,"",ROUND(MIN(IF(AND(T65=1,N(T122)&gt;0),T118/T122,99),IF(AND(T66=1,N(T123)&gt;0),T119/T123,99)),2)))</f>
        <v/>
      </c>
      <c r="U42" s="58">
        <f>IF(OR(U63=0,U122=""),"",IF(MIN(IF(AND(U65=1,N(U122)&gt;0),U118/U122,99),IF(AND(U66=1,N(U123)&gt;0),U119/U123,99))=99,"",ROUND(MIN(IF(AND(U65=1,N(U122)&gt;0),U118/U122,99),IF(AND(U66=1,N(U123)&gt;0),U119/U123,99)),2)))</f>
        <v/>
      </c>
      <c r="V42" s="58">
        <f>IF(OR(V63=0,V122=""),"",IF(MIN(IF(AND(V65=1,N(V122)&gt;0),V118/V122,99),IF(AND(V66=1,N(V123)&gt;0),V119/V123,99))=99,"",ROUND(MIN(IF(AND(V65=1,N(V122)&gt;0),V118/V122,99),IF(AND(V66=1,N(V123)&gt;0),V119/V123,99)),2)))</f>
        <v/>
      </c>
      <c r="W42" s="58">
        <f>IF(OR(W63=0,W122=""),"",IF(MIN(IF(AND(W65=1,N(W122)&gt;0),W118/W122,99),IF(AND(W66=1,N(W123)&gt;0),W119/W123,99))=99,"",ROUND(MIN(IF(AND(W65=1,N(W122)&gt;0),W118/W122,99),IF(AND(W66=1,N(W123)&gt;0),W119/W123,99)),2)))</f>
        <v/>
      </c>
      <c r="X42" s="58">
        <f>IF(OR(X63=0,X122=""),"",IF(MIN(IF(AND(X65=1,N(X122)&gt;0),X118/X122,99),IF(AND(X66=1,N(X123)&gt;0),X119/X123,99))=99,"",ROUND(MIN(IF(AND(X65=1,N(X122)&gt;0),X118/X122,99),IF(AND(X66=1,N(X123)&gt;0),X119/X123,99)),2)))</f>
        <v/>
      </c>
      <c r="Y42" s="58">
        <f>IF(OR(Y63=0,Y122=""),"",IF(MIN(IF(AND(Y65=1,N(Y122)&gt;0),Y118/Y122,99),IF(AND(Y66=1,N(Y123)&gt;0),Y119/Y123,99))=99,"",ROUND(MIN(IF(AND(Y65=1,N(Y122)&gt;0),Y118/Y122,99),IF(AND(Y66=1,N(Y123)&gt;0),Y119/Y123,99)),2)))</f>
        <v/>
      </c>
      <c r="Z42" s="58">
        <f>IF(OR(Z63=0,Z122=""),"",IF(MIN(IF(AND(Z65=1,N(Z122)&gt;0),Z118/Z122,99),IF(AND(Z66=1,N(Z123)&gt;0),Z119/Z123,99))=99,"",ROUND(MIN(IF(AND(Z65=1,N(Z122)&gt;0),Z118/Z122,99),IF(AND(Z66=1,N(Z123)&gt;0),Z119/Z123,99)),2)))</f>
        <v/>
      </c>
      <c r="AA42" s="58">
        <f>IF(OR(AA63=0,AA122=""),"",IF(MIN(IF(AND(AA65=1,N(AA122)&gt;0),AA118/AA122,99),IF(AND(AA66=1,N(AA123)&gt;0),AA119/AA123,99))=99,"",ROUND(MIN(IF(AND(AA65=1,N(AA122)&gt;0),AA118/AA122,99),IF(AND(AA66=1,N(AA123)&gt;0),AA119/AA123,99)),2)))</f>
        <v/>
      </c>
      <c r="AB42" s="58">
        <f>IF(OR(AB63=0,AB122=""),"",IF(MIN(IF(AND(AB65=1,N(AB122)&gt;0),AB118/AB122,99),IF(AND(AB66=1,N(AB123)&gt;0),AB119/AB123,99))=99,"",ROUND(MIN(IF(AND(AB65=1,N(AB122)&gt;0),AB118/AB122,99),IF(AND(AB66=1,N(AB123)&gt;0),AB119/AB123,99)),2)))</f>
        <v/>
      </c>
      <c r="AC42" s="58">
        <f>IF(OR(AC63=0,AC122=""),"",IF(MIN(IF(AND(AC65=1,N(AC122)&gt;0),AC118/AC122,99),IF(AND(AC66=1,N(AC123)&gt;0),AC119/AC123,99))=99,"",ROUND(MIN(IF(AND(AC65=1,N(AC122)&gt;0),AC118/AC122,99),IF(AND(AC66=1,N(AC123)&gt;0),AC119/AC123,99)),2)))</f>
        <v/>
      </c>
      <c r="AD42" s="58">
        <f>IF(OR(AD63=0,AD122=""),"",IF(MIN(IF(AND(AD65=1,N(AD122)&gt;0),AD118/AD122,99),IF(AND(AD66=1,N(AD123)&gt;0),AD119/AD123,99))=99,"",ROUND(MIN(IF(AND(AD65=1,N(AD122)&gt;0),AD118/AD122,99),IF(AND(AD66=1,N(AD123)&gt;0),AD119/AD123,99)),2)))</f>
        <v/>
      </c>
      <c r="AE42" s="58">
        <f>IF(OR(AE63=0,AE122=""),"",IF(MIN(IF(AND(AE65=1,N(AE122)&gt;0),AE118/AE122,99),IF(AND(AE66=1,N(AE123)&gt;0),AE119/AE123,99))=99,"",ROUND(MIN(IF(AND(AE65=1,N(AE122)&gt;0),AE118/AE122,99),IF(AND(AE66=1,N(AE123)&gt;0),AE119/AE123,99)),2)))</f>
        <v/>
      </c>
      <c r="AF42" s="58">
        <f>IF(OR(AF63=0,AF122=""),"",IF(MIN(IF(AND(AF65=1,N(AF122)&gt;0),AF118/AF122,99),IF(AND(AF66=1,N(AF123)&gt;0),AF119/AF123,99))=99,"",ROUND(MIN(IF(AND(AF65=1,N(AF122)&gt;0),AF118/AF122,99),IF(AND(AF66=1,N(AF123)&gt;0),AF119/AF123,99)),2)))</f>
        <v/>
      </c>
      <c r="AG42" s="58">
        <f>IF(OR(AG63=0,AG122=""),"",IF(MIN(IF(AND(AG65=1,N(AG122)&gt;0),AG118/AG122,99),IF(AND(AG66=1,N(AG123)&gt;0),AG119/AG123,99))=99,"",ROUND(MIN(IF(AND(AG65=1,N(AG122)&gt;0),AG118/AG122,99),IF(AND(AG66=1,N(AG123)&gt;0),AG119/AG123,99)),2)))</f>
        <v/>
      </c>
    </row>
    <row r="43" ht="18" customHeight="1">
      <c r="A43" s="49" t="inlineStr">
        <is>
          <t>KIỂM TRA SỐ LIỆU</t>
        </is>
      </c>
      <c r="B43" s="50" t="n"/>
      <c r="C43" s="50" t="n"/>
      <c r="D43" s="50" t="n"/>
      <c r="E43" s="50" t="n"/>
      <c r="F43" s="50" t="n"/>
      <c r="G43" s="50" t="n"/>
      <c r="H43" s="50" t="n"/>
      <c r="I43" s="50" t="n"/>
      <c r="J43" s="50" t="n"/>
      <c r="K43" s="50" t="n"/>
      <c r="L43" s="50" t="n"/>
      <c r="M43" s="50" t="n"/>
      <c r="N43" s="50" t="n"/>
      <c r="O43" s="50" t="n"/>
      <c r="P43" s="50" t="n"/>
      <c r="Q43" s="50" t="n"/>
      <c r="R43" s="50" t="n"/>
      <c r="S43" s="50" t="n"/>
      <c r="T43" s="50" t="n"/>
      <c r="U43" s="50" t="n"/>
      <c r="V43" s="50" t="n"/>
      <c r="W43" s="50" t="n"/>
      <c r="X43" s="50" t="n"/>
      <c r="Y43" s="50" t="n"/>
      <c r="Z43" s="50" t="n"/>
      <c r="AA43" s="50" t="n"/>
      <c r="AB43" s="50" t="n"/>
      <c r="AC43" s="50" t="n"/>
      <c r="AD43" s="50" t="n"/>
      <c r="AE43" s="50" t="n"/>
      <c r="AF43" s="50" t="n"/>
      <c r="AG43" s="50" t="n"/>
    </row>
    <row r="44" ht="27" customHeight="1">
      <c r="A44" s="51" t="inlineStr">
        <is>
          <t>Kết quả kiểm tra từng cột</t>
        </is>
      </c>
      <c r="B44" s="6" t="n"/>
      <c r="C44" s="59">
        <f>IF(C63=0,"",IF(C60="","Thiếu KT gối",IF(C26="","Thiếu tên trục",IF(C124&gt;0,"Sai KH thép","OK"))))</f>
        <v/>
      </c>
      <c r="D44" s="59">
        <f>IF(D63=0,IF(D11="","","Sai Ltt"),IF(FALSE,"Nhịp đứt quãng",IF(D26="","Thiếu đai",IF(D124&gt;0,"Sai KH thép","OK"))))</f>
        <v/>
      </c>
      <c r="E44" s="59">
        <f>IF(E63=0,"",IF(E60="","Thiếu KT gối",IF(E26="","Thiếu tên trục",IF(E124&gt;0,"Sai KH thép","OK"))))</f>
        <v/>
      </c>
      <c r="F44" s="59">
        <f>IF(F63=0,IF(F11="","","Sai Ltt"),IF(AND(D$63=0,F63=1),"Nhịp đứt quãng",IF(F26="","Thiếu đai",IF(F124&gt;0,"Sai KH thép","OK"))))</f>
        <v/>
      </c>
      <c r="G44" s="59">
        <f>IF(G63=0,"",IF(G60="","Thiếu KT gối",IF(G26="","Thiếu tên trục",IF(G124&gt;0,"Sai KH thép","OK"))))</f>
        <v/>
      </c>
      <c r="H44" s="59">
        <f>IF(H63=0,IF(H11="","","Sai Ltt"),IF(AND(F$63=0,H63=1),"Nhịp đứt quãng",IF(H26="","Thiếu đai",IF(H124&gt;0,"Sai KH thép","OK"))))</f>
        <v/>
      </c>
      <c r="I44" s="59">
        <f>IF(I63=0,"",IF(I60="","Thiếu KT gối",IF(I26="","Thiếu tên trục",IF(I124&gt;0,"Sai KH thép","OK"))))</f>
        <v/>
      </c>
      <c r="J44" s="59">
        <f>IF(J63=0,IF(J11="","","Sai Ltt"),IF(AND(H$63=0,J63=1),"Nhịp đứt quãng",IF(J26="","Thiếu đai",IF(J124&gt;0,"Sai KH thép","OK"))))</f>
        <v/>
      </c>
      <c r="K44" s="59">
        <f>IF(K63=0,"",IF(K60="","Thiếu KT gối",IF(K26="","Thiếu tên trục",IF(K124&gt;0,"Sai KH thép","OK"))))</f>
        <v/>
      </c>
      <c r="L44" s="59">
        <f>IF(L63=0,IF(L11="","","Sai Ltt"),IF(AND(J$63=0,L63=1),"Nhịp đứt quãng",IF(L26="","Thiếu đai",IF(L124&gt;0,"Sai KH thép","OK"))))</f>
        <v/>
      </c>
      <c r="M44" s="59">
        <f>IF(M63=0,"",IF(M60="","Thiếu KT gối",IF(M26="","Thiếu tên trục",IF(M124&gt;0,"Sai KH thép","OK"))))</f>
        <v/>
      </c>
      <c r="N44" s="59">
        <f>IF(N63=0,IF(N11="","","Sai Ltt"),IF(AND(L$63=0,N63=1),"Nhịp đứt quãng",IF(N26="","Thiếu đai",IF(N124&gt;0,"Sai KH thép","OK"))))</f>
        <v/>
      </c>
      <c r="O44" s="59">
        <f>IF(O63=0,"",IF(O60="","Thiếu KT gối",IF(O26="","Thiếu tên trục",IF(O124&gt;0,"Sai KH thép","OK"))))</f>
        <v/>
      </c>
      <c r="P44" s="59">
        <f>IF(P63=0,IF(P11="","","Sai Ltt"),IF(AND(N$63=0,P63=1),"Nhịp đứt quãng",IF(P26="","Thiếu đai",IF(P124&gt;0,"Sai KH thép","OK"))))</f>
        <v/>
      </c>
      <c r="Q44" s="59">
        <f>IF(Q63=0,"",IF(Q60="","Thiếu KT gối",IF(Q26="","Thiếu tên trục",IF(Q124&gt;0,"Sai KH thép","OK"))))</f>
        <v/>
      </c>
      <c r="R44" s="59">
        <f>IF(R63=0,IF(R11="","","Sai Ltt"),IF(AND(P$63=0,R63=1),"Nhịp đứt quãng",IF(R26="","Thiếu đai",IF(R124&gt;0,"Sai KH thép","OK"))))</f>
        <v/>
      </c>
      <c r="S44" s="59">
        <f>IF(S63=0,"",IF(S60="","Thiếu KT gối",IF(S26="","Thiếu tên trục",IF(S124&gt;0,"Sai KH thép","OK"))))</f>
        <v/>
      </c>
      <c r="T44" s="59">
        <f>IF(T63=0,IF(T11="","","Sai Ltt"),IF(AND(R$63=0,T63=1),"Nhịp đứt quãng",IF(T26="","Thiếu đai",IF(T124&gt;0,"Sai KH thép","OK"))))</f>
        <v/>
      </c>
      <c r="U44" s="59">
        <f>IF(U63=0,"",IF(U60="","Thiếu KT gối",IF(U26="","Thiếu tên trục",IF(U124&gt;0,"Sai KH thép","OK"))))</f>
        <v/>
      </c>
      <c r="V44" s="59">
        <f>IF(V63=0,IF(V11="","","Sai Ltt"),IF(AND(T$63=0,V63=1),"Nhịp đứt quãng",IF(V26="","Thiếu đai",IF(V124&gt;0,"Sai KH thép","OK"))))</f>
        <v/>
      </c>
      <c r="W44" s="59">
        <f>IF(W63=0,"",IF(W60="","Thiếu KT gối",IF(W26="","Thiếu tên trục",IF(W124&gt;0,"Sai KH thép","OK"))))</f>
        <v/>
      </c>
      <c r="X44" s="59">
        <f>IF(X63=0,IF(X11="","","Sai Ltt"),IF(AND(V$63=0,X63=1),"Nhịp đứt quãng",IF(X26="","Thiếu đai",IF(X124&gt;0,"Sai KH thép","OK"))))</f>
        <v/>
      </c>
      <c r="Y44" s="59">
        <f>IF(Y63=0,"",IF(Y60="","Thiếu KT gối",IF(Y26="","Thiếu tên trục",IF(Y124&gt;0,"Sai KH thép","OK"))))</f>
        <v/>
      </c>
      <c r="Z44" s="59">
        <f>IF(Z63=0,IF(Z11="","","Sai Ltt"),IF(AND(X$63=0,Z63=1),"Nhịp đứt quãng",IF(Z26="","Thiếu đai",IF(Z124&gt;0,"Sai KH thép","OK"))))</f>
        <v/>
      </c>
      <c r="AA44" s="59">
        <f>IF(AA63=0,"",IF(AA60="","Thiếu KT gối",IF(AA26="","Thiếu tên trục",IF(AA124&gt;0,"Sai KH thép","OK"))))</f>
        <v/>
      </c>
      <c r="AB44" s="59">
        <f>IF(AB63=0,IF(AB11="","","Sai Ltt"),IF(AND(Z$63=0,AB63=1),"Nhịp đứt quãng",IF(AB26="","Thiếu đai",IF(AB124&gt;0,"Sai KH thép","OK"))))</f>
        <v/>
      </c>
      <c r="AC44" s="59">
        <f>IF(AC63=0,"",IF(AC60="","Thiếu KT gối",IF(AC26="","Thiếu tên trục",IF(AC124&gt;0,"Sai KH thép","OK"))))</f>
        <v/>
      </c>
      <c r="AD44" s="59">
        <f>IF(AD63=0,IF(AD11="","","Sai Ltt"),IF(AND(AB$63=0,AD63=1),"Nhịp đứt quãng",IF(AD26="","Thiếu đai",IF(AD124&gt;0,"Sai KH thép","OK"))))</f>
        <v/>
      </c>
      <c r="AE44" s="59">
        <f>IF(AE63=0,"",IF(AE60="","Thiếu KT gối",IF(AE26="","Thiếu tên trục",IF(AE124&gt;0,"Sai KH thép","OK"))))</f>
        <v/>
      </c>
      <c r="AF44" s="59">
        <f>IF(AF63=0,IF(AF11="","","Sai Ltt"),IF(AND(AD$63=0,AF63=1),"Nhịp đứt quãng",IF(AF26="","Thiếu đai",IF(AF124&gt;0,"Sai KH thép","OK"))))</f>
        <v/>
      </c>
      <c r="AG44" s="59">
        <f>IF(AG63=0,"",IF(AG60="","Thiếu KT gối",IF(AG26="","Thiếu tên trục",IF(AG124&gt;0,"Sai KH thép","OK"))))</f>
        <v/>
      </c>
    </row>
    <row r="59">
      <c r="A59" s="60" t="inlineStr">
        <is>
          <t>▼ Hàng ẩn phụ trợ (dòng 60+) – dùng cho kiểm tra, không nhập.</t>
        </is>
      </c>
    </row>
    <row r="60" hidden="1" outlineLevel="1">
      <c r="A60" s="61"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1"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1"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1"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1"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1"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1"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1"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1"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1"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1"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1"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1"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1"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1"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1"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1"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1"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1"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1"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1"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1"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1"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1"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1"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1"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1"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1"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1"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1"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1"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1"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1"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1"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1"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1"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1"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1"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1"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1"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1"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1"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1"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1"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1"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1"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1"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1"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1"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1"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1"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1"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1"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1"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1"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1"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1"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1"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1"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1"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1"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1"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1"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1"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1"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1" t="inlineStr">
        <is>
          <t>(phụ trợ) NB11</t>
        </is>
      </c>
      <c r="B125">
        <f>SUBSTITUTE(SUBSTITUTE(SUBSTITUTE(SUBSTITUTE(SUBSTITUTE(SUBSTITUTE(LOWER($B$11)," ",""),"%%c","t"),"ø","t"),"φ","t"),"f","t"),"d","t")</f>
        <v/>
      </c>
    </row>
    <row r="126" hidden="1" outlineLevel="1">
      <c r="A126" s="61" t="inlineStr">
        <is>
          <t>(phụ trợ) NB12</t>
        </is>
      </c>
      <c r="B126">
        <f>SUBSTITUTE(SUBSTITUTE(SUBSTITUTE(SUBSTITUTE(SUBSTITUTE(SUBSTITUTE(LOWER($B$12)," ",""),"%%c","t"),"ø","t"),"φ","t"),"f","t"),"d","t")</f>
        <v/>
      </c>
    </row>
  </sheetData>
  <mergeCells count="64">
    <mergeCell ref="A18:A22"/>
    <mergeCell ref="A24:B24"/>
    <mergeCell ref="A30:B30"/>
    <mergeCell ref="C1:N1"/>
    <mergeCell ref="G6:I6"/>
    <mergeCell ref="P2:R2"/>
    <mergeCell ref="P8:R8"/>
    <mergeCell ref="P1:T1"/>
    <mergeCell ref="G3:I3"/>
    <mergeCell ref="A1:B3"/>
    <mergeCell ref="V6:X6"/>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V5:X5"/>
    <mergeCell ref="K5:M5"/>
    <mergeCell ref="A5:B7"/>
    <mergeCell ref="A28:B28"/>
    <mergeCell ref="C4:E4"/>
    <mergeCell ref="G8:I8"/>
    <mergeCell ref="V4:X4"/>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6">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Chờ thẳng: AUTO = L nối ngoài vùng · 40d · 1200 (mm)&#10;Coupler: đoạn ra ngoài mép 0 · 100 · 100/300 = so le (½ thanh 100, ½ thanh 300); AUTO = QS_DAMSET" type="list">
      <formula1>LIST!$V$2:$V$8</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S8 T8" showDropDown="0" showInputMessage="1" showErrorMessage="0" allowBlank="1" promptTitle="Tên dầm chờ nối" prompt="Tên dầm / zone sau mà thép chờ (thẳng hoặc coupler) nối sang, vd B138 – ghi lên MC dọc và shop: 'COUPLER NỐI DẦM B138'. Để trống = không ghi."/>
    <dataValidation sqref="Y2" showDropDown="0" showInputMessage="1" showErrorMessage="1" allowBlank="1" errorTitle="QS_DAM" error="Chọn giá trị trong danh sách." promptTitle="Tai sàn (phía có sàn)" prompt="2 ben / Trai / Phai / Khong&#10;Chỉ dùng khi F7 là số." type="list">
      <formula1>LIST!$Y$2:$Y$5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Y4" showDropDown="0" showInputMessage="1" showErrorMessage="1" allowBlank="1" errorTitle="QS_DAM" error="Chọn giá trị trong danh sách." promptTitle="Đai con đi hết dầm" prompt="Co = 1 khai báo (Y5) cho cả dầm.&#10;Khong = vùng gối (vùng đai dày 2 đầu nhịp) dùng Y5, vùng nhịp dùng Y6.&#10;Trống = theo QS_DAMSET trang 2." type="list">
      <formula1>LIST!$W$2:$W$3</formula1>
    </dataValidation>
    <dataValidation sqref="Y5" showDropDown="0" showInputMessage="1" showErrorMessage="0" allowBlank="1" promptTitle="Đai con toàn dầm / vùng gối" prompt="Theo số thứ tự thanh lớp 1 trên (trái → phải): 3 = đai C thanh 3 · 2_4 = đai Q ôm thanh 2..4 · 2-4 = đai U · ghép 3,2_4 · 0 = không có&#10;Theo số lượng thép: 4:2_3;5:3,2_4&#10;AUTO/trống = tra bảng QS_DAMSET trang 7" type="list">
      <formula1>LIST!$X$2:$X$11</formula1>
    </dataValidation>
    <dataValidation sqref="Y6" showDropDown="0" showInputMessage="1" showErrorMessage="0" allowBlank="1" promptTitle="Đai con vùng nhịp" prompt="Dùng khi Y4 = Khong. Cú pháp như Y5: 2 · 2_4 · 2-4 · 3,2_4 · 4:2_3;5:3,2_4 · 0 · AUTO" type="list">
      <formula1>LIST!$X$2:$X$11</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Y42"/>
  <sheetViews>
    <sheetView tabSelected="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c r="A1" s="62" t="inlineStr">
        <is>
          <t>THEP</t>
        </is>
      </c>
      <c r="B1" s="62" t="inlineStr">
        <is>
          <t>DAI</t>
        </is>
      </c>
      <c r="C1" s="62" t="inlineStr">
        <is>
          <t>GIA</t>
        </is>
      </c>
      <c r="D1" s="62" t="inlineStr">
        <is>
          <t>DAITRONG</t>
        </is>
      </c>
      <c r="E1" s="62" t="inlineStr">
        <is>
          <t>TLINK</t>
        </is>
      </c>
      <c r="F1" s="62" t="inlineStr">
        <is>
          <t>DAIGC</t>
        </is>
      </c>
      <c r="G1" s="62" t="inlineStr">
        <is>
          <t>VAIBO</t>
        </is>
      </c>
      <c r="H1" s="62" t="inlineStr">
        <is>
          <t>ANCOT</t>
        </is>
      </c>
      <c r="I1" s="62" t="inlineStr">
        <is>
          <t>DOITHEP</t>
        </is>
      </c>
      <c r="J1" s="62" t="inlineStr">
        <is>
          <t>KGOI</t>
        </is>
      </c>
      <c r="K1" s="62" t="inlineStr">
        <is>
          <t>KNHIP</t>
        </is>
      </c>
      <c r="L1" s="62" t="inlineStr">
        <is>
          <t>NEO</t>
        </is>
      </c>
      <c r="M1" s="62" t="inlineStr">
        <is>
          <t>DAIC</t>
        </is>
      </c>
      <c r="N1" s="62" t="inlineStr">
        <is>
          <t>GIATCD</t>
        </is>
      </c>
      <c r="O1" s="62" t="inlineStr">
        <is>
          <t>CDOKC</t>
        </is>
      </c>
      <c r="P1" s="62" t="inlineStr">
        <is>
          <t>KCDAIC</t>
        </is>
      </c>
      <c r="Q1" s="62" t="inlineStr">
        <is>
          <t>LECHMCN</t>
        </is>
      </c>
      <c r="R1" s="62" t="inlineStr">
        <is>
          <t>NCK</t>
        </is>
      </c>
      <c r="S1" s="62" t="inlineStr">
        <is>
          <t>CHOKIEU</t>
        </is>
      </c>
      <c r="T1" s="62" t="inlineStr">
        <is>
          <t>CHOLOP</t>
        </is>
      </c>
      <c r="U1" s="62" t="inlineStr">
        <is>
          <t>CHOTHEP</t>
        </is>
      </c>
      <c r="V1" s="62" t="inlineStr">
        <is>
          <t>CHOL</t>
        </is>
      </c>
      <c r="W1" s="62" t="inlineStr">
        <is>
          <t>KHONGCO</t>
        </is>
      </c>
      <c r="X1" s="62" t="inlineStr">
        <is>
          <t>DAICON</t>
        </is>
      </c>
      <c r="Y1" s="62" t="inlineStr">
        <is>
          <t>TAISAN</t>
        </is>
      </c>
    </row>
    <row r="2">
      <c r="A2" t="inlineStr">
        <is>
          <t>-</t>
        </is>
      </c>
      <c r="B2" t="inlineStr">
        <is>
          <t>8-100/200</t>
        </is>
      </c>
      <c r="C2" t="inlineStr">
        <is>
          <t>2x2t12</t>
        </is>
      </c>
      <c r="D2" t="inlineStr">
        <is>
          <t>8-100/200</t>
        </is>
      </c>
      <c r="E2" t="inlineStr">
        <is>
          <t>T.LINK</t>
        </is>
      </c>
      <c r="F2" t="inlineStr">
        <is>
          <t>10t10a50</t>
        </is>
      </c>
      <c r="G2" t="inlineStr">
        <is>
          <t>2t16</t>
        </is>
      </c>
      <c r="H2" t="inlineStr">
        <is>
          <t>1</t>
        </is>
      </c>
      <c r="I2" t="inlineStr">
        <is>
          <t>0;3t25</t>
        </is>
      </c>
      <c r="J2" t="inlineStr">
        <is>
          <t>0.25|0.25|0.15</t>
        </is>
      </c>
      <c r="K2" t="inlineStr">
        <is>
          <t>0.15\0.25\0.1</t>
        </is>
      </c>
      <c r="L2" t="inlineStr">
        <is>
          <t>40</t>
        </is>
      </c>
      <c r="M2" t="inlineStr">
        <is>
          <t>None</t>
        </is>
      </c>
      <c r="N2" t="inlineStr">
        <is>
          <t>Mép trên</t>
        </is>
      </c>
      <c r="O2" t="inlineStr">
        <is>
          <t>-1500</t>
        </is>
      </c>
      <c r="P2" t="inlineStr">
        <is>
          <t>400</t>
        </is>
      </c>
      <c r="Q2" t="inlineStr">
        <is>
          <t>Ltt</t>
        </is>
      </c>
      <c r="R2" t="inlineStr">
        <is>
          <t>1</t>
        </is>
      </c>
      <c r="S2" t="inlineStr">
        <is>
          <t>Khong</t>
        </is>
      </c>
      <c r="T2" t="inlineStr">
        <is>
          <t>TBG</t>
        </is>
      </c>
      <c r="U2" t="inlineStr">
        <is>
          <t>Tat ca</t>
        </is>
      </c>
      <c r="V2" t="inlineStr">
        <is>
          <t>AUTO</t>
        </is>
      </c>
      <c r="W2" t="inlineStr">
        <is>
          <t>Khong</t>
        </is>
      </c>
      <c r="X2" t="inlineStr">
        <is>
          <t>AUTO</t>
        </is>
      </c>
      <c r="Y2" t="inlineStr">
        <is>
          <t>2 ben</t>
        </is>
      </c>
    </row>
    <row r="3">
      <c r="A3" t="inlineStr">
        <is>
          <t>2t14</t>
        </is>
      </c>
      <c r="B3" t="inlineStr">
        <is>
          <t>8-150/200</t>
        </is>
      </c>
      <c r="C3" t="inlineStr">
        <is>
          <t>2x2t14</t>
        </is>
      </c>
      <c r="D3" t="inlineStr">
        <is>
          <t>10-100/200</t>
        </is>
      </c>
      <c r="F3" t="inlineStr">
        <is>
          <t>8t8a50</t>
        </is>
      </c>
      <c r="G3" t="inlineStr">
        <is>
          <t>2t18</t>
        </is>
      </c>
      <c r="H3" t="inlineStr">
        <is>
          <t>2</t>
        </is>
      </c>
      <c r="I3" t="inlineStr">
        <is>
          <t>0;3t28</t>
        </is>
      </c>
      <c r="J3" t="inlineStr">
        <is>
          <t>0.3|0.25|0.15</t>
        </is>
      </c>
      <c r="K3" t="inlineStr">
        <is>
          <t>0.15|0.25|0.1</t>
        </is>
      </c>
      <c r="L3" t="inlineStr">
        <is>
          <t>10;12;14;16-30d/40d</t>
        </is>
      </c>
      <c r="M3" t="inlineStr">
        <is>
          <t>So le</t>
        </is>
      </c>
      <c r="N3" t="inlineStr">
        <is>
          <t>Mép dưới</t>
        </is>
      </c>
      <c r="O3" t="inlineStr">
        <is>
          <t>1500</t>
        </is>
      </c>
      <c r="P3" t="inlineStr">
        <is>
          <t>400mm</t>
        </is>
      </c>
      <c r="Q3" t="inlineStr">
        <is>
          <t>0</t>
        </is>
      </c>
      <c r="R3" t="inlineStr">
        <is>
          <t>2</t>
        </is>
      </c>
      <c r="S3" t="inlineStr">
        <is>
          <t>Cho thang</t>
        </is>
      </c>
      <c r="T3" t="inlineStr">
        <is>
          <t>TB</t>
        </is>
      </c>
      <c r="U3" t="inlineStr">
        <is>
          <t>Chay suot</t>
        </is>
      </c>
      <c r="V3" t="inlineStr">
        <is>
          <t>40d</t>
        </is>
      </c>
      <c r="W3" t="inlineStr">
        <is>
          <t>Co</t>
        </is>
      </c>
      <c r="X3" t="inlineStr">
        <is>
          <t>0</t>
        </is>
      </c>
      <c r="Y3" t="inlineStr">
        <is>
          <t>Trai</t>
        </is>
      </c>
    </row>
    <row r="4">
      <c r="A4" t="inlineStr">
        <is>
          <t>3t14</t>
        </is>
      </c>
      <c r="B4" t="inlineStr">
        <is>
          <t>10-100/150</t>
        </is>
      </c>
      <c r="C4" t="inlineStr">
        <is>
          <t>2x2t16</t>
        </is>
      </c>
      <c r="D4" t="inlineStr">
        <is>
          <t>10-150/200</t>
        </is>
      </c>
      <c r="F4" t="inlineStr">
        <is>
          <t>8t10a50</t>
        </is>
      </c>
      <c r="G4" t="inlineStr">
        <is>
          <t>2t20</t>
        </is>
      </c>
      <c r="H4" t="inlineStr">
        <is>
          <t>3</t>
        </is>
      </c>
      <c r="I4" t="inlineStr">
        <is>
          <t>0;5t28</t>
        </is>
      </c>
      <c r="J4" t="inlineStr">
        <is>
          <t>0.25/0.25/0.15</t>
        </is>
      </c>
      <c r="K4" t="inlineStr">
        <is>
          <t>0.15/0.25/0.1</t>
        </is>
      </c>
      <c r="L4" t="inlineStr">
        <is>
          <t>10-500mm/12-600mm/14-690mm/16-790mm/18-890mm/20-990mm/22-1090mm/25-1230mm/28-1380mm/32-1580mm</t>
        </is>
      </c>
      <c r="M4" t="inlineStr">
        <is>
          <t>So le 2</t>
        </is>
      </c>
      <c r="N4" t="inlineStr">
        <is>
          <t>Tùy chỉnh</t>
        </is>
      </c>
      <c r="O4" t="inlineStr">
        <is>
          <t>1500mm</t>
        </is>
      </c>
      <c r="P4" t="inlineStr">
        <is>
          <t>300/600</t>
        </is>
      </c>
      <c r="R4" t="inlineStr">
        <is>
          <t>1/T</t>
        </is>
      </c>
      <c r="S4" t="inlineStr">
        <is>
          <t>Coupler</t>
        </is>
      </c>
      <c r="T4" t="inlineStr">
        <is>
          <t>T</t>
        </is>
      </c>
      <c r="V4" t="inlineStr">
        <is>
          <t>50d</t>
        </is>
      </c>
      <c r="X4" t="inlineStr">
        <is>
          <t>2</t>
        </is>
      </c>
      <c r="Y4" t="inlineStr">
        <is>
          <t>Phai</t>
        </is>
      </c>
    </row>
    <row r="5">
      <c r="A5" t="inlineStr">
        <is>
          <t>4t14</t>
        </is>
      </c>
      <c r="B5" t="inlineStr">
        <is>
          <t>10-100/200</t>
        </is>
      </c>
      <c r="C5" t="inlineStr">
        <is>
          <t>3x2t12</t>
        </is>
      </c>
      <c r="D5" t="inlineStr">
        <is>
          <t>T</t>
        </is>
      </c>
      <c r="F5" t="inlineStr">
        <is>
          <t>10t10a50L</t>
        </is>
      </c>
      <c r="G5" t="inlineStr">
        <is>
          <t>2t22</t>
        </is>
      </c>
      <c r="I5" t="inlineStr">
        <is>
          <t>0;25</t>
        </is>
      </c>
      <c r="J5" t="inlineStr">
        <is>
          <t>0.3/0.25/0.15</t>
        </is>
      </c>
      <c r="M5" t="inlineStr">
        <is>
          <t>Toàn bộ</t>
        </is>
      </c>
      <c r="O5" t="inlineStr">
        <is>
          <t>0</t>
        </is>
      </c>
      <c r="R5" t="inlineStr">
        <is>
          <t>1/B</t>
        </is>
      </c>
      <c r="T5" t="inlineStr">
        <is>
          <t>B</t>
        </is>
      </c>
      <c r="V5" t="inlineStr">
        <is>
          <t>1200</t>
        </is>
      </c>
      <c r="X5" t="inlineStr">
        <is>
          <t>3</t>
        </is>
      </c>
      <c r="Y5" t="inlineStr">
        <is>
          <t>Khong</t>
        </is>
      </c>
    </row>
    <row r="6">
      <c r="A6" t="inlineStr">
        <is>
          <t>5t14</t>
        </is>
      </c>
      <c r="B6" t="inlineStr">
        <is>
          <t>10-150/200</t>
        </is>
      </c>
      <c r="C6" t="inlineStr">
        <is>
          <t>3x2t14</t>
        </is>
      </c>
      <c r="D6" t="inlineStr">
        <is>
          <t>B</t>
        </is>
      </c>
      <c r="F6" t="inlineStr">
        <is>
          <t>10t10a50R</t>
        </is>
      </c>
      <c r="I6" t="inlineStr">
        <is>
          <t>0;28</t>
        </is>
      </c>
      <c r="J6" t="inlineStr">
        <is>
          <t>0.25\0.25\0.15</t>
        </is>
      </c>
      <c r="R6" t="inlineStr">
        <is>
          <t>1/T/B</t>
        </is>
      </c>
      <c r="V6" t="inlineStr">
        <is>
          <t>0</t>
        </is>
      </c>
      <c r="X6" t="inlineStr">
        <is>
          <t>2_3</t>
        </is>
      </c>
    </row>
    <row r="7">
      <c r="A7" t="inlineStr">
        <is>
          <t>6t14</t>
        </is>
      </c>
      <c r="B7" t="inlineStr">
        <is>
          <t>12-100/150</t>
        </is>
      </c>
      <c r="C7" t="inlineStr">
        <is>
          <t>2t12</t>
        </is>
      </c>
      <c r="D7" t="inlineStr">
        <is>
          <t>T/B</t>
        </is>
      </c>
      <c r="F7" t="inlineStr">
        <is>
          <t>8u8a50</t>
        </is>
      </c>
      <c r="V7" t="inlineStr">
        <is>
          <t>100</t>
        </is>
      </c>
      <c r="X7" t="inlineStr">
        <is>
          <t>2_4</t>
        </is>
      </c>
    </row>
    <row r="8">
      <c r="A8" t="inlineStr">
        <is>
          <t>2t16</t>
        </is>
      </c>
      <c r="B8" t="inlineStr">
        <is>
          <t>12-100/200</t>
        </is>
      </c>
      <c r="C8" t="inlineStr">
        <is>
          <t>2t14</t>
        </is>
      </c>
      <c r="D8" t="inlineStr">
        <is>
          <t>TL</t>
        </is>
      </c>
      <c r="V8" t="inlineStr">
        <is>
          <t>100/300</t>
        </is>
      </c>
      <c r="X8" t="inlineStr">
        <is>
          <t>2-4</t>
        </is>
      </c>
    </row>
    <row r="9">
      <c r="A9" t="inlineStr">
        <is>
          <t>3t16</t>
        </is>
      </c>
      <c r="B9" t="inlineStr">
        <is>
          <t>12-150/200</t>
        </is>
      </c>
      <c r="C9" t="inlineStr">
        <is>
          <t>4t12</t>
        </is>
      </c>
      <c r="D9" t="inlineStr">
        <is>
          <t>TR</t>
        </is>
      </c>
      <c r="X9" t="inlineStr">
        <is>
          <t>3,2_4</t>
        </is>
      </c>
    </row>
    <row r="10">
      <c r="A10" t="inlineStr">
        <is>
          <t>4t16</t>
        </is>
      </c>
      <c r="B10" t="inlineStr">
        <is>
          <t>8-100</t>
        </is>
      </c>
      <c r="D10" t="inlineStr">
        <is>
          <t>BL</t>
        </is>
      </c>
      <c r="X10" t="inlineStr">
        <is>
          <t>2,4</t>
        </is>
      </c>
    </row>
    <row r="11">
      <c r="A11" t="inlineStr">
        <is>
          <t>5t16</t>
        </is>
      </c>
      <c r="B11" t="inlineStr">
        <is>
          <t>10-100</t>
        </is>
      </c>
      <c r="D11" t="inlineStr">
        <is>
          <t>BR</t>
        </is>
      </c>
      <c r="X11" t="inlineStr">
        <is>
          <t>4:2_3;5:3,2_4</t>
        </is>
      </c>
    </row>
    <row r="12">
      <c r="A12" t="inlineStr">
        <is>
          <t>6t16</t>
        </is>
      </c>
      <c r="B12" t="inlineStr">
        <is>
          <t>12-100</t>
        </is>
      </c>
      <c r="D12" t="inlineStr">
        <is>
          <t>8-100/200/T</t>
        </is>
      </c>
    </row>
    <row r="13">
      <c r="A13" t="inlineStr">
        <is>
          <t>2t18</t>
        </is>
      </c>
      <c r="D13" t="inlineStr">
        <is>
          <t>8-100/200/B</t>
        </is>
      </c>
    </row>
    <row r="14">
      <c r="A14" t="inlineStr">
        <is>
          <t>3t18</t>
        </is>
      </c>
    </row>
    <row r="15">
      <c r="A15" t="inlineStr">
        <is>
          <t>4t18</t>
        </is>
      </c>
    </row>
    <row r="16">
      <c r="A16" t="inlineStr">
        <is>
          <t>5t18</t>
        </is>
      </c>
    </row>
    <row r="17">
      <c r="A17" t="inlineStr">
        <is>
          <t>6t18</t>
        </is>
      </c>
    </row>
    <row r="18">
      <c r="A18" t="inlineStr">
        <is>
          <t>2t20</t>
        </is>
      </c>
    </row>
    <row r="19">
      <c r="A19" t="inlineStr">
        <is>
          <t>3t20</t>
        </is>
      </c>
    </row>
    <row r="20">
      <c r="A20" t="inlineStr">
        <is>
          <t>4t20</t>
        </is>
      </c>
    </row>
    <row r="21">
      <c r="A21" t="inlineStr">
        <is>
          <t>5t20</t>
        </is>
      </c>
    </row>
    <row r="22">
      <c r="A22" t="inlineStr">
        <is>
          <t>6t20</t>
        </is>
      </c>
    </row>
    <row r="23">
      <c r="A23" t="inlineStr">
        <is>
          <t>2t22</t>
        </is>
      </c>
    </row>
    <row r="24">
      <c r="A24" t="inlineStr">
        <is>
          <t>3t22</t>
        </is>
      </c>
    </row>
    <row r="25">
      <c r="A25" t="inlineStr">
        <is>
          <t>4t22</t>
        </is>
      </c>
    </row>
    <row r="26">
      <c r="A26" t="inlineStr">
        <is>
          <t>5t22</t>
        </is>
      </c>
    </row>
    <row r="27">
      <c r="A27" t="inlineStr">
        <is>
          <t>6t22</t>
        </is>
      </c>
    </row>
    <row r="28">
      <c r="A28" t="inlineStr">
        <is>
          <t>2t25</t>
        </is>
      </c>
    </row>
    <row r="29">
      <c r="A29" t="inlineStr">
        <is>
          <t>3t25</t>
        </is>
      </c>
    </row>
    <row r="30">
      <c r="A30" t="inlineStr">
        <is>
          <t>Danh sách gợi ý / chọn cho sheet nhập liệu QS_DAM. Có thể thêm dòng (giữ trong vùng đã khai báo).</t>
        </is>
      </c>
    </row>
    <row r="31">
      <c r="A31" t="inlineStr">
        <is>
          <t>5t25</t>
        </is>
      </c>
    </row>
    <row r="32">
      <c r="A32" t="inlineStr">
        <is>
          <t>6t25</t>
        </is>
      </c>
    </row>
    <row r="33">
      <c r="A33" t="inlineStr">
        <is>
          <t>2t28</t>
        </is>
      </c>
    </row>
    <row r="34">
      <c r="A34" t="inlineStr">
        <is>
          <t>3t28</t>
        </is>
      </c>
    </row>
    <row r="35">
      <c r="A35" t="inlineStr">
        <is>
          <t>4t28</t>
        </is>
      </c>
    </row>
    <row r="36">
      <c r="A36" t="inlineStr">
        <is>
          <t>5t28</t>
        </is>
      </c>
    </row>
    <row r="37">
      <c r="A37" t="inlineStr">
        <is>
          <t>6t28</t>
        </is>
      </c>
    </row>
    <row r="38">
      <c r="A38" t="inlineStr">
        <is>
          <t>2t32</t>
        </is>
      </c>
    </row>
    <row r="39">
      <c r="A39" t="inlineStr">
        <is>
          <t>3t32</t>
        </is>
      </c>
    </row>
    <row r="40">
      <c r="A40" t="inlineStr">
        <is>
          <t>4t32</t>
        </is>
      </c>
    </row>
    <row r="41">
      <c r="A41" t="inlineStr">
        <is>
          <t>5t32</t>
        </is>
      </c>
    </row>
    <row r="42">
      <c r="A42" t="inlineStr">
        <is>
          <t>6t32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2026-09-25T00:21:56Z</dcterms:created>
  <dcterms:modified xsi:type="dcterms:W3CDTF">2026-09-25T00:21:57Z</dcterms:modified>
</cp:coreProperties>
</file>