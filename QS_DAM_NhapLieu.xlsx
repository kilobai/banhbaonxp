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HUONG_DAN" sheetId="1" state="visible" r:id="rId1"/>
    <sheet name="VD_L1.B137" sheetId="2" state="visible" r:id="rId2"/>
    <sheet name="MAU" sheetId="3" state="visible" r:id="rId3"/>
    <sheet name="LIST" sheetId="4" state="hidden" r:id="rId4"/>
  </sheets>
  <definedNames>
    <definedName name="_xlnm.Print_Titles" localSheetId="1">'VD_L1.B137'!$A:$B</definedName>
    <definedName name="_xlnm.Print_Area" localSheetId="1">'VD_L1.B137'!$A$1:$AG$44</definedName>
    <definedName name="_xlnm.Print_Titles" localSheetId="2">'MAU'!$A:$B</definedName>
    <definedName name="_xlnm.Print_Area" localSheetId="2">'MAU'!$A$1:$AG$44</definedName>
  </definedNames>
  <calcPr calcId="124519" fullCalcOnLoad="1"/>
</workbook>
</file>

<file path=xl/styles.xml><?xml version="1.0" encoding="utf-8"?>
<styleSheet xmlns="http://schemas.openxmlformats.org/spreadsheetml/2006/main">
  <numFmts count="2">
    <numFmt numFmtId="164" formatCode="+0.000;-0.000;±0.000"/>
    <numFmt numFmtId="165" formatCode="#,##0.0;-#,##0.0;0"/>
  </numFmts>
  <fonts count="23">
    <font>
      <name val="Calibri"/>
      <family val="2"/>
      <color theme="1"/>
      <sz val="11"/>
      <scheme val="minor"/>
    </font>
    <font>
      <name val="Arial"/>
      <b val="1"/>
      <color rgb="00FFFFFF"/>
      <sz val="14"/>
    </font>
    <font>
      <name val="Arial"/>
      <b val="1"/>
      <sz val="10"/>
    </font>
    <font>
      <name val="Arial"/>
      <sz val="10"/>
    </font>
    <font>
      <name val="Arial"/>
      <b val="1"/>
      <color rgb="00C00000"/>
      <sz val="18"/>
    </font>
    <font>
      <name val="Arial"/>
      <b val="1"/>
      <sz val="9"/>
    </font>
    <font>
      <name val="Arial"/>
      <b val="1"/>
      <color rgb="000000CC"/>
      <sz val="9"/>
    </font>
    <font>
      <name val="Arial"/>
      <i val="1"/>
      <color rgb="00595959"/>
      <sz val="8"/>
    </font>
    <font>
      <name val="Arial"/>
      <b val="1"/>
      <sz val="12"/>
    </font>
    <font>
      <name val="Arial"/>
      <b val="1"/>
      <color rgb="000000FF"/>
      <sz val="10"/>
    </font>
    <font>
      <name val="Arial"/>
      <b val="1"/>
      <sz val="11"/>
    </font>
    <font>
      <name val="Arial"/>
      <b val="1"/>
      <color rgb="00FFFFFF"/>
      <sz val="10"/>
    </font>
    <font>
      <name val="Arial"/>
      <b val="1"/>
      <color rgb="00FFFFFF"/>
      <sz val="11"/>
    </font>
    <font>
      <name val="Arial"/>
      <b val="1"/>
      <color rgb="00C00000"/>
      <sz val="10"/>
    </font>
    <font>
      <name val="Arial"/>
      <b val="1"/>
      <color rgb="00000000"/>
      <sz val="10"/>
    </font>
    <font>
      <name val="Arial"/>
      <sz val="9"/>
    </font>
    <font>
      <name val="Arial"/>
      <b val="1"/>
      <color rgb="00FFFFFF"/>
      <sz val="9"/>
    </font>
    <font>
      <name val="Arial"/>
      <color rgb="00FFFFFF"/>
      <sz val="9"/>
    </font>
    <font>
      <name val="Arial"/>
      <b val="1"/>
      <color rgb="000000FF"/>
      <sz val="11"/>
    </font>
    <font>
      <name val="Arial"/>
      <color rgb="00808080"/>
      <sz val="8"/>
    </font>
    <font>
      <name val="Arial"/>
      <i val="1"/>
      <color rgb="00808080"/>
      <sz val="8"/>
    </font>
    <font>
      <name val="Arial"/>
      <i val="1"/>
      <color rgb="00404040"/>
      <sz val="9"/>
    </font>
    <font>
      <name val="Arial"/>
      <color rgb="000000FF"/>
      <sz val="9"/>
    </font>
  </fonts>
  <fills count="17">
    <fill>
      <patternFill/>
    </fill>
    <fill>
      <patternFill patternType="gray125"/>
    </fill>
    <fill>
      <patternFill patternType="solid">
        <fgColor rgb="004472C4"/>
      </patternFill>
    </fill>
    <fill>
      <patternFill patternType="solid">
        <fgColor rgb="00F4F4AC"/>
      </patternFill>
    </fill>
    <fill>
      <patternFill patternType="solid">
        <fgColor rgb="00FFF2CC"/>
      </patternFill>
    </fill>
    <fill>
      <patternFill patternType="solid">
        <fgColor rgb="0092D050"/>
      </patternFill>
    </fill>
    <fill>
      <patternFill patternType="solid">
        <fgColor rgb="00FFFFFF"/>
      </patternFill>
    </fill>
    <fill>
      <patternFill patternType="solid">
        <fgColor rgb="00FFC000"/>
      </patternFill>
    </fill>
    <fill>
      <patternFill patternType="solid">
        <fgColor rgb="00D9D9D9"/>
      </patternFill>
    </fill>
    <fill>
      <patternFill patternType="solid">
        <fgColor rgb="00404040"/>
      </patternFill>
    </fill>
    <fill>
      <patternFill patternType="solid">
        <fgColor rgb="00DDEBF7"/>
      </patternFill>
    </fill>
    <fill>
      <patternFill patternType="solid">
        <fgColor rgb="00F2F2F2"/>
      </patternFill>
    </fill>
    <fill>
      <patternFill patternType="solid">
        <fgColor rgb="00E6E49A"/>
      </patternFill>
    </fill>
    <fill>
      <patternFill patternType="solid">
        <fgColor rgb="00808080"/>
      </patternFill>
    </fill>
    <fill>
      <patternFill patternType="solid">
        <fgColor rgb="00595959"/>
      </patternFill>
    </fill>
    <fill>
      <patternFill patternType="solid">
        <fgColor rgb="00BDD7EE"/>
      </patternFill>
    </fill>
    <fill>
      <patternFill patternType="solid">
        <fgColor rgb="00EDEDED"/>
      </patternFill>
    </fill>
  </fills>
  <borders count="12">
    <border>
      <left/>
      <right/>
      <top/>
      <bottom/>
      <diagonal/>
    </border>
    <border>
      <left style="thin">
        <color rgb="00808080"/>
      </left>
      <right style="thin">
        <color rgb="00808080"/>
      </right>
      <top style="thin">
        <color rgb="00808080"/>
      </top>
      <bottom style="thin">
        <color rgb="00808080"/>
      </bottom>
    </border>
    <border>
      <left style="thin">
        <color rgb="00808080"/>
      </left>
      <right style="thin">
        <color rgb="00808080"/>
      </right>
      <top style="hair">
        <color rgb="00A6A6A6"/>
      </top>
      <bottom style="hair">
        <color rgb="00A6A6A6"/>
      </bottom>
    </border>
    <border>
      <left style="medium">
        <color rgb="00000000"/>
      </left>
      <right style="thin">
        <color rgb="00808080"/>
      </right>
      <top style="thin">
        <color rgb="00808080"/>
      </top>
      <bottom style="thin">
        <color rgb="00808080"/>
      </bottom>
    </border>
    <border>
      <left style="thin">
        <color rgb="00808080"/>
      </left>
      <right style="medium">
        <color rgb="00000000"/>
      </right>
      <top style="thin">
        <color rgb="00808080"/>
      </top>
      <bottom style="thin">
        <color rgb="00808080"/>
      </bottom>
    </border>
    <border>
      <left style="thin">
        <color rgb="00808080"/>
      </left>
      <right style="medium">
        <color rgb="00000000"/>
      </right>
      <top style="hair">
        <color rgb="00A6A6A6"/>
      </top>
      <bottom style="hair">
        <color rgb="00A6A6A6"/>
      </bottom>
    </border>
    <border>
      <left style="medium">
        <color rgb="00000000"/>
      </left>
      <right style="thin">
        <color rgb="00808080"/>
      </right>
      <top style="medium">
        <color rgb="00000000"/>
      </top>
      <bottom style="thin">
        <color rgb="00808080"/>
      </bottom>
    </border>
    <border>
      <left style="medium">
        <color rgb="00000000"/>
      </left>
      <right style="thin">
        <color rgb="00808080"/>
      </right>
      <top style="thin">
        <color rgb="00808080"/>
      </top>
      <bottom style="medium">
        <color rgb="00000000"/>
      </bottom>
    </border>
    <border>
      <left style="thin">
        <color rgb="00808080"/>
      </left>
      <right style="thin">
        <color rgb="00808080"/>
      </right>
      <top style="medium">
        <color rgb="00000000"/>
      </top>
      <bottom style="thin">
        <color rgb="00808080"/>
      </bottom>
    </border>
    <border>
      <left style="thin">
        <color rgb="00808080"/>
      </left>
      <right style="thin">
        <color rgb="00808080"/>
      </right>
      <top style="thin">
        <color rgb="00808080"/>
      </top>
      <bottom style="medium">
        <color rgb="00000000"/>
      </bottom>
    </border>
    <border>
      <left style="thin">
        <color rgb="00808080"/>
      </left>
      <right style="medium">
        <color rgb="00000000"/>
      </right>
      <top style="medium">
        <color rgb="00000000"/>
      </top>
      <bottom style="thin">
        <color rgb="00808080"/>
      </bottom>
    </border>
    <border>
      <left style="thin">
        <color rgb="00808080"/>
      </left>
      <right style="medium">
        <color rgb="00000000"/>
      </right>
      <top style="thin">
        <color rgb="00808080"/>
      </top>
      <bottom style="medium">
        <color rgb="00000000"/>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xf>
    <xf numFmtId="0" fontId="3"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8" fillId="7" borderId="1" applyAlignment="1" pivotButton="0" quotePrefix="0" xfId="0">
      <alignment horizontal="center" vertical="center" wrapText="1"/>
    </xf>
    <xf numFmtId="0" fontId="0" fillId="0" borderId="1" pivotButton="0" quotePrefix="0" xfId="0"/>
    <xf numFmtId="0" fontId="10" fillId="7" borderId="1" applyAlignment="1" pivotButton="0" quotePrefix="0" xfId="0">
      <alignment horizontal="center" vertical="center" wrapText="1"/>
    </xf>
    <xf numFmtId="0" fontId="2" fillId="3" borderId="1" applyAlignment="1" pivotButton="0" quotePrefix="0" xfId="0">
      <alignment horizontal="left" vertical="center"/>
    </xf>
    <xf numFmtId="0" fontId="0" fillId="3" borderId="1" pivotButton="0" quotePrefix="0" xfId="0"/>
    <xf numFmtId="0" fontId="9" fillId="6" borderId="1" applyAlignment="1" pivotButton="0" quotePrefix="0" xfId="0">
      <alignment horizontal="left" vertical="center"/>
    </xf>
    <xf numFmtId="0" fontId="5" fillId="3" borderId="1" applyAlignment="1" pivotButton="0" quotePrefix="0" xfId="0">
      <alignment horizontal="center" vertical="center" wrapText="1"/>
    </xf>
    <xf numFmtId="0" fontId="2" fillId="8" borderId="1" applyAlignment="1" pivotButton="0" quotePrefix="0" xfId="0">
      <alignment horizontal="center" vertical="center" wrapText="1"/>
    </xf>
    <xf numFmtId="0" fontId="5" fillId="3" borderId="1" applyAlignment="1" pivotButton="0" quotePrefix="0" xfId="0">
      <alignment horizontal="left" vertical="center"/>
    </xf>
    <xf numFmtId="0" fontId="9" fillId="6"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164" fontId="9" fillId="6" borderId="1" applyAlignment="1" pivotButton="0" quotePrefix="0" xfId="0">
      <alignment horizontal="left" vertical="center"/>
    </xf>
    <xf numFmtId="0" fontId="7" fillId="6"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9" borderId="1" applyAlignment="1" pivotButton="0" quotePrefix="0" xfId="0">
      <alignment horizontal="center" vertical="center" wrapText="1"/>
    </xf>
    <xf numFmtId="0" fontId="12" fillId="9" borderId="1" applyAlignment="1" pivotButton="0" quotePrefix="0" xfId="0">
      <alignment horizontal="left" vertical="center" wrapText="1"/>
    </xf>
    <xf numFmtId="0" fontId="0" fillId="9" borderId="1" pivotButton="0" quotePrefix="0" xfId="0"/>
    <xf numFmtId="0" fontId="2" fillId="8" borderId="6" applyAlignment="1" pivotButton="0" quotePrefix="0" xfId="0">
      <alignment horizontal="center" vertical="center" wrapText="1"/>
    </xf>
    <xf numFmtId="0" fontId="5" fillId="8" borderId="8" applyAlignment="1" pivotButton="0" quotePrefix="0" xfId="0">
      <alignment horizontal="center" vertical="center" wrapText="1"/>
    </xf>
    <xf numFmtId="0" fontId="2" fillId="8" borderId="8" applyAlignment="1" pivotButton="0" quotePrefix="0" xfId="0">
      <alignment horizontal="center" vertical="center" wrapText="1"/>
    </xf>
    <xf numFmtId="0" fontId="13" fillId="10" borderId="8" applyAlignment="1" pivotButton="0" quotePrefix="0" xfId="0">
      <alignment horizontal="center" vertical="center" wrapText="1"/>
    </xf>
    <xf numFmtId="0" fontId="2" fillId="8" borderId="10" applyAlignment="1" pivotButton="0" quotePrefix="0" xfId="0">
      <alignment horizontal="center" vertical="center" wrapText="1"/>
    </xf>
    <xf numFmtId="0" fontId="5" fillId="6" borderId="3" applyAlignment="1" pivotButton="0" quotePrefix="0" xfId="0">
      <alignment horizontal="left" vertical="center" wrapText="1"/>
    </xf>
    <xf numFmtId="0" fontId="18" fillId="6" borderId="1" applyAlignment="1" pivotButton="0" quotePrefix="0" xfId="0">
      <alignment horizontal="center" vertical="center" wrapText="1"/>
    </xf>
    <xf numFmtId="0" fontId="14" fillId="11" borderId="1" applyAlignment="1" pivotButton="0" quotePrefix="0" xfId="0">
      <alignment horizontal="center" vertical="center" wrapText="1"/>
    </xf>
    <xf numFmtId="0" fontId="13" fillId="6" borderId="1" applyAlignment="1" pivotButton="0" quotePrefix="0" xfId="0">
      <alignment horizontal="center" vertical="center" wrapText="1"/>
    </xf>
    <xf numFmtId="0" fontId="14" fillId="11" borderId="4" applyAlignment="1" pivotButton="0" quotePrefix="0" xfId="0">
      <alignment horizontal="center" vertical="center" wrapText="1"/>
    </xf>
    <xf numFmtId="0" fontId="15" fillId="11" borderId="1" applyAlignment="1" pivotButton="0" quotePrefix="0" xfId="0">
      <alignment horizontal="center" vertical="center" wrapText="1"/>
    </xf>
    <xf numFmtId="0" fontId="15" fillId="6" borderId="1" applyAlignment="1" pivotButton="0" quotePrefix="0" xfId="0">
      <alignment horizontal="center" vertical="center" wrapText="1"/>
    </xf>
    <xf numFmtId="0" fontId="15" fillId="11" borderId="4" applyAlignment="1" pivotButton="0" quotePrefix="0" xfId="0">
      <alignment horizontal="center" vertical="center" wrapText="1"/>
    </xf>
    <xf numFmtId="0" fontId="2" fillId="3" borderId="3" applyAlignment="1" pivotButton="0" quotePrefix="0" xfId="0">
      <alignment horizontal="center" vertical="center" wrapText="1"/>
    </xf>
    <xf numFmtId="0" fontId="15" fillId="12" borderId="2" applyAlignment="1" pivotButton="0" quotePrefix="0" xfId="0">
      <alignment horizontal="center" vertical="center" wrapText="1"/>
    </xf>
    <xf numFmtId="0" fontId="15" fillId="3" borderId="2" applyAlignment="1" pivotButton="0" quotePrefix="0" xfId="0">
      <alignment horizontal="center" vertical="center" wrapText="1"/>
    </xf>
    <xf numFmtId="0" fontId="15" fillId="12" borderId="5" applyAlignment="1" pivotButton="0" quotePrefix="0" xfId="0">
      <alignment horizontal="center" vertical="center" wrapText="1"/>
    </xf>
    <xf numFmtId="0" fontId="0" fillId="3" borderId="3" pivotButton="0" quotePrefix="0" xfId="0"/>
    <xf numFmtId="0" fontId="16" fillId="13" borderId="1" applyAlignment="1" pivotButton="0" quotePrefix="0" xfId="0">
      <alignment horizontal="center" vertical="center" wrapText="1"/>
    </xf>
    <xf numFmtId="0" fontId="16" fillId="13" borderId="4" applyAlignment="1" pivotButton="0" quotePrefix="0" xfId="0">
      <alignment horizontal="center" vertical="center" wrapText="1"/>
    </xf>
    <xf numFmtId="0" fontId="5" fillId="6" borderId="7" applyAlignment="1" pivotButton="0" quotePrefix="0" xfId="0">
      <alignment horizontal="left" vertical="center" wrapText="1"/>
    </xf>
    <xf numFmtId="0" fontId="0" fillId="0" borderId="9" pivotButton="0" quotePrefix="0" xfId="0"/>
    <xf numFmtId="0" fontId="17" fillId="14" borderId="9" applyAlignment="1" pivotButton="0" quotePrefix="0" xfId="0">
      <alignment horizontal="center" vertical="center" wrapText="1"/>
    </xf>
    <xf numFmtId="0" fontId="15" fillId="6" borderId="9" applyAlignment="1" pivotButton="0" quotePrefix="0" xfId="0">
      <alignment horizontal="center" vertical="center" wrapText="1"/>
    </xf>
    <xf numFmtId="0" fontId="17" fillId="14" borderId="11" applyAlignment="1" pivotButton="0" quotePrefix="0" xfId="0">
      <alignment horizontal="center" vertical="center" wrapText="1"/>
    </xf>
    <xf numFmtId="0" fontId="2" fillId="15" borderId="1" applyAlignment="1" pivotButton="0" quotePrefix="0" xfId="0">
      <alignment horizontal="left" vertical="center" wrapText="1"/>
    </xf>
    <xf numFmtId="0" fontId="0" fillId="15" borderId="1" pivotButton="0" quotePrefix="0" xfId="0"/>
    <xf numFmtId="0" fontId="5" fillId="16" borderId="1" applyAlignment="1" pivotButton="0" quotePrefix="0" xfId="0">
      <alignment horizontal="left" vertical="center" wrapText="1"/>
    </xf>
    <xf numFmtId="165" fontId="21" fillId="16" borderId="1" applyAlignment="1" pivotButton="0" quotePrefix="0" xfId="0">
      <alignment horizontal="center" vertical="center" wrapText="1"/>
    </xf>
    <xf numFmtId="0" fontId="5" fillId="3" borderId="1" applyAlignment="1" pivotButton="0" quotePrefix="0" xfId="0">
      <alignment horizontal="left" vertical="center" wrapText="1"/>
    </xf>
    <xf numFmtId="165" fontId="22" fillId="16" borderId="1" applyAlignment="1" pivotButton="0" quotePrefix="0" xfId="0">
      <alignment horizontal="center" vertical="center" wrapText="1"/>
    </xf>
    <xf numFmtId="165" fontId="22" fillId="6" borderId="1" applyAlignment="1" pivotButton="0" quotePrefix="0" xfId="0">
      <alignment horizontal="center" vertical="center" wrapText="1"/>
    </xf>
    <xf numFmtId="0" fontId="22" fillId="6" borderId="1" applyAlignment="1" pivotButton="0" quotePrefix="0" xfId="0">
      <alignment horizontal="center" vertical="center" wrapText="1"/>
    </xf>
    <xf numFmtId="0" fontId="21" fillId="16" borderId="1" applyAlignment="1" pivotButton="0" quotePrefix="0" xfId="0">
      <alignment horizontal="center" vertical="center" wrapText="1"/>
    </xf>
    <xf numFmtId="2" fontId="21" fillId="16" borderId="1" applyAlignment="1" pivotButton="0" quotePrefix="0" xfId="0">
      <alignment horizontal="center" vertical="center" wrapText="1"/>
    </xf>
    <xf numFmtId="0" fontId="5" fillId="16" borderId="1" applyAlignment="1" pivotButton="0" quotePrefix="0" xfId="0">
      <alignment horizontal="center" vertical="center" wrapText="1"/>
    </xf>
    <xf numFmtId="0" fontId="20" fillId="0" borderId="0" pivotButton="0" quotePrefix="0" xfId="0"/>
    <xf numFmtId="0" fontId="19" fillId="0" borderId="0" pivotButton="0" quotePrefix="0" xfId="0"/>
    <xf numFmtId="0" fontId="2" fillId="0" borderId="0" pivotButton="0" quotePrefix="0" xfId="0"/>
  </cellXfs>
  <cellStyles count="1">
    <cellStyle name="Normal" xfId="0" builtinId="0" hidden="0"/>
  </cellStyles>
  <dxfs count="9">
    <dxf>
      <font>
        <color rgb="007F7F7F"/>
      </font>
      <fill>
        <patternFill patternType="solid">
          <fgColor rgb="00BFBFBF"/>
        </patternFill>
      </fill>
    </dxf>
    <dxf>
      <fill>
        <patternFill patternType="solid">
          <fgColor rgb="00D9D9D9"/>
        </patternFill>
      </fill>
    </dxf>
    <dxf>
      <font>
        <b val="1"/>
        <color rgb="009C0006"/>
      </font>
      <fill>
        <patternFill patternType="solid">
          <fgColor rgb="00FF7C80"/>
        </patternFill>
      </fill>
    </dxf>
    <dxf>
      <fill>
        <patternFill patternType="solid">
          <fgColor rgb="00FF7C80"/>
        </patternFill>
      </fill>
    </dxf>
    <dxf>
      <font>
        <b val="1"/>
        <color rgb="009C0006"/>
      </font>
      <fill>
        <patternFill patternType="solid">
          <fgColor rgb="00FFC7CE"/>
        </patternFill>
      </fill>
    </dxf>
    <dxf>
      <font>
        <b val="1"/>
        <color rgb="00006100"/>
      </font>
      <fill>
        <patternFill patternType="solid">
          <fgColor rgb="00C6EFCE"/>
        </patternFill>
      </fill>
    </dxf>
    <dxf>
      <font>
        <b val="1"/>
        <color rgb="009C5700"/>
      </font>
      <fill>
        <patternFill patternType="solid">
          <fgColor rgb="00FFEB9C"/>
        </patternFill>
      </fill>
    </dxf>
    <dxf>
      <fill>
        <patternFill patternType="solid">
          <fgColor rgb="00C00000"/>
        </patternFill>
      </fill>
    </dxf>
    <dxf>
      <fill>
        <patternFill patternType="solid">
          <f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QS_DAM</author>
  </authors>
  <commentList>
    <comment ref="A1" authorId="0" shapeId="0">
      <text>
        <t>Mã nhận dạng sheet nhập liệu QS_DAM V2 – KHÔNG xóa / sửa ô này.
Bố cục ô giống sheet DCE_Pro_Beam (DAM.xlsm).</t>
      </text>
    </comment>
    <comment ref="G2" authorId="0" shapeId="0">
      <text>
        <t>HỆ SỐ THÉP GIA CƯỜNG GỐI (J2)
Dấu phân cách quyết định cách đo:
  0.3/0.25/0.15  : L thông thủy, tính từ MÉP cột
  0.3\0.25\0.15 : L tim-tim, tính từ TIM cột
  0.3|0.25|0.15  : L tim-tim, tính từ MÉP cột
a = vươn thép mũ gối (x L), có thể theo lớp: 0.3;0.25
b = vùng đai dày (x L; &gt; 1 hiểu là mm, vd 0.3/600/0.15)
c = thép tăng cường TRÊN bụng nhịp (L - 2cL)
Thêm +15d: 0.3+15d
Để trống = lấy QS_DAMSET.</t>
      </text>
    </comment>
    <comment ref="C3" authorId="0" shapeId="0">
      <text>
        <t>b dầm (mm). Nhịp có b khác: nhập ở dòng 12 cột nhịp.
Móng băng dạng 300/500/500: chưa hỗ trợ (lấy số đầu).</t>
      </text>
    </comment>
    <comment ref="G3" authorId="0" shapeId="0">
      <text>
        <t>HỆ SỐ THÉP GIA CƯỜNG NHỊP (J3), cùng quy ước dấu / \ | như J2
a = thép TC dưới bụng nhịp: L - 2aL
b = thép TC dưới tại gối: vươn bL
c = nhịp đầu / cuối: đầu thanh TC dưới cách mép gối biên cL
Để trống = lấy QS_DAMSET.</t>
      </text>
    </comment>
    <comment ref="K3" authorId="0" shapeId="0">
      <text>
        <t>KHOẢNG RẢI THÉP C ĐỠ LỚP TĂNG CƯỜNG (mm)
&gt; 0 : tự phân biệt lúc cần vẽ (có ≥ 2 lớp)
= 0 : không vẽ
&lt; 0 : luôn vẽ khi số thép dọc &gt; 2
1500mm : luôn vẽ khi số thép dọc ≥ 2</t>
      </text>
    </comment>
    <comment ref="P3" authorId="0" shapeId="0">
      <text>
        <t>THÉP CHỜ 2 ĐẦU DẦM (khi đầu dầm là mạch ngừng, chờ sang zone / đợt đổ sau)
• Cho thang: thép kéo thẳng ra ngoài đầu dầm đoạn L chờ, không bẻ ke.
• Coupler: thép dừng tại mép (L chờ = 0) hoặc kéo ra ngoài mép: 100, hoặc so le 100/300 (½ số thanh 100, ½ số thanh 300).
• So le: 1/2 số thanh chờ L, 1/2 chờ 2L + KC mối nối.
Bản vẽ có nét khuất dầm zone sau, đường MẠCH NGỪNG, dim L chờ; QS_SHOPDAM cắt đúng chiều dài.
Để trống = theo QS_DAMSET.</t>
      </text>
    </comment>
    <comment ref="C5" authorId="0" shapeId="0">
      <text>
        <t>Số cấu kiện giống nhau (nhân số lượng thống kê).
Thêm /T, /B: đặt mối nối bắt buộc cho thép chạy suốt TRÊN / DƯỚI ở mọi nhịp.
Ví dụ: 1/T ; 1/T/B</t>
      </text>
    </comment>
    <comment ref="C7" authorId="0" shapeId="0">
      <text>
        <t>Chiều dày sàn (mm).
Chỉ nhập số: phía sàn / sàn lật lấy theo ô Y2, Y3.
Nhập mã DCE thì bỏ qua Y2:Y3:
150 = 2 tai sàn · 150/0 = không tai · 150/1 = tai trái · 150/2 = tai phải
_150 = sàn lật (dầm úp) · _150/1 ...</t>
      </text>
    </comment>
    <comment ref="A11" authorId="0" shapeId="0">
      <text>
        <t>DÒNG 11
• Ô B11: thép chạy suốt TRÊN, vd 3t28 (2t28+1t25 nếu nhiều loại).
• Cột GỐI: bề rộng gối (mm)
  300 = cột 300 · 0 = console
  220x500 = gối là dầm 220x500
  1000/220 = cột dưới 1000, cột trên 220
  1000/200/-400 = cột trên 200, tim lệch -400
• Cột NHỊP: chiều dài THÔNG THỦY (mm). Nhịp phải liền nhau, ô trống = hết dầm.</t>
      </text>
    </comment>
    <comment ref="A12" authorId="0" shapeId="0">
      <text>
        <t>DÒNG 12
• Ô B12: thép chạy suốt DƯỚI, vd 3t28.
• Cột GỐI: bước đai trong cột (mm), vd 200 hoặc +200.
• Cột NHỊP: bề rộng nhịp nếu khác b dầm.
(Móng băng dạng 2t16/12a100/12a100: chưa hỗ trợ.)</t>
      </text>
    </comment>
    <comment ref="A13" authorId="0" shapeId="0">
      <text>
        <t>THÉP TĂNG CƯỜNG LỚP TRÊN (dòng 13 = lớp 1 ... 17 = lớp 5)
• Cột GỐI: thép mũ gối. 3t28 = 2 bên như nhau; 3t28;5t28 = trái;phải; ;2t28 = chỉ bên phải.
• Cột NHỊP: thép tăng cường bụng nhịp phía trên.
• '-' = không có. Lớp 1 cùng cao độ thép chạy suốt.</t>
      </text>
    </comment>
    <comment ref="A18" authorId="0" shapeId="0">
      <text>
        <t>THÉP TĂNG CƯỜNG LỚP DƯỚI (dòng 22 = lớp 1 ... 18 = lớp 5, giống DCE)
• Cột NHỊP: thép tăng cường bụng nhịp phía dưới.
• Cột GỐI: thép tăng cường dưới tại gối.</t>
      </text>
    </comment>
    <comment ref="A23" authorId="0" shapeId="0">
      <text>
        <t>DÒNG 23
• GỐI: ẩn cột khi vẽ (1 trên · 2 dưới · 3 cả hai).
• NHỊP: giật mép trên + đổi thép chạy TRÊN từ nhịp này:
  100 = mép trên giật lên 100 (chưa vẽ giật cấp)
  0;25 = đổi đường kính thép chạy thành 25
  0;3t25 = đổi thép chạy thành 3t25</t>
      </text>
    </comment>
    <comment ref="A24" authorId="0" shapeId="0">
      <text>
        <t>DÒNG 24
• GỐI: kích thước dầm giao tại cột, vd 400x600.
• NHỊP: thép giá. 2x2t12 = 2 lớp x 2t12; 4t12 = 2 lớp x 2t12.</t>
      </text>
    </comment>
    <comment ref="A25" authorId="0" shapeId="0">
      <text>
        <t>DÒNG 25
• GỐI: độ lệch dầm giao tại cột so với tim cột (mm).
• NHỊP: giật mép dưới + đổi thép chạy DƯỚI (cú pháp như dòng 23).</t>
      </text>
    </comment>
    <comment ref="A26" authorId="0" shapeId="0">
      <text>
        <t>DÒNG 26
• GỐI: tên trục (nhiều dòng thì lấy dòng cuối).
• NHỊP: thép đai Ø-bước gối/bước nhịp, vd 10-100/200; 10-100 = rải đều.</t>
      </text>
    </comment>
    <comment ref="A27" authorId="0" shapeId="0">
      <text>
        <t>DÒNG 27
• GỐI: độ lệch trục so với tim gối (mm).
• NHỊP: đai trong 6-100/200 (để trống: tự thêm khi lớp 1 trên ≥ 4 thanh). Kiểu đai trong chọn ở QS_DAMSET trang 2:
  1 nhánh tại mỗi thanh giữa (như DCE) hoặc đai kín ôm thanh 2 và n-1.
  và/hoặc mối nối bắt buộc: T, B, T/B, TL, TR, BL, BR. Ví dụ 6-100/200/B.</t>
      </text>
    </comment>
    <comment ref="A28" authorId="0" shapeId="0">
      <text>
        <t>DÒNG 28
• GỐI: KT dầm giao nằm trong NHỊP BÊN PHẢI gối (400x600 hoặc 400x600/300x600).
• NHỊP: T.LINK = đai xoắn (U bao + C mũ). Mã giật sàn DCE (T.LINK/-100/-200/1) được lưu, chưa vẽ.</t>
      </text>
    </comment>
    <comment ref="A29" authorId="0" shapeId="0">
      <text>
        <t>DÒNG 29
• GỐI: khoảng cách từ TIM gối tới tim dầm giao trong nhịp phải (2000 hoặc 2000/5000).
• NHỊP: đai gia cường tại dầm giao: 8t8a50 (chia 2 bên), 8t8a50L / 8t8a50R (1 bên), 8u8a50 (chữ u = đai U).
  Mỗi đai gia cường có thêm bộ đai trong / đai 1 nhánh như đai thường (tắt được ở QS_DAMSET trang 2).</t>
      </text>
    </comment>
    <comment ref="A30" authorId="0" shapeId="0">
      <text>
        <t>DÒNG 30 (chỉ cột NHỊP): thép vai bò tại dầm giao, vd 2t16.</t>
      </text>
    </comment>
  </commentList>
</comments>
</file>

<file path=xl/comments/comment2.xml><?xml version="1.0" encoding="utf-8"?>
<comments xmlns="http://schemas.openxmlformats.org/spreadsheetml/2006/main">
  <authors>
    <author>QS_DAM</author>
  </authors>
  <commentList>
    <comment ref="A1" authorId="0" shapeId="0">
      <text>
        <t>Mã nhận dạng sheet nhập liệu QS_DAM V2 – KHÔNG xóa / sửa ô này.
Bố cục ô giống sheet DCE_Pro_Beam (DAM.xlsm).</t>
      </text>
    </comment>
    <comment ref="G2" authorId="0" shapeId="0">
      <text>
        <t>HỆ SỐ THÉP GIA CƯỜNG GỐI (J2)
Dấu phân cách quyết định cách đo:
  0.3/0.25/0.15  : L thông thủy, tính từ MÉP cột
  0.3\0.25\0.15 : L tim-tim, tính từ TIM cột
  0.3|0.25|0.15  : L tim-tim, tính từ MÉP cột
a = vươn thép mũ gối (x L), có thể theo lớp: 0.3;0.25
b = vùng đai dày (x L; &gt; 1 hiểu là mm, vd 0.3/600/0.15)
c = thép tăng cường TRÊN bụng nhịp (L - 2cL)
Thêm +15d: 0.3+15d
Để trống = lấy QS_DAMSET.</t>
      </text>
    </comment>
    <comment ref="C3" authorId="0" shapeId="0">
      <text>
        <t>b dầm (mm). Nhịp có b khác: nhập ở dòng 12 cột nhịp.
Móng băng dạng 300/500/500: chưa hỗ trợ (lấy số đầu).</t>
      </text>
    </comment>
    <comment ref="G3" authorId="0" shapeId="0">
      <text>
        <t>HỆ SỐ THÉP GIA CƯỜNG NHỊP (J3), cùng quy ước dấu / \ | như J2
a = thép TC dưới bụng nhịp: L - 2aL
b = thép TC dưới tại gối: vươn bL
c = nhịp đầu / cuối: đầu thanh TC dưới cách mép gối biên cL
Để trống = lấy QS_DAMSET.</t>
      </text>
    </comment>
    <comment ref="K3" authorId="0" shapeId="0">
      <text>
        <t>KHOẢNG RẢI THÉP C ĐỠ LỚP TĂNG CƯỜNG (mm)
&gt; 0 : tự phân biệt lúc cần vẽ (có ≥ 2 lớp)
= 0 : không vẽ
&lt; 0 : luôn vẽ khi số thép dọc &gt; 2
1500mm : luôn vẽ khi số thép dọc ≥ 2</t>
      </text>
    </comment>
    <comment ref="P3" authorId="0" shapeId="0">
      <text>
        <t>THÉP CHỜ 2 ĐẦU DẦM (khi đầu dầm là mạch ngừng, chờ sang zone / đợt đổ sau)
• Cho thang: thép kéo thẳng ra ngoài đầu dầm đoạn L chờ, không bẻ ke.
• Coupler: thép dừng tại mép (L chờ = 0) hoặc kéo ra ngoài mép: 100, hoặc so le 100/300 (½ số thanh 100, ½ số thanh 300).
• So le: 1/2 số thanh chờ L, 1/2 chờ 2L + KC mối nối.
Bản vẽ có nét khuất dầm zone sau, đường MẠCH NGỪNG, dim L chờ; QS_SHOPDAM cắt đúng chiều dài.
Để trống = theo QS_DAMSET.</t>
      </text>
    </comment>
    <comment ref="C5" authorId="0" shapeId="0">
      <text>
        <t>Số cấu kiện giống nhau (nhân số lượng thống kê).
Thêm /T, /B: đặt mối nối bắt buộc cho thép chạy suốt TRÊN / DƯỚI ở mọi nhịp.
Ví dụ: 1/T ; 1/T/B</t>
      </text>
    </comment>
    <comment ref="C7" authorId="0" shapeId="0">
      <text>
        <t>Chiều dày sàn (mm).
Chỉ nhập số: phía sàn / sàn lật lấy theo ô Y2, Y3.
Nhập mã DCE thì bỏ qua Y2:Y3:
150 = 2 tai sàn · 150/0 = không tai · 150/1 = tai trái · 150/2 = tai phải
_150 = sàn lật (dầm úp) · _150/1 ...</t>
      </text>
    </comment>
    <comment ref="A11" authorId="0" shapeId="0">
      <text>
        <t>DÒNG 11
• Ô B11: thép chạy suốt TRÊN, vd 3t28 (2t28+1t25 nếu nhiều loại).
• Cột GỐI: bề rộng gối (mm)
  300 = cột 300 · 0 = console
  220x500 = gối là dầm 220x500
  1000/220 = cột dưới 1000, cột trên 220
  1000/200/-400 = cột trên 200, tim lệch -400
• Cột NHỊP: chiều dài THÔNG THỦY (mm). Nhịp phải liền nhau, ô trống = hết dầm.</t>
      </text>
    </comment>
    <comment ref="A12" authorId="0" shapeId="0">
      <text>
        <t>DÒNG 12
• Ô B12: thép chạy suốt DƯỚI, vd 3t28.
• Cột GỐI: bước đai trong cột (mm), vd 200 hoặc +200.
• Cột NHỊP: bề rộng nhịp nếu khác b dầm.
(Móng băng dạng 2t16/12a100/12a100: chưa hỗ trợ.)</t>
      </text>
    </comment>
    <comment ref="A13" authorId="0" shapeId="0">
      <text>
        <t>THÉP TĂNG CƯỜNG LỚP TRÊN (dòng 13 = lớp 1 ... 17 = lớp 5)
• Cột GỐI: thép mũ gối. 3t28 = 2 bên như nhau; 3t28;5t28 = trái;phải; ;2t28 = chỉ bên phải.
• Cột NHỊP: thép tăng cường bụng nhịp phía trên.
• '-' = không có. Lớp 1 cùng cao độ thép chạy suốt.</t>
      </text>
    </comment>
    <comment ref="A18" authorId="0" shapeId="0">
      <text>
        <t>THÉP TĂNG CƯỜNG LỚP DƯỚI (dòng 22 = lớp 1 ... 18 = lớp 5, giống DCE)
• Cột NHỊP: thép tăng cường bụng nhịp phía dưới.
• Cột GỐI: thép tăng cường dưới tại gối.</t>
      </text>
    </comment>
    <comment ref="A23" authorId="0" shapeId="0">
      <text>
        <t>DÒNG 23
• GỐI: ẩn cột khi vẽ (1 trên · 2 dưới · 3 cả hai).
• NHỊP: giật mép trên + đổi thép chạy TRÊN từ nhịp này:
  100 = mép trên giật lên 100 (chưa vẽ giật cấp)
  0;25 = đổi đường kính thép chạy thành 25
  0;3t25 = đổi thép chạy thành 3t25</t>
      </text>
    </comment>
    <comment ref="A24" authorId="0" shapeId="0">
      <text>
        <t>DÒNG 24
• GỐI: kích thước dầm giao tại cột, vd 400x600.
• NHỊP: thép giá. 2x2t12 = 2 lớp x 2t12; 4t12 = 2 lớp x 2t12.</t>
      </text>
    </comment>
    <comment ref="A25" authorId="0" shapeId="0">
      <text>
        <t>DÒNG 25
• GỐI: độ lệch dầm giao tại cột so với tim cột (mm).
• NHỊP: giật mép dưới + đổi thép chạy DƯỚI (cú pháp như dòng 23).</t>
      </text>
    </comment>
    <comment ref="A26" authorId="0" shapeId="0">
      <text>
        <t>DÒNG 26
• GỐI: tên trục (nhiều dòng thì lấy dòng cuối).
• NHỊP: thép đai Ø-bước gối/bước nhịp, vd 10-100/200; 10-100 = rải đều.</t>
      </text>
    </comment>
    <comment ref="A27" authorId="0" shapeId="0">
      <text>
        <t>DÒNG 27
• GỐI: độ lệch trục so với tim gối (mm).
• NHỊP: đai trong 6-100/200 (để trống: tự thêm khi lớp 1 trên ≥ 4 thanh). Kiểu đai trong chọn ở QS_DAMSET trang 2:
  1 nhánh tại mỗi thanh giữa (như DCE) hoặc đai kín ôm thanh 2 và n-1.
  và/hoặc mối nối bắt buộc: T, B, T/B, TL, TR, BL, BR. Ví dụ 6-100/200/B.</t>
      </text>
    </comment>
    <comment ref="A28" authorId="0" shapeId="0">
      <text>
        <t>DÒNG 28
• GỐI: KT dầm giao nằm trong NHỊP BÊN PHẢI gối (400x600 hoặc 400x600/300x600).
• NHỊP: T.LINK = đai xoắn (U bao + C mũ). Mã giật sàn DCE (T.LINK/-100/-200/1) được lưu, chưa vẽ.</t>
      </text>
    </comment>
    <comment ref="A29" authorId="0" shapeId="0">
      <text>
        <t>DÒNG 29
• GỐI: khoảng cách từ TIM gối tới tim dầm giao trong nhịp phải (2000 hoặc 2000/5000).
• NHỊP: đai gia cường tại dầm giao: 8t8a50 (chia 2 bên), 8t8a50L / 8t8a50R (1 bên), 8u8a50 (chữ u = đai U).
  Mỗi đai gia cường có thêm bộ đai trong / đai 1 nhánh như đai thường (tắt được ở QS_DAMSET trang 2).</t>
      </text>
    </comment>
    <comment ref="A30" authorId="0" shapeId="0">
      <text>
        <t>DÒNG 30 (chỉ cột NHỊP): thép vai bò tại dầm giao, vd 2t16.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4472C4"/>
    <outlinePr summaryBelow="1" summaryRight="1"/>
    <pageSetUpPr/>
  </sheetPr>
  <dimension ref="A1:B43"/>
  <sheetViews>
    <sheetView showGridLines="0" tabSelected="0" workbookViewId="0">
      <selection activeCell="A1" sqref="A1"/>
    </sheetView>
  </sheetViews>
  <sheetFormatPr baseColWidth="8" defaultRowHeight="15"/>
  <cols>
    <col width="26" customWidth="1" min="1" max="1"/>
    <col width="120" customWidth="1" min="2" max="2"/>
  </cols>
  <sheetData>
    <row r="1" ht="26" customHeight="1">
      <c r="A1" s="1" t="inlineStr">
        <is>
          <t>HƯỚNG DẪN NHẬP LIỆU QS_DAM V2 (bố cục giống sheet DCE_Pro_Beam)</t>
        </is>
      </c>
    </row>
    <row r="3" ht="71.5" customHeight="1">
      <c r="A3" s="2" t="inlineStr">
        <is>
          <t>CÁCH DÙNG</t>
        </is>
      </c>
      <c r="B3" s="3" t="inlineStr">
        <is>
          <t>1. Mỗi dầm 1 sheet: chuột phải sheet MAU (hoặc sheet ví dụ) → Move or Copy → Create a copy, đổi tên theo dầm.
2. Nhập ô trắng. Chọn ô sẽ hiện gợi ý; ô có ▼ có danh sách chọn (vẫn gõ tay được, trừ ô bắt buộc chọn).
3. Xem dòng 9 (TÌNH TRẠNG SỐ LIỆU) và dòng 44 (KIỂM TRA) – sửa hết ô đỏ.
4. AutoCAD / ZWCAD: để sheet dầm cần vẽ ĐANG MỞ trong Excel → lệnh QS_VEDAM → nguồn Excel → chọn điểm mép TRÊN-TRÁI dầm.
5. QS_SHOPDAM: cắt thép / shop. QS_DAMSET, QS_DAMNOI: cài đặt móc đai, neo, chiều dài nối.</t>
        </is>
      </c>
    </row>
    <row r="4" ht="58" customHeight="1">
      <c r="A4" s="2" t="inlineStr">
        <is>
          <t>TƯƠNG THÍCH DCE</t>
        </is>
      </c>
      <c r="B4" s="3" t="inlineStr">
        <is>
          <t>Vị trí ô nhập giống hệt sheet DCE_Pro_Beam: F2:F8, J2:J8, N2:N8, B11, B12, lưới C11:AG30 (Gối 1 = cột C, Nhịp 1 = cột D ...).
→ Có thể copy nguyên vùng C2:N8 và B11:AG30 từ file DCE (DAM.xlsm) dán vào (Paste Values) là dùng được.
Ô A1 = QS_DAM_V2 là mã nhận dạng – không xóa. QS_DAM vẫn đọc được sheet DCE_Pro_Beam và sheet QS_DAM_V1 cũ.</t>
        </is>
      </c>
    </row>
    <row r="5" ht="139" customHeight="1">
      <c r="A5" s="2" t="inlineStr">
        <is>
          <t>PHẦN MỞ RỘNG QS</t>
        </is>
      </c>
      <c r="B5" s="3" t="inlineStr">
        <is>
          <t>• THÉP CHỜ 2 ĐẦU DẦM (S3:T7): kiểu (Khong / Cho thang / Coupler), lớp (TBG, TB, T, B), thanh (Tat ca / Chay suot), L chờ (AUTO / 40d / 1200; coupler 0 / 100 / 100/300 so le), so le.
• TÙY CHỌN SÀN (Y2:Y3): tai sàn 2 ben / Trai / Phai / Khong, sàn lật – dùng khi F7 chỉ là số (nhập mã DCE 150/1, _150 thì bỏ qua Y2:Y3).
• Dòng 33-35: tọa độ trục, KC trục-trục tính từ bề rộng gối + Ltt + lệch trục; nhập KC trục mặt bằng (dòng 34) → Ltt suy ra (dòng 35, vàng nếu lệch Ltt đang nhập).
• Dòng 37-42: kiểm tra As (cm²) bố trí / yêu cầu – thép chạy suốt hiệu dụng (có tính đổi thép dòng 23/25) + tăng cường lớp 1..5; gối tách trái/phải.
• Dòng 44 + dòng 9: báo thiếu KT gối, thiếu tên trục, thiếu đai, Ltt sai, nhịp đứt quãng, ký hiệu thép sai (ô thép sai tô đỏ).</t>
        </is>
      </c>
    </row>
    <row r="6" ht="44.5" customHeight="1">
      <c r="A6" s="2" t="inlineStr">
        <is>
          <t>THÉP CHỜ TRÊN BẢN VẼ</t>
        </is>
      </c>
      <c r="B6" s="3" t="inlineStr">
        <is>
          <t>• QS_VEDAM: nét khuất dầm zone sau, đường MẠCH NGỪNG, dim L chờ (chờ thẳng) hoặc ký hiệu COUPLER.
• QS_SHOPDAM: thanh chờ thẳng được cắt đủ chiều dài có đoạn chờ; dải shop có đường MẠCH NGỪNG; đầu thanh coupler vẽ ký hiệu,
  bảng thống kê thêm dòng COUPLER theo đường kính (số cái).</t>
        </is>
      </c>
    </row>
    <row r="7" ht="31" customHeight="1">
      <c r="A7" s="2" t="inlineStr">
        <is>
          <t>BỐ CỤC SHOP</t>
        </is>
      </c>
      <c r="B7" s="3" t="inlineStr">
        <is>
          <t>Mặc định giống bản vẽ DCE: shop thép TRÊN phía trên MC dọc; dưới MC dọc là dải THÉP GIÁ sát trên dải THÉP DƯỚI;
shop THÉP ĐAI bên phải khung shop trên (1:1, dim từng đoạn, tag SH / L). Thay đổi ở QS_DAMSET → trang 5 (Bố cục shop).</t>
        </is>
      </c>
    </row>
    <row r="8" ht="31" customHeight="1">
      <c r="A8" s="2" t="inlineStr">
        <is>
          <t>KÝ HIỆU THÉP</t>
        </is>
      </c>
      <c r="B8" s="3" t="inlineStr">
        <is>
          <t>3t28 = 3 thanh Ø28 (t, T, d, f, Ø, %%c đều được). 2t28+1t25 = nhiều loại. '-' = không có.
Gối: 3t28;5t28 = trái 3t28 / phải 5t28 ; ;2t28 = chỉ bên phải ; 2t25; = chỉ bên trái.</t>
        </is>
      </c>
    </row>
    <row r="9" ht="112" customHeight="1">
      <c r="A9" s="2" t="inlineStr">
        <is>
          <t>DÒNG 11 (B11 / lưới)</t>
        </is>
      </c>
      <c r="B9" s="3" t="inlineStr">
        <is>
          <t>DÒNG 11
• Ô B11: thép chạy suốt TRÊN, vd 3t28 (2t28+1t25 nếu nhiều loại).
• Cột GỐI: bề rộng gối (mm)
  300 = cột 300 · 0 = console
  220x500 = gối là dầm 220x500
  1000/220 = cột dưới 1000, cột trên 220
  1000/200/-400 = cột trên 200, tim lệch -400
• Cột NHỊP: chiều dài THÔNG THỦY (mm). Nhịp phải liền nhau, ô trống = hết dầm.</t>
        </is>
      </c>
    </row>
    <row r="10" ht="71.5" customHeight="1">
      <c r="A10" s="2" t="inlineStr">
        <is>
          <t>DÒNG 12 (B12 / lưới)</t>
        </is>
      </c>
      <c r="B10" s="3" t="inlineStr">
        <is>
          <t>DÒNG 12
• Ô B12: thép chạy suốt DƯỚI, vd 3t28.
• Cột GỐI: bước đai trong cột (mm), vd 200 hoặc +200.
• Cột NHỊP: bề rộng nhịp nếu khác b dầm.
(Móng băng dạng 2t16/12a100/12a100: chưa hỗ trợ.)</t>
        </is>
      </c>
    </row>
    <row r="11" ht="58" customHeight="1">
      <c r="A11" s="2" t="inlineStr">
        <is>
          <t>DÒNG 13-17</t>
        </is>
      </c>
      <c r="B11" s="3" t="inlineStr">
        <is>
          <t>THÉP TĂNG CƯỜNG LỚP TRÊN (dòng 13 = lớp 1 ... 17 = lớp 5)
• Cột GỐI: thép mũ gối. 3t28 = 2 bên như nhau; 3t28;5t28 = trái;phải; ;2t28 = chỉ bên phải.
• Cột NHỊP: thép tăng cường bụng nhịp phía trên.
• '-' = không có. Lớp 1 cùng cao độ thép chạy suốt.</t>
        </is>
      </c>
    </row>
    <row r="12" ht="44.5" customHeight="1">
      <c r="A12" s="2" t="inlineStr">
        <is>
          <t>DÒNG 18-22</t>
        </is>
      </c>
      <c r="B12" s="3" t="inlineStr">
        <is>
          <t>THÉP TĂNG CƯỜNG LỚP DƯỚI (dòng 22 = lớp 1 ... 18 = lớp 5, giống DCE)
• Cột NHỊP: thép tăng cường bụng nhịp phía dưới.
• Cột GỐI: thép tăng cường dưới tại gối.</t>
        </is>
      </c>
    </row>
    <row r="13" ht="85" customHeight="1">
      <c r="A13" s="2" t="inlineStr">
        <is>
          <t>DÒNG 23</t>
        </is>
      </c>
      <c r="B13" s="3" t="inlineStr">
        <is>
          <t>DÒNG 23
• GỐI: ẩn cột khi vẽ (1 trên · 2 dưới · 3 cả hai).
• NHỊP: giật mép trên + đổi thép chạy TRÊN từ nhịp này:
  100 = mép trên giật lên 100 (chưa vẽ giật cấp)
  0;25 = đổi đường kính thép chạy thành 25
  0;3t25 = đổi thép chạy thành 3t25</t>
        </is>
      </c>
    </row>
    <row r="14" ht="44.5" customHeight="1">
      <c r="A14" s="2" t="inlineStr">
        <is>
          <t>DÒNG 24</t>
        </is>
      </c>
      <c r="B14" s="3" t="inlineStr">
        <is>
          <t>DÒNG 24
• GỐI: kích thước dầm giao tại cột, vd 400x600.
• NHỊP: thép giá. 2x2t12 = 2 lớp x 2t12; 4t12 = 2 lớp x 2t12.</t>
        </is>
      </c>
    </row>
    <row r="15" ht="44.5" customHeight="1">
      <c r="A15" s="2" t="inlineStr">
        <is>
          <t>DÒNG 25</t>
        </is>
      </c>
      <c r="B15" s="3" t="inlineStr">
        <is>
          <t>DÒNG 25
• GỐI: độ lệch dầm giao tại cột so với tim cột (mm).
• NHỊP: giật mép dưới + đổi thép chạy DƯỚI (cú pháp như dòng 23).</t>
        </is>
      </c>
    </row>
    <row r="16" ht="44.5" customHeight="1">
      <c r="A16" s="2" t="inlineStr">
        <is>
          <t>DÒNG 26</t>
        </is>
      </c>
      <c r="B16" s="3" t="inlineStr">
        <is>
          <t>DÒNG 26
• GỐI: tên trục (nhiều dòng thì lấy dòng cuối).
• NHỊP: thép đai Ø-bước gối/bước nhịp, vd 10-100/200; 10-100 = rải đều.</t>
        </is>
      </c>
    </row>
    <row r="17" ht="71.5" customHeight="1">
      <c r="A17" s="2" t="inlineStr">
        <is>
          <t>DÒNG 27</t>
        </is>
      </c>
      <c r="B17" s="3" t="inlineStr">
        <is>
          <t>DÒNG 27
• GỐI: độ lệch trục so với tim gối (mm).
• NHỊP: đai trong 6-100/200 (để trống: tự thêm khi lớp 1 trên ≥ 4 thanh). Kiểu đai trong chọn ở QS_DAMSET trang 2:
  1 nhánh tại mỗi thanh giữa (như DCE) hoặc đai kín ôm thanh 2 và n-1.
  và/hoặc mối nối bắt buộc: T, B, T/B, TL, TR, BL, BR. Ví dụ 6-100/200/B.</t>
        </is>
      </c>
    </row>
    <row r="18" ht="44.5" customHeight="1">
      <c r="A18" s="2" t="inlineStr">
        <is>
          <t>DÒNG 28</t>
        </is>
      </c>
      <c r="B18" s="3" t="inlineStr">
        <is>
          <t>DÒNG 28
• GỐI: KT dầm giao nằm trong NHỊP BÊN PHẢI gối (400x600 hoặc 400x600/300x600).
• NHỊP: T.LINK = đai xoắn (U bao + C mũ). Mã giật sàn DCE (T.LINK/-100/-200/1) được lưu, chưa vẽ.</t>
        </is>
      </c>
    </row>
    <row r="19" ht="58" customHeight="1">
      <c r="A19" s="2" t="inlineStr">
        <is>
          <t>DÒNG 29</t>
        </is>
      </c>
      <c r="B19" s="3" t="inlineStr">
        <is>
          <t>DÒNG 29
• GỐI: khoảng cách từ TIM gối tới tim dầm giao trong nhịp phải (2000 hoặc 2000/5000).
• NHỊP: đai gia cường tại dầm giao: 8t8a50 (chia 2 bên), 8t8a50L / 8t8a50R (1 bên), 8u8a50 (chữ u = đai U).
  Mỗi đai gia cường có thêm bộ đai trong / đai 1 nhánh như đai thường (tắt được ở QS_DAMSET trang 2).</t>
        </is>
      </c>
    </row>
    <row r="20" ht="18" customHeight="1">
      <c r="A20" s="2" t="inlineStr">
        <is>
          <t>DÒNG 30</t>
        </is>
      </c>
      <c r="B20" s="3" t="inlineStr">
        <is>
          <t>DÒNG 30 (chỉ cột NHỊP): thép vai bò tại dầm giao, vd 2t16.</t>
        </is>
      </c>
    </row>
    <row r="21" ht="18" customHeight="1">
      <c r="A21" s="2" t="inlineStr">
        <is>
          <t>F2 – Tên dầm</t>
        </is>
      </c>
      <c r="B21" s="3" t="inlineStr">
        <is>
          <t>Tên dầm (ghi trên bản vẽ, tên file CSV).</t>
        </is>
      </c>
    </row>
    <row r="22" ht="31" customHeight="1">
      <c r="A22" s="2" t="inlineStr">
        <is>
          <t>F3 – b dầm (mm)</t>
        </is>
      </c>
      <c r="B22" s="3" t="inlineStr">
        <is>
          <t>b dầm (mm). Nhịp có b khác: nhập ở dòng 12 cột nhịp.
Móng băng dạng 300/500/500: chưa hỗ trợ (lấy số đầu).</t>
        </is>
      </c>
    </row>
    <row r="23" ht="18" customHeight="1">
      <c r="A23" s="2" t="inlineStr">
        <is>
          <t>F4 – h dầm (mm)</t>
        </is>
      </c>
      <c r="B23" s="3" t="inlineStr">
        <is>
          <t>Chiều cao dầm (mm), vd 1000.</t>
        </is>
      </c>
    </row>
    <row r="24" ht="44.5" customHeight="1">
      <c r="A24" s="2" t="inlineStr">
        <is>
          <t>F5 – Số cấu kiện</t>
        </is>
      </c>
      <c r="B24" s="3" t="inlineStr">
        <is>
          <t>Số cấu kiện giống nhau (nhân số lượng thống kê).
Thêm /T, /B: đặt mối nối bắt buộc cho thép chạy suốt TRÊN / DƯỚI ở mọi nhịp.
Ví dụ: 1/T ; 1/T/B</t>
        </is>
      </c>
    </row>
    <row r="25" ht="18" customHeight="1">
      <c r="A25" s="2" t="inlineStr">
        <is>
          <t>F6 – Cao trình dầm (m)</t>
        </is>
      </c>
      <c r="B25" s="3" t="inlineStr">
        <is>
          <t>Cao độ mặt dầm (m), vd -0.100.</t>
        </is>
      </c>
    </row>
    <row r="26" ht="71.5" customHeight="1">
      <c r="A26" s="2" t="inlineStr">
        <is>
          <t>F7 – h sàn (mm)</t>
        </is>
      </c>
      <c r="B26" s="3" t="inlineStr">
        <is>
          <t>Chiều dày sàn (mm).
Chỉ nhập số: phía sàn / sàn lật lấy theo ô Y2, Y3.
Nhập mã DCE thì bỏ qua Y2:Y3:
150 = 2 tai sàn · 150/0 = không tai · 150/1 = tai trái · 150/2 = tai phải
_150 = sàn lật (dầm úp) · _150/1 ...</t>
        </is>
      </c>
    </row>
    <row r="27" ht="18" customHeight="1">
      <c r="A27" s="2" t="inlineStr">
        <is>
          <t>F8 – Dầm ngắn L(m) &lt;</t>
        </is>
      </c>
      <c r="B27" s="3" t="inlineStr">
        <is>
          <t>Nhịp có Ltt nhỏ hơn giá trị này (m): đai rải đều 1 bước.</t>
        </is>
      </c>
    </row>
    <row r="28" ht="139" customHeight="1">
      <c r="A28" s="2" t="inlineStr">
        <is>
          <t>J2 – Thép gia cường gối</t>
        </is>
      </c>
      <c r="B28" s="3" t="inlineStr">
        <is>
          <t>HỆ SỐ THÉP GIA CƯỜNG GỐI (J2)
Dấu phân cách quyết định cách đo:
  0.3/0.25/0.15  : L thông thủy, tính từ MÉP cột
  0.3\0.25\0.15 : L tim-tim, tính từ TIM cột
  0.3|0.25|0.15  : L tim-tim, tính từ MÉP cột
a = vươn thép mũ gối (x L), có thể theo lớp: 0.3;0.25
b = vùng đai dày (x L; &gt; 1 hiểu là mm, vd 0.3/600/0.15)
c = thép tăng cường TRÊN bụng nhịp (L - 2cL)
Thêm +15d: 0.3+15d
Để trống = lấy QS_DAMSET.</t>
        </is>
      </c>
    </row>
    <row r="29" ht="71.5" customHeight="1">
      <c r="A29" s="2" t="inlineStr">
        <is>
          <t>J3 – Thép gia cường nhịp</t>
        </is>
      </c>
      <c r="B29" s="3" t="inlineStr">
        <is>
          <t>HỆ SỐ THÉP GIA CƯỜNG NHỊP (J3), cùng quy ước dấu / \ | như J2
a = thép TC dưới bụng nhịp: L - 2aL
b = thép TC dưới tại gối: vươn bL
c = nhịp đầu / cuối: đầu thanh TC dưới cách mép gối biên cL
Để trống = lấy QS_DAMSET.</t>
        </is>
      </c>
    </row>
    <row r="30" ht="31" customHeight="1">
      <c r="A30" s="2" t="inlineStr">
        <is>
          <t>J4 – Neo thép trên (d)</t>
        </is>
      </c>
      <c r="B30" s="3" t="inlineStr">
        <is>
          <t>40 = 40d · 10;12-30d/40d · 10-500mm/12-600mm/...
Trống = QS_DAMSET</t>
        </is>
      </c>
    </row>
    <row r="31" ht="31" customHeight="1">
      <c r="A31" s="2" t="inlineStr">
        <is>
          <t>J5 – Neo thép dưới (d)</t>
        </is>
      </c>
      <c r="B31" s="3" t="inlineStr">
        <is>
          <t>40 = 40d · 10;12-30d/40d · 10-350mm/12-420mm/...
Trống = QS_DAMSET</t>
        </is>
      </c>
    </row>
    <row r="32" ht="31" customHeight="1">
      <c r="A32" s="2" t="inlineStr">
        <is>
          <t>J6 – Neo thép giá (d)</t>
        </is>
      </c>
      <c r="B32" s="3" t="inlineStr">
        <is>
          <t>40 = 40d · 10;12-30d/40d · 10-350mm/...
Trống = QS_DAMSET</t>
        </is>
      </c>
    </row>
    <row r="33" ht="18" customHeight="1">
      <c r="A33" s="2" t="inlineStr">
        <is>
          <t>J7 – Tên trục MCN dầm</t>
        </is>
      </c>
      <c r="B33" s="3" t="inlineStr">
        <is>
          <t>Tên trục ghi ở mặt cắt ngang (lưu, chưa dùng khi vẽ).</t>
        </is>
      </c>
    </row>
    <row r="34" ht="31" customHeight="1">
      <c r="A34" s="2" t="inlineStr">
        <is>
          <t>J8 – Lệch trục / Ẩn MC dọc</t>
        </is>
      </c>
      <c r="B34" s="3" t="inlineStr">
        <is>
          <t>Ltt = thêm dim nhịp thông thủy.
(100, Y, 100/Y: lưu theo DCE, chưa dùng.)</t>
        </is>
      </c>
    </row>
    <row r="35" ht="18" customHeight="1">
      <c r="A35" s="2" t="inlineStr">
        <is>
          <t>N2 – ĐK thép C đỡ lớp TC</t>
        </is>
      </c>
      <c r="B35" s="3" t="inlineStr">
        <is>
          <t>Ø thép C đỡ lớp tăng cường (mm). Trống = Ø đai.</t>
        </is>
      </c>
    </row>
    <row r="36" ht="71.5" customHeight="1">
      <c r="A36" s="2" t="inlineStr">
        <is>
          <t>N3 – KC thép C đỡ lớp TC</t>
        </is>
      </c>
      <c r="B36" s="3" t="inlineStr">
        <is>
          <t>KHOẢNG RẢI THÉP C ĐỠ LỚP TĂNG CƯỜNG (mm)
&gt; 0 : tự phân biệt lúc cần vẽ (có ≥ 2 lớp)
= 0 : không vẽ
&lt; 0 : luôn vẽ khi số thép dọc &gt; 2
1500mm : luôn vẽ khi số thép dọc ≥ 2</t>
        </is>
      </c>
    </row>
    <row r="37" ht="18" customHeight="1">
      <c r="A37" s="2" t="inlineStr">
        <is>
          <t>N4 – Đai C nối giữa thép giá</t>
        </is>
      </c>
      <c r="B37" s="3" t="inlineStr">
        <is>
          <t>None / So le / So le 2 / Toàn bộ</t>
        </is>
      </c>
    </row>
    <row r="38" ht="18" customHeight="1">
      <c r="A38" s="2" t="inlineStr">
        <is>
          <t>N5 – ĐK đai C nối 2 thép giá</t>
        </is>
      </c>
      <c r="B38" s="3" t="inlineStr">
        <is>
          <t>Ø đai C nối thép giá (mm). Trống = Ø đai.</t>
        </is>
      </c>
    </row>
    <row r="39" ht="31" customHeight="1">
      <c r="A39" s="2" t="inlineStr">
        <is>
          <t>N6 – KC đai C nối 2 thép giá</t>
        </is>
      </c>
      <c r="B39" s="3" t="inlineStr">
        <is>
          <t>400 = móc đai C quay LÊN · 400mm = quay XUỐNG
Trống = theo bước đai chính.</t>
        </is>
      </c>
    </row>
    <row r="40" ht="18" customHeight="1">
      <c r="A40" s="2" t="inlineStr">
        <is>
          <t>N7 – Giật cao độ dầm</t>
        </is>
      </c>
      <c r="B40" s="3" t="inlineStr">
        <is>
          <t>Mép trên / Mép dưới / Tùy chỉnh (lưu, chưa dùng khi vẽ).</t>
        </is>
      </c>
    </row>
    <row r="41" ht="18" customHeight="1">
      <c r="A41" s="2" t="inlineStr">
        <is>
          <t>N8 – Dày BT lót dưới dầm</t>
        </is>
      </c>
      <c r="B41" s="3" t="inlineStr">
        <is>
          <t>100 = BT lót dày 100 · 100/50 = dày 100, mở rộng mỗi bên 50 (mm).</t>
        </is>
      </c>
    </row>
    <row r="42" ht="31" customHeight="1">
      <c r="A42" s="2" t="inlineStr">
        <is>
          <t>CHƯA HỖ TRỢ</t>
        </is>
      </c>
      <c r="B42" s="3" t="inlineStr">
        <is>
          <t>Giật cấp mép trên / dưới (dòng 23, 25 số đầu ≠ 0), đổi tiết diện, móng băng (F3/F4/B12 dạng a/b/c), giật sàn T.LINK/-100/-200: QS_DAM cảnh báo và bỏ qua / chỉ đổi thép. Các ô J7, N7, J8 (trừ Ltt) được lưu theo DCE nhưng chưa dùng khi vẽ.</t>
        </is>
      </c>
    </row>
    <row r="43" ht="31" customHeight="1">
      <c r="A43" s="2" t="inlineStr">
        <is>
          <t>GIÁ TRỊ MẶC ĐỊNH</t>
        </is>
      </c>
      <c r="B43" s="3" t="inlineStr">
        <is>
          <t>Neo, hệ số vùng, móc đai, chiều dài nối để trống = lấy theo QS_DAMSET. Các giá trị mặc định CHƯA XÁC NHẬN – kỹ sư phụ trách kiểm tra theo thuyết minh dự án trước khi phát hành.</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FFC000"/>
    <outlinePr summaryBelow="1" summaryRight="1"/>
    <pageSetUpPr fitToPage="1"/>
  </sheetPr>
  <dimension ref="A1:AG126"/>
  <sheetViews>
    <sheetView showGridLines="0" tabSelected="1" zoomScale="90" workbookViewId="0">
      <pane xSplit="2" ySplit="10" topLeftCell="C11" activePane="bottomRight" state="frozen"/>
      <selection pane="topRight"/>
      <selection pane="bottomLeft"/>
      <selection pane="bottomRight" activeCell="A1" sqref="A1"/>
    </sheetView>
  </sheetViews>
  <sheetFormatPr baseColWidth="8" defaultRowHeight="15" outlineLevelRow="1"/>
  <cols>
    <col width="30" customWidth="1" min="1" max="1"/>
    <col width="9" customWidth="1" min="2" max="2"/>
    <col width="9.5" customWidth="1" min="3" max="3"/>
    <col width="10.5" customWidth="1" min="4" max="4"/>
    <col width="9.5" customWidth="1" min="5" max="5"/>
    <col width="10.5" customWidth="1" min="6" max="6"/>
    <col width="9.5" customWidth="1" min="7" max="7"/>
    <col width="10.5" customWidth="1" min="8" max="8"/>
    <col width="9.5" customWidth="1" min="9" max="9"/>
    <col width="10.5" customWidth="1" min="10" max="10"/>
    <col width="9.5" customWidth="1" min="11" max="11"/>
    <col width="10.5" customWidth="1" min="12" max="12"/>
    <col width="9.5" customWidth="1" min="13" max="13"/>
    <col width="10.5" customWidth="1" min="14" max="14"/>
    <col width="9.5" customWidth="1" min="15" max="15"/>
    <col width="10.5" customWidth="1" min="16" max="16"/>
    <col width="9.5" customWidth="1" min="17" max="17"/>
    <col width="10.5" customWidth="1" min="18" max="18"/>
    <col width="10.5" customWidth="1" min="19" max="19"/>
    <col width="10.5" customWidth="1" min="20" max="20"/>
    <col width="9.5" customWidth="1" min="21" max="21"/>
    <col width="10.5" customWidth="1" min="22" max="22"/>
    <col width="9.5" customWidth="1" min="23" max="23"/>
    <col width="10.5" customWidth="1" min="24" max="24"/>
    <col width="10.5" customWidth="1" min="25" max="25"/>
    <col width="10.5" customWidth="1" min="26" max="26"/>
    <col width="9.5" customWidth="1" min="27" max="27"/>
    <col width="10.5" customWidth="1" min="28" max="28"/>
    <col width="9.5" customWidth="1" min="29" max="29"/>
    <col width="10.5" customWidth="1" min="30" max="30"/>
    <col width="9.5" customWidth="1" min="31" max="31"/>
    <col width="10.5" customWidth="1" min="32" max="32"/>
    <col width="9.5" customWidth="1" min="33" max="33"/>
    <col width="3" customWidth="1" min="34" max="34"/>
    <col width="3" customWidth="1" min="35" max="35"/>
    <col width="3" customWidth="1" min="36" max="36"/>
  </cols>
  <sheetData>
    <row r="1" ht="17" customHeight="1">
      <c r="A1" s="4" t="inlineStr">
        <is>
          <t>QS_DAM_V2</t>
        </is>
      </c>
      <c r="C1" s="5" t="inlineStr">
        <is>
          <t>THÔNG TIN CẤU KIỆN</t>
        </is>
      </c>
      <c r="D1" s="6" t="n"/>
      <c r="E1" s="6" t="n"/>
      <c r="F1" s="6" t="n"/>
      <c r="G1" s="6" t="n"/>
      <c r="H1" s="6" t="n"/>
      <c r="I1" s="6" t="n"/>
      <c r="J1" s="6" t="n"/>
      <c r="K1" s="6" t="n"/>
      <c r="L1" s="6" t="n"/>
      <c r="M1" s="6" t="n"/>
      <c r="N1" s="6" t="n"/>
      <c r="P1" s="7" t="inlineStr">
        <is>
          <t>THÉP CHỜ 2 ĐẦU DẦM</t>
        </is>
      </c>
      <c r="Q1" s="6" t="n"/>
      <c r="R1" s="6" t="n"/>
      <c r="S1" s="6" t="n"/>
      <c r="T1" s="6" t="n"/>
      <c r="V1" s="7" t="inlineStr">
        <is>
          <t>TÙY CHỌN SÀN</t>
        </is>
      </c>
      <c r="W1" s="6" t="n"/>
      <c r="X1" s="6" t="n"/>
      <c r="Y1" s="6" t="n"/>
    </row>
    <row r="2" ht="17" customHeight="1">
      <c r="C2" s="8" t="inlineStr">
        <is>
          <t>Tên dầm:</t>
        </is>
      </c>
      <c r="D2" s="9" t="n"/>
      <c r="E2" s="9" t="n"/>
      <c r="F2" s="10" t="inlineStr">
        <is>
          <t>L1.B137-1,2,3,4,5,6,chờ 2,6</t>
        </is>
      </c>
      <c r="G2" s="8" t="inlineStr">
        <is>
          <t>Thép gia cường gối:</t>
        </is>
      </c>
      <c r="H2" s="9" t="n"/>
      <c r="I2" s="9" t="n"/>
      <c r="J2" s="10" t="inlineStr">
        <is>
          <t>0.25|0.25|0.15</t>
        </is>
      </c>
      <c r="K2" s="8" t="inlineStr">
        <is>
          <t>ĐK thép C đỡ lớp TC:</t>
        </is>
      </c>
      <c r="L2" s="9" t="n"/>
      <c r="M2" s="9" t="n"/>
      <c r="N2" s="10" t="n">
        <v>32</v>
      </c>
      <c r="P2" s="11" t="inlineStr">
        <is>
          <t>Mạch ngừng / zone sau</t>
        </is>
      </c>
      <c r="Q2" s="6" t="n"/>
      <c r="R2" s="6" t="n"/>
      <c r="S2" s="12" t="inlineStr">
        <is>
          <t>TRÁI</t>
        </is>
      </c>
      <c r="T2" s="12" t="inlineStr">
        <is>
          <t>PHẢI</t>
        </is>
      </c>
      <c r="V2" s="13" t="inlineStr">
        <is>
          <t>Tai sàn (phía có sàn)</t>
        </is>
      </c>
      <c r="W2" s="6" t="n"/>
      <c r="X2" s="6" t="n"/>
      <c r="Y2" s="14" t="inlineStr">
        <is>
          <t>2 ben</t>
        </is>
      </c>
    </row>
    <row r="3" ht="17" customHeight="1">
      <c r="C3" s="8" t="inlineStr">
        <is>
          <t>b dầm (mm):</t>
        </is>
      </c>
      <c r="D3" s="9" t="n"/>
      <c r="E3" s="9" t="n"/>
      <c r="F3" s="10" t="n">
        <v>400</v>
      </c>
      <c r="G3" s="8" t="inlineStr">
        <is>
          <t>Thép gia cường nhịp:</t>
        </is>
      </c>
      <c r="H3" s="9" t="n"/>
      <c r="I3" s="9" t="n"/>
      <c r="J3" s="10" t="inlineStr">
        <is>
          <t>0.15\0.25\0.1</t>
        </is>
      </c>
      <c r="K3" s="8" t="inlineStr">
        <is>
          <t>KC thép C đỡ lớp TC:</t>
        </is>
      </c>
      <c r="L3" s="9" t="n"/>
      <c r="M3" s="9" t="n"/>
      <c r="N3" s="10" t="inlineStr">
        <is>
          <t>-1500</t>
        </is>
      </c>
      <c r="P3" s="13" t="inlineStr">
        <is>
          <t>Kiểu thép chờ</t>
        </is>
      </c>
      <c r="Q3" s="6" t="n"/>
      <c r="R3" s="6" t="n"/>
      <c r="S3" s="14" t="inlineStr">
        <is>
          <t>Khong</t>
        </is>
      </c>
      <c r="T3" s="14" t="inlineStr">
        <is>
          <t>Khong</t>
        </is>
      </c>
      <c r="V3" s="13" t="inlineStr">
        <is>
          <t>Sàn lật (dầm úp)</t>
        </is>
      </c>
      <c r="W3" s="6" t="n"/>
      <c r="X3" s="6" t="n"/>
      <c r="Y3" s="14" t="inlineStr">
        <is>
          <t>Khong</t>
        </is>
      </c>
    </row>
    <row r="4" ht="17" customHeight="1">
      <c r="A4" s="15" t="inlineStr">
        <is>
          <t>NHẬP LIỆU DẦM – QS_VEDAM / QS_SHOPDAM</t>
        </is>
      </c>
      <c r="C4" s="8" t="inlineStr">
        <is>
          <t>h dầm (mm):</t>
        </is>
      </c>
      <c r="D4" s="9" t="n"/>
      <c r="E4" s="9" t="n"/>
      <c r="F4" s="10" t="n">
        <v>1000</v>
      </c>
      <c r="G4" s="8" t="inlineStr">
        <is>
          <t>Neo thép trên (d):</t>
        </is>
      </c>
      <c r="H4" s="9" t="n"/>
      <c r="I4" s="9" t="n"/>
      <c r="J4" s="10" t="inlineStr">
        <is>
          <t>10-500mm/12-600mm/14-690mm/16-790mm/18-890mm/20-990mm/22-1090mm/25-1230mm/28-1380mm/32-1580mm</t>
        </is>
      </c>
      <c r="K4" s="8" t="inlineStr">
        <is>
          <t>Đai C nối giữa thép giá:</t>
        </is>
      </c>
      <c r="L4" s="9" t="n"/>
      <c r="M4" s="9" t="n"/>
      <c r="N4" s="10" t="inlineStr">
        <is>
          <t>So le 2</t>
        </is>
      </c>
      <c r="P4" s="13" t="inlineStr">
        <is>
          <t>Lớp được chờ</t>
        </is>
      </c>
      <c r="Q4" s="6" t="n"/>
      <c r="R4" s="6" t="n"/>
      <c r="S4" s="14" t="inlineStr">
        <is>
          <t>TB</t>
        </is>
      </c>
      <c r="T4" s="14" t="inlineStr">
        <is>
          <t>TB</t>
        </is>
      </c>
    </row>
    <row r="5" ht="17" customHeight="1">
      <c r="A5" s="16" t="inlineStr">
        <is>
          <t>Nguyễn Xuân Phát
banhbaonxp@gmail.com
QS_DAM v3.1</t>
        </is>
      </c>
      <c r="C5" s="8" t="inlineStr">
        <is>
          <t>Số cấu kiện:</t>
        </is>
      </c>
      <c r="D5" s="9" t="n"/>
      <c r="E5" s="9" t="n"/>
      <c r="F5" s="10" t="inlineStr">
        <is>
          <t>1</t>
        </is>
      </c>
      <c r="G5" s="8" t="inlineStr">
        <is>
          <t>Neo thép dưới (d):</t>
        </is>
      </c>
      <c r="H5" s="9" t="n"/>
      <c r="I5" s="9" t="n"/>
      <c r="J5" s="10" t="inlineStr">
        <is>
          <t>10-350mm/12-420mm/14-480mm/16-550mm/18-620mm/20-690mm/22-760mm/25-860mm/28-960mm/32-1100mm</t>
        </is>
      </c>
      <c r="K5" s="8" t="inlineStr">
        <is>
          <t>ĐK đai C nối 2 thép giá:</t>
        </is>
      </c>
      <c r="L5" s="9" t="n"/>
      <c r="M5" s="9" t="n"/>
      <c r="N5" s="10" t="n">
        <v>10</v>
      </c>
      <c r="P5" s="13" t="inlineStr">
        <is>
          <t>Thanh được chờ</t>
        </is>
      </c>
      <c r="Q5" s="6" t="n"/>
      <c r="R5" s="6" t="n"/>
      <c r="S5" s="14" t="inlineStr">
        <is>
          <t>Tat ca</t>
        </is>
      </c>
      <c r="T5" s="14" t="inlineStr">
        <is>
          <t>Tat ca</t>
        </is>
      </c>
    </row>
    <row r="6" ht="17" customHeight="1">
      <c r="C6" s="8" t="inlineStr">
        <is>
          <t>Cao trình dầm (m):</t>
        </is>
      </c>
      <c r="D6" s="9" t="n"/>
      <c r="E6" s="9" t="n"/>
      <c r="F6" s="17" t="n">
        <v>-0.1</v>
      </c>
      <c r="G6" s="8" t="inlineStr">
        <is>
          <t>Neo thép giá (d):</t>
        </is>
      </c>
      <c r="H6" s="9" t="n"/>
      <c r="I6" s="9" t="n"/>
      <c r="J6" s="10" t="inlineStr">
        <is>
          <t>10-350mm/12-420mm/14-480mm/16-550mm/18-620mm/20-690mm/22-760mm/25-860mm/28-960mm/32-1100mm</t>
        </is>
      </c>
      <c r="K6" s="8" t="inlineStr">
        <is>
          <t>KC đai C nối 2 thép giá:</t>
        </is>
      </c>
      <c r="L6" s="9" t="n"/>
      <c r="M6" s="9" t="n"/>
      <c r="N6" s="10" t="inlineStr">
        <is>
          <t>400</t>
        </is>
      </c>
      <c r="P6" s="13" t="inlineStr">
        <is>
          <t>L chờ</t>
        </is>
      </c>
      <c r="Q6" s="6" t="n"/>
      <c r="R6" s="6" t="n"/>
      <c r="S6" s="14" t="inlineStr">
        <is>
          <t>AUTO</t>
        </is>
      </c>
      <c r="T6" s="14" t="inlineStr">
        <is>
          <t>AUTO</t>
        </is>
      </c>
    </row>
    <row r="7" ht="17" customHeight="1">
      <c r="C7" s="8" t="inlineStr">
        <is>
          <t>h sàn (mm):</t>
        </is>
      </c>
      <c r="D7" s="9" t="n"/>
      <c r="E7" s="9" t="n"/>
      <c r="F7" s="10" t="n">
        <v>200</v>
      </c>
      <c r="G7" s="8" t="inlineStr">
        <is>
          <t>Tên trục MCN dầm:</t>
        </is>
      </c>
      <c r="H7" s="9" t="n"/>
      <c r="I7" s="9" t="n"/>
      <c r="J7" s="10" t="n"/>
      <c r="K7" s="8" t="inlineStr">
        <is>
          <t>Giật cao độ dầm:</t>
        </is>
      </c>
      <c r="L7" s="9" t="n"/>
      <c r="M7" s="9" t="n"/>
      <c r="N7" s="10" t="inlineStr">
        <is>
          <t>Mép dưới</t>
        </is>
      </c>
      <c r="P7" s="13" t="inlineStr">
        <is>
          <t>Chờ so le 50%</t>
        </is>
      </c>
      <c r="Q7" s="6" t="n"/>
      <c r="R7" s="6" t="n"/>
      <c r="S7" s="14" t="inlineStr">
        <is>
          <t>Khong</t>
        </is>
      </c>
      <c r="T7" s="14" t="inlineStr">
        <is>
          <t>Khong</t>
        </is>
      </c>
    </row>
    <row r="8" ht="17" customHeight="1">
      <c r="A8" s="18" t="inlineStr">
        <is>
          <t>Ô trắng = nhập · ▼ = có danh sách</t>
        </is>
      </c>
      <c r="C8" s="8" t="inlineStr">
        <is>
          <t>Dầm ngắn L(m) &lt;</t>
        </is>
      </c>
      <c r="D8" s="9" t="n"/>
      <c r="E8" s="9" t="n"/>
      <c r="F8" s="10" t="n">
        <v>2.5</v>
      </c>
      <c r="G8" s="8" t="inlineStr">
        <is>
          <t>Lệch trục / Ẩn MC dọc:</t>
        </is>
      </c>
      <c r="H8" s="9" t="n"/>
      <c r="I8" s="9" t="n"/>
      <c r="J8" s="10" t="n"/>
      <c r="K8" s="8" t="inlineStr">
        <is>
          <t>Dày BT lót dưới dầm:</t>
        </is>
      </c>
      <c r="L8" s="9" t="n"/>
      <c r="M8" s="9" t="n"/>
      <c r="N8" s="10" t="n"/>
    </row>
    <row r="9">
      <c r="A9" s="19" t="inlineStr">
        <is>
          <t>TÌNH TRẠNG SỐ LIỆU:</t>
        </is>
      </c>
      <c r="B9" s="20" t="n"/>
      <c r="C9" s="21">
        <f>IF(SUMPRODUCT((MOD(COLUMN(C63:AG63),2)=0)*C63:AG63)=0,"Chưa có nhịp: nhập bề rộng gối + L thông thủy ở dòng 11",IF(SUMPRODUCT((C44:AG44&lt;&gt;"")*(C44:AG44&lt;&gt;"OK"))+((IFERROR(LEFT(LEFT($B$125,FIND("+",$B$125&amp;"+")-1),FIND("t",LEFT($B$125,FIND("+",$B$125&amp;"+")-1))-1)*MID(LEFT($B$125,FIND("+",$B$125&amp;"+")-1),FIND("t",LEFT($B$125,FIND("+",$B$125&amp;"+")-1))+1,2)^2*PI()/400,0)+IFERROR(LEFT(MID($B$125,FIND("+",$B$125&amp;"+")+1,99),FIND("t",MID($B$125,FIND("+",$B$125&amp;"+")+1,99))-1)*MID(MID($B$125,FIND("+",$B$125&amp;"+")+1,99),FIND("t",MID($B$125,FIND("+",$B$125&amp;"+")+1,99))+1,2)^2*PI()/400,0))=0)+((IFERROR(LEFT(LEFT($B$126,FIND("+",$B$126&amp;"+")-1),FIND("t",LEFT($B$126,FIND("+",$B$126&amp;"+")-1))-1)*MID(LEFT($B$126,FIND("+",$B$126&amp;"+")-1),FIND("t",LEFT($B$126,FIND("+",$B$126&amp;"+")-1))+1,2)^2*PI()/400,0)+IFERROR(LEFT(MID($B$126,FIND("+",$B$126&amp;"+")+1,99),FIND("t",MID($B$126,FIND("+",$B$126&amp;"+")+1,99))-1)*MID(MID($B$126,FIND("+",$B$126&amp;"+")+1,99),FIND("t",MID($B$126,FIND("+",$B$126&amp;"+")+1,99))+1,2)^2*PI()/400,0))=0)=0,"✔  Số liệu hợp lệ – "&amp;SUMPRODUCT((MOD(COLUMN(C63:AG63),2)=0)*C63:AG63)&amp;" nhịp, tổng chiều dài dầm L = "&amp;FIXED(SUMIF(C63:AG63,1,C60:AG60),0)&amp;" mm","✖  Có "&amp;(SUMPRODUCT((C44:AG44&lt;&gt;"")*(C44:AG44&lt;&gt;"OK"))+((IFERROR(LEFT(LEFT($B$125,FIND("+",$B$125&amp;"+")-1),FIND("t",LEFT($B$125,FIND("+",$B$125&amp;"+")-1))-1)*MID(LEFT($B$125,FIND("+",$B$125&amp;"+")-1),FIND("t",LEFT($B$125,FIND("+",$B$125&amp;"+")-1))+1,2)^2*PI()/400,0)+IFERROR(LEFT(MID($B$125,FIND("+",$B$125&amp;"+")+1,99),FIND("t",MID($B$125,FIND("+",$B$125&amp;"+")+1,99))-1)*MID(MID($B$125,FIND("+",$B$125&amp;"+")+1,99),FIND("t",MID($B$125,FIND("+",$B$125&amp;"+")+1,99))+1,2)^2*PI()/400,0))=0)+((IFERROR(LEFT(LEFT($B$126,FIND("+",$B$126&amp;"+")-1),FIND("t",LEFT($B$126,FIND("+",$B$126&amp;"+")-1))-1)*MID(LEFT($B$126,FIND("+",$B$126&amp;"+")-1),FIND("t",LEFT($B$126,FIND("+",$B$126&amp;"+")-1))+1,2)^2*PI()/400,0)+IFERROR(LEFT(MID($B$126,FIND("+",$B$126&amp;"+")+1,99),FIND("t",MID($B$126,FIND("+",$B$126&amp;"+")+1,99))-1)*MID(MID($B$126,FIND("+",$B$126&amp;"+")+1,99),FIND("t",MID($B$126,FIND("+",$B$126&amp;"+")+1,99))+1,2)^2*PI()/400,0))=0))&amp;" lỗi – xem dòng 44 (KIỂM TRA SỐ LIỆU) và ô B11 / B12"))</f>
        <v/>
      </c>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row>
    <row r="10" ht="18" customHeight="1">
      <c r="A10" s="23" t="inlineStr">
        <is>
          <t>HẠNG MỤC</t>
        </is>
      </c>
      <c r="B10" s="24" t="inlineStr">
        <is>
          <t>Chạy suốt</t>
        </is>
      </c>
      <c r="C10" s="25" t="inlineStr">
        <is>
          <t>Gối 1</t>
        </is>
      </c>
      <c r="D10" s="26" t="inlineStr">
        <is>
          <t>Nhịp 1</t>
        </is>
      </c>
      <c r="E10" s="25" t="inlineStr">
        <is>
          <t>Gối 2</t>
        </is>
      </c>
      <c r="F10" s="26" t="inlineStr">
        <is>
          <t>Nhịp 2</t>
        </is>
      </c>
      <c r="G10" s="25" t="inlineStr">
        <is>
          <t>Gối 3</t>
        </is>
      </c>
      <c r="H10" s="26" t="inlineStr">
        <is>
          <t>Nhịp 3</t>
        </is>
      </c>
      <c r="I10" s="25" t="inlineStr">
        <is>
          <t>Gối 4</t>
        </is>
      </c>
      <c r="J10" s="26" t="inlineStr">
        <is>
          <t>Nhịp 4</t>
        </is>
      </c>
      <c r="K10" s="25" t="inlineStr">
        <is>
          <t>Gối 5</t>
        </is>
      </c>
      <c r="L10" s="26" t="inlineStr">
        <is>
          <t>Nhịp 5</t>
        </is>
      </c>
      <c r="M10" s="25" t="inlineStr">
        <is>
          <t>Gối 6</t>
        </is>
      </c>
      <c r="N10" s="26" t="inlineStr">
        <is>
          <t>Nhịp 6</t>
        </is>
      </c>
      <c r="O10" s="25" t="inlineStr">
        <is>
          <t>Gối 7</t>
        </is>
      </c>
      <c r="P10" s="26" t="inlineStr">
        <is>
          <t>Nhịp 7</t>
        </is>
      </c>
      <c r="Q10" s="25" t="inlineStr">
        <is>
          <t>Gối 8</t>
        </is>
      </c>
      <c r="R10" s="26" t="inlineStr">
        <is>
          <t>Nhịp 8</t>
        </is>
      </c>
      <c r="S10" s="25" t="inlineStr">
        <is>
          <t>Gối 9</t>
        </is>
      </c>
      <c r="T10" s="26" t="inlineStr">
        <is>
          <t>Nhịp 9</t>
        </is>
      </c>
      <c r="U10" s="25" t="inlineStr">
        <is>
          <t>Gối 10</t>
        </is>
      </c>
      <c r="V10" s="26" t="inlineStr">
        <is>
          <t>Nhịp 10</t>
        </is>
      </c>
      <c r="W10" s="25" t="inlineStr">
        <is>
          <t>Gối 11</t>
        </is>
      </c>
      <c r="X10" s="26" t="inlineStr">
        <is>
          <t>Nhịp 11</t>
        </is>
      </c>
      <c r="Y10" s="25" t="inlineStr">
        <is>
          <t>Gối 12</t>
        </is>
      </c>
      <c r="Z10" s="26" t="inlineStr">
        <is>
          <t>Nhịp 12</t>
        </is>
      </c>
      <c r="AA10" s="25" t="inlineStr">
        <is>
          <t>Gối 13</t>
        </is>
      </c>
      <c r="AB10" s="26" t="inlineStr">
        <is>
          <t>Nhịp 13</t>
        </is>
      </c>
      <c r="AC10" s="25" t="inlineStr">
        <is>
          <t>Gối 14</t>
        </is>
      </c>
      <c r="AD10" s="26" t="inlineStr">
        <is>
          <t>Nhịp 14</t>
        </is>
      </c>
      <c r="AE10" s="25" t="inlineStr">
        <is>
          <t>Gối 15</t>
        </is>
      </c>
      <c r="AF10" s="26" t="inlineStr">
        <is>
          <t>Nhịp 15</t>
        </is>
      </c>
      <c r="AG10" s="27" t="inlineStr">
        <is>
          <t>Gối 16</t>
        </is>
      </c>
    </row>
    <row r="11" ht="27" customHeight="1">
      <c r="A11" s="28" t="inlineStr">
        <is>
          <t>Thép chạy suốt TRÊN  |  Gối: bề rộng  ·  Nhịp: L thông thủy</t>
        </is>
      </c>
      <c r="B11" s="29" t="inlineStr">
        <is>
          <t>3t28</t>
        </is>
      </c>
      <c r="C11" s="30" t="n">
        <v>300</v>
      </c>
      <c r="D11" s="31" t="n">
        <v>7250</v>
      </c>
      <c r="E11" s="30" t="n">
        <v>900</v>
      </c>
      <c r="F11" s="31" t="n">
        <v>8200</v>
      </c>
      <c r="G11" s="30" t="n">
        <v>900</v>
      </c>
      <c r="H11" s="31" t="n">
        <v>7500</v>
      </c>
      <c r="I11" s="30" t="n">
        <v>900</v>
      </c>
      <c r="J11" s="31" t="n">
        <v>7550</v>
      </c>
      <c r="K11" s="30" t="n">
        <v>800</v>
      </c>
      <c r="L11" s="31" t="n">
        <v>6940</v>
      </c>
      <c r="M11" s="30" t="n">
        <v>760</v>
      </c>
      <c r="N11" s="31" t="n">
        <v>8700</v>
      </c>
      <c r="O11" s="30" t="n">
        <v>1000</v>
      </c>
      <c r="P11" s="31" t="n"/>
      <c r="Q11" s="30" t="n"/>
      <c r="R11" s="31" t="n"/>
      <c r="S11" s="30" t="n"/>
      <c r="T11" s="31" t="n"/>
      <c r="U11" s="30" t="n"/>
      <c r="V11" s="31" t="n"/>
      <c r="W11" s="30" t="n"/>
      <c r="X11" s="31" t="n"/>
      <c r="Y11" s="30" t="n"/>
      <c r="Z11" s="31" t="n"/>
      <c r="AA11" s="30" t="n"/>
      <c r="AB11" s="31" t="n"/>
      <c r="AC11" s="30" t="n"/>
      <c r="AD11" s="31" t="n"/>
      <c r="AE11" s="30" t="n"/>
      <c r="AF11" s="31" t="n"/>
      <c r="AG11" s="32" t="n"/>
    </row>
    <row r="12" ht="27" customHeight="1">
      <c r="A12" s="28" t="inlineStr">
        <is>
          <t>Thép chạy suốt DƯỚI  |  Gối: đai trong cột  ·  Nhịp: b nhịp</t>
        </is>
      </c>
      <c r="B12" s="29" t="inlineStr">
        <is>
          <t>3t28</t>
        </is>
      </c>
      <c r="C12" s="33" t="n"/>
      <c r="D12" s="34" t="n"/>
      <c r="E12" s="33" t="n"/>
      <c r="F12" s="34" t="n"/>
      <c r="G12" s="33" t="n"/>
      <c r="H12" s="34" t="n">
        <v>500</v>
      </c>
      <c r="I12" s="33" t="n"/>
      <c r="J12" s="34" t="n"/>
      <c r="K12" s="33" t="n"/>
      <c r="L12" s="34" t="n">
        <v>400</v>
      </c>
      <c r="M12" s="33" t="n"/>
      <c r="N12" s="34" t="n"/>
      <c r="O12" s="33" t="n"/>
      <c r="P12" s="34" t="n"/>
      <c r="Q12" s="33" t="n"/>
      <c r="R12" s="34" t="n"/>
      <c r="S12" s="33" t="n"/>
      <c r="T12" s="34" t="n"/>
      <c r="U12" s="33" t="n"/>
      <c r="V12" s="34" t="n"/>
      <c r="W12" s="33" t="n"/>
      <c r="X12" s="34" t="n"/>
      <c r="Y12" s="33" t="n"/>
      <c r="Z12" s="34" t="n"/>
      <c r="AA12" s="33" t="n"/>
      <c r="AB12" s="34" t="n"/>
      <c r="AC12" s="33" t="n"/>
      <c r="AD12" s="34" t="n"/>
      <c r="AE12" s="33" t="n"/>
      <c r="AF12" s="34" t="n"/>
      <c r="AG12" s="35" t="n"/>
    </row>
    <row r="13" ht="16" customHeight="1">
      <c r="A13" s="36" t="inlineStr">
        <is>
          <t>THÉP TĂNG CƯỜNG
LỚP TRÊN</t>
        </is>
      </c>
      <c r="B13" s="11" t="inlineStr">
        <is>
          <t>Lớp 1</t>
        </is>
      </c>
      <c r="C13" s="37" t="n"/>
      <c r="D13" s="38" t="n"/>
      <c r="E13" s="37" t="n"/>
      <c r="F13" s="38" t="n"/>
      <c r="G13" s="37" t="n"/>
      <c r="H13" s="38" t="n"/>
      <c r="I13" s="37" t="n"/>
      <c r="J13" s="38" t="n"/>
      <c r="K13" s="37" t="n"/>
      <c r="L13" s="38" t="n"/>
      <c r="M13" s="37" t="n"/>
      <c r="N13" s="38" t="n"/>
      <c r="O13" s="37" t="n"/>
      <c r="P13" s="38" t="n"/>
      <c r="Q13" s="37" t="n"/>
      <c r="R13" s="38" t="n"/>
      <c r="S13" s="37" t="n"/>
      <c r="T13" s="38" t="n"/>
      <c r="U13" s="37" t="n"/>
      <c r="V13" s="38" t="n"/>
      <c r="W13" s="37" t="n"/>
      <c r="X13" s="38" t="n"/>
      <c r="Y13" s="37" t="n"/>
      <c r="Z13" s="38" t="n"/>
      <c r="AA13" s="37" t="n"/>
      <c r="AB13" s="38" t="n"/>
      <c r="AC13" s="37" t="n"/>
      <c r="AD13" s="38" t="n"/>
      <c r="AE13" s="37" t="n"/>
      <c r="AF13" s="38" t="n"/>
      <c r="AG13" s="39" t="n"/>
    </row>
    <row r="14" ht="16" customHeight="1">
      <c r="A14" s="40" t="n"/>
      <c r="B14" s="11" t="inlineStr">
        <is>
          <t>Lớp 2</t>
        </is>
      </c>
      <c r="C14" s="37" t="inlineStr">
        <is>
          <t>3t28</t>
        </is>
      </c>
      <c r="D14" s="38" t="n"/>
      <c r="E14" s="37" t="inlineStr">
        <is>
          <t>3t28</t>
        </is>
      </c>
      <c r="F14" s="38" t="n"/>
      <c r="G14" s="37" t="inlineStr">
        <is>
          <t>3t28;5t28</t>
        </is>
      </c>
      <c r="H14" s="38" t="n"/>
      <c r="I14" s="37" t="inlineStr">
        <is>
          <t>5t28</t>
        </is>
      </c>
      <c r="J14" s="38" t="n"/>
      <c r="K14" s="37" t="inlineStr">
        <is>
          <t>5t28;3t28</t>
        </is>
      </c>
      <c r="L14" s="38" t="n"/>
      <c r="M14" s="37" t="inlineStr">
        <is>
          <t>3t28</t>
        </is>
      </c>
      <c r="N14" s="38" t="n"/>
      <c r="O14" s="37" t="inlineStr">
        <is>
          <t>-</t>
        </is>
      </c>
      <c r="P14" s="38" t="n"/>
      <c r="Q14" s="37" t="n"/>
      <c r="R14" s="38" t="n"/>
      <c r="S14" s="37" t="n"/>
      <c r="T14" s="38" t="n"/>
      <c r="U14" s="37" t="n"/>
      <c r="V14" s="38" t="n"/>
      <c r="W14" s="37" t="n"/>
      <c r="X14" s="38" t="n"/>
      <c r="Y14" s="37" t="n"/>
      <c r="Z14" s="38" t="n"/>
      <c r="AA14" s="37" t="n"/>
      <c r="AB14" s="38" t="n"/>
      <c r="AC14" s="37" t="n"/>
      <c r="AD14" s="38" t="n"/>
      <c r="AE14" s="37" t="n"/>
      <c r="AF14" s="38" t="n"/>
      <c r="AG14" s="39" t="n"/>
    </row>
    <row r="15" ht="16" customHeight="1">
      <c r="A15" s="40" t="n"/>
      <c r="B15" s="11" t="inlineStr">
        <is>
          <t>Lớp 3</t>
        </is>
      </c>
      <c r="C15" s="37" t="inlineStr">
        <is>
          <t>2t25</t>
        </is>
      </c>
      <c r="D15" s="38" t="n"/>
      <c r="E15" s="37" t="inlineStr">
        <is>
          <t>3t28</t>
        </is>
      </c>
      <c r="F15" s="38" t="n"/>
      <c r="G15" s="37" t="inlineStr">
        <is>
          <t>2t25</t>
        </is>
      </c>
      <c r="H15" s="38" t="n"/>
      <c r="I15" s="37" t="inlineStr">
        <is>
          <t>5t28</t>
        </is>
      </c>
      <c r="J15" s="38" t="n"/>
      <c r="K15" s="37" t="inlineStr">
        <is>
          <t>;2t28</t>
        </is>
      </c>
      <c r="L15" s="38" t="n"/>
      <c r="M15" s="37" t="n"/>
      <c r="N15" s="38" t="n"/>
      <c r="O15" s="37" t="inlineStr">
        <is>
          <t>2t25</t>
        </is>
      </c>
      <c r="P15" s="38" t="n"/>
      <c r="Q15" s="37" t="n"/>
      <c r="R15" s="38" t="n"/>
      <c r="S15" s="37" t="n"/>
      <c r="T15" s="38" t="n"/>
      <c r="U15" s="37" t="n"/>
      <c r="V15" s="38" t="n"/>
      <c r="W15" s="37" t="n"/>
      <c r="X15" s="38" t="n"/>
      <c r="Y15" s="37" t="n"/>
      <c r="Z15" s="38" t="n"/>
      <c r="AA15" s="37" t="n"/>
      <c r="AB15" s="38" t="n"/>
      <c r="AC15" s="37" t="n"/>
      <c r="AD15" s="38" t="n"/>
      <c r="AE15" s="37" t="n"/>
      <c r="AF15" s="38" t="n"/>
      <c r="AG15" s="39" t="n"/>
    </row>
    <row r="16" ht="16" customHeight="1">
      <c r="A16" s="40" t="n"/>
      <c r="B16" s="11" t="inlineStr">
        <is>
          <t>Lớp 4</t>
        </is>
      </c>
      <c r="C16" s="37" t="n"/>
      <c r="D16" s="38" t="n"/>
      <c r="E16" s="37" t="n"/>
      <c r="F16" s="38" t="n"/>
      <c r="G16" s="37" t="n"/>
      <c r="H16" s="38" t="n"/>
      <c r="I16" s="37" t="inlineStr">
        <is>
          <t>3t28</t>
        </is>
      </c>
      <c r="J16" s="38" t="n"/>
      <c r="K16" s="37" t="n"/>
      <c r="L16" s="38" t="n"/>
      <c r="M16" s="37" t="n"/>
      <c r="N16" s="38" t="n"/>
      <c r="O16" s="37" t="n"/>
      <c r="P16" s="38" t="n"/>
      <c r="Q16" s="37" t="n"/>
      <c r="R16" s="38" t="n"/>
      <c r="S16" s="37" t="n"/>
      <c r="T16" s="38" t="n"/>
      <c r="U16" s="37" t="n"/>
      <c r="V16" s="38" t="n"/>
      <c r="W16" s="37" t="n"/>
      <c r="X16" s="38" t="n"/>
      <c r="Y16" s="37" t="n"/>
      <c r="Z16" s="38" t="n"/>
      <c r="AA16" s="37" t="n"/>
      <c r="AB16" s="38" t="n"/>
      <c r="AC16" s="37" t="n"/>
      <c r="AD16" s="38" t="n"/>
      <c r="AE16" s="37" t="n"/>
      <c r="AF16" s="38" t="n"/>
      <c r="AG16" s="39" t="n"/>
    </row>
    <row r="17" ht="16" customHeight="1">
      <c r="A17" s="40" t="n"/>
      <c r="B17" s="11" t="inlineStr">
        <is>
          <t>Lớp 5</t>
        </is>
      </c>
      <c r="C17" s="37" t="n"/>
      <c r="D17" s="38" t="n"/>
      <c r="E17" s="37" t="n"/>
      <c r="F17" s="38" t="n"/>
      <c r="G17" s="37" t="n"/>
      <c r="H17" s="38" t="n"/>
      <c r="I17" s="37" t="n"/>
      <c r="J17" s="38" t="n"/>
      <c r="K17" s="37" t="n"/>
      <c r="L17" s="38" t="n"/>
      <c r="M17" s="37" t="n"/>
      <c r="N17" s="38" t="n"/>
      <c r="O17" s="37" t="n"/>
      <c r="P17" s="38" t="n"/>
      <c r="Q17" s="37" t="n"/>
      <c r="R17" s="38" t="n"/>
      <c r="S17" s="37" t="n"/>
      <c r="T17" s="38" t="n"/>
      <c r="U17" s="37" t="n"/>
      <c r="V17" s="38" t="n"/>
      <c r="W17" s="37" t="n"/>
      <c r="X17" s="38" t="n"/>
      <c r="Y17" s="37" t="n"/>
      <c r="Z17" s="38" t="n"/>
      <c r="AA17" s="37" t="n"/>
      <c r="AB17" s="38" t="n"/>
      <c r="AC17" s="37" t="n"/>
      <c r="AD17" s="38" t="n"/>
      <c r="AE17" s="37" t="n"/>
      <c r="AF17" s="38" t="n"/>
      <c r="AG17" s="39" t="n"/>
    </row>
    <row r="18" ht="16" customHeight="1">
      <c r="A18" s="36" t="inlineStr">
        <is>
          <t>THÉP TĂNG CƯỜNG
LỚP DƯỚI</t>
        </is>
      </c>
      <c r="B18" s="11" t="inlineStr">
        <is>
          <t>Lớp 5</t>
        </is>
      </c>
      <c r="C18" s="37" t="n"/>
      <c r="D18" s="38" t="n"/>
      <c r="E18" s="37" t="n"/>
      <c r="F18" s="38" t="n"/>
      <c r="G18" s="37" t="n"/>
      <c r="H18" s="38" t="n"/>
      <c r="I18" s="37" t="n"/>
      <c r="J18" s="38" t="n"/>
      <c r="K18" s="37" t="n"/>
      <c r="L18" s="38" t="n"/>
      <c r="M18" s="37" t="n"/>
      <c r="N18" s="38" t="n"/>
      <c r="O18" s="37" t="n"/>
      <c r="P18" s="38" t="n"/>
      <c r="Q18" s="37" t="n"/>
      <c r="R18" s="38" t="n"/>
      <c r="S18" s="37" t="n"/>
      <c r="T18" s="38" t="n"/>
      <c r="U18" s="37" t="n"/>
      <c r="V18" s="38" t="n"/>
      <c r="W18" s="37" t="n"/>
      <c r="X18" s="38" t="n"/>
      <c r="Y18" s="37" t="n"/>
      <c r="Z18" s="38" t="n"/>
      <c r="AA18" s="37" t="n"/>
      <c r="AB18" s="38" t="n"/>
      <c r="AC18" s="37" t="n"/>
      <c r="AD18" s="38" t="n"/>
      <c r="AE18" s="37" t="n"/>
      <c r="AF18" s="38" t="n"/>
      <c r="AG18" s="39" t="n"/>
    </row>
    <row r="19" ht="16" customHeight="1">
      <c r="A19" s="40" t="n"/>
      <c r="B19" s="11" t="inlineStr">
        <is>
          <t>Lớp 4</t>
        </is>
      </c>
      <c r="C19" s="37" t="n"/>
      <c r="D19" s="38" t="n"/>
      <c r="E19" s="37" t="n"/>
      <c r="F19" s="38" t="n"/>
      <c r="G19" s="37" t="n"/>
      <c r="H19" s="38" t="n"/>
      <c r="I19" s="37" t="n"/>
      <c r="J19" s="38" t="n"/>
      <c r="K19" s="37" t="n"/>
      <c r="L19" s="38" t="n"/>
      <c r="M19" s="37" t="n"/>
      <c r="N19" s="38" t="n"/>
      <c r="O19" s="37" t="n"/>
      <c r="P19" s="38" t="n"/>
      <c r="Q19" s="37" t="n"/>
      <c r="R19" s="38" t="n"/>
      <c r="S19" s="37" t="n"/>
      <c r="T19" s="38" t="n"/>
      <c r="U19" s="37" t="n"/>
      <c r="V19" s="38" t="n"/>
      <c r="W19" s="37" t="n"/>
      <c r="X19" s="38" t="n"/>
      <c r="Y19" s="37" t="n"/>
      <c r="Z19" s="38" t="n"/>
      <c r="AA19" s="37" t="n"/>
      <c r="AB19" s="38" t="n"/>
      <c r="AC19" s="37" t="n"/>
      <c r="AD19" s="38" t="n"/>
      <c r="AE19" s="37" t="n"/>
      <c r="AF19" s="38" t="n"/>
      <c r="AG19" s="39" t="n"/>
    </row>
    <row r="20" ht="16" customHeight="1">
      <c r="A20" s="40" t="n"/>
      <c r="B20" s="11" t="inlineStr">
        <is>
          <t>Lớp 3</t>
        </is>
      </c>
      <c r="C20" s="37" t="n"/>
      <c r="D20" s="38" t="inlineStr">
        <is>
          <t>3t25</t>
        </is>
      </c>
      <c r="E20" s="37" t="n"/>
      <c r="F20" s="38" t="inlineStr">
        <is>
          <t>2t25</t>
        </is>
      </c>
      <c r="G20" s="37" t="n"/>
      <c r="H20" s="38" t="n"/>
      <c r="I20" s="37" t="n"/>
      <c r="J20" s="38" t="n"/>
      <c r="K20" s="37" t="n"/>
      <c r="L20" s="38" t="n"/>
      <c r="M20" s="37" t="n"/>
      <c r="N20" s="38" t="n"/>
      <c r="O20" s="37" t="n"/>
      <c r="P20" s="38" t="n"/>
      <c r="Q20" s="37" t="n"/>
      <c r="R20" s="38" t="n"/>
      <c r="S20" s="37" t="n"/>
      <c r="T20" s="38" t="n"/>
      <c r="U20" s="37" t="n"/>
      <c r="V20" s="38" t="n"/>
      <c r="W20" s="37" t="n"/>
      <c r="X20" s="38" t="n"/>
      <c r="Y20" s="37" t="n"/>
      <c r="Z20" s="38" t="n"/>
      <c r="AA20" s="37" t="n"/>
      <c r="AB20" s="38" t="n"/>
      <c r="AC20" s="37" t="n"/>
      <c r="AD20" s="38" t="n"/>
      <c r="AE20" s="37" t="n"/>
      <c r="AF20" s="38" t="n"/>
      <c r="AG20" s="39" t="n"/>
    </row>
    <row r="21" ht="16" customHeight="1">
      <c r="A21" s="40" t="n"/>
      <c r="B21" s="11" t="inlineStr">
        <is>
          <t>Lớp 2</t>
        </is>
      </c>
      <c r="C21" s="37" t="n"/>
      <c r="D21" s="38" t="inlineStr">
        <is>
          <t>3t28</t>
        </is>
      </c>
      <c r="E21" s="37" t="n"/>
      <c r="F21" s="38" t="inlineStr">
        <is>
          <t>3t28</t>
        </is>
      </c>
      <c r="G21" s="37" t="n"/>
      <c r="H21" s="38" t="inlineStr">
        <is>
          <t>5t28</t>
        </is>
      </c>
      <c r="I21" s="37" t="n"/>
      <c r="J21" s="38" t="inlineStr">
        <is>
          <t>3t28</t>
        </is>
      </c>
      <c r="K21" s="37" t="n"/>
      <c r="L21" s="38" t="inlineStr">
        <is>
          <t>2t25</t>
        </is>
      </c>
      <c r="M21" s="37" t="n"/>
      <c r="N21" s="38" t="inlineStr">
        <is>
          <t>2t25</t>
        </is>
      </c>
      <c r="O21" s="37" t="n"/>
      <c r="P21" s="38" t="n"/>
      <c r="Q21" s="37" t="n"/>
      <c r="R21" s="38" t="n"/>
      <c r="S21" s="37" t="n"/>
      <c r="T21" s="38" t="n"/>
      <c r="U21" s="37" t="n"/>
      <c r="V21" s="38" t="n"/>
      <c r="W21" s="37" t="n"/>
      <c r="X21" s="38" t="n"/>
      <c r="Y21" s="37" t="n"/>
      <c r="Z21" s="38" t="n"/>
      <c r="AA21" s="37" t="n"/>
      <c r="AB21" s="38" t="n"/>
      <c r="AC21" s="37" t="n"/>
      <c r="AD21" s="38" t="n"/>
      <c r="AE21" s="37" t="n"/>
      <c r="AF21" s="38" t="n"/>
      <c r="AG21" s="39" t="n"/>
    </row>
    <row r="22" ht="16" customHeight="1">
      <c r="A22" s="40" t="n"/>
      <c r="B22" s="11" t="inlineStr">
        <is>
          <t>Lớp 1</t>
        </is>
      </c>
      <c r="C22" s="37" t="n"/>
      <c r="D22" s="38" t="n"/>
      <c r="E22" s="37" t="n"/>
      <c r="F22" s="38" t="n"/>
      <c r="G22" s="37" t="n"/>
      <c r="H22" s="38" t="n"/>
      <c r="I22" s="37" t="n"/>
      <c r="J22" s="38" t="n"/>
      <c r="K22" s="37" t="n"/>
      <c r="L22" s="38" t="n"/>
      <c r="M22" s="37" t="n"/>
      <c r="N22" s="38" t="n"/>
      <c r="O22" s="37" t="n"/>
      <c r="P22" s="38" t="n"/>
      <c r="Q22" s="37" t="n"/>
      <c r="R22" s="38" t="n"/>
      <c r="S22" s="37" t="n"/>
      <c r="T22" s="38" t="n"/>
      <c r="U22" s="37" t="n"/>
      <c r="V22" s="38" t="n"/>
      <c r="W22" s="37" t="n"/>
      <c r="X22" s="38" t="n"/>
      <c r="Y22" s="37" t="n"/>
      <c r="Z22" s="38" t="n"/>
      <c r="AA22" s="37" t="n"/>
      <c r="AB22" s="38" t="n"/>
      <c r="AC22" s="37" t="n"/>
      <c r="AD22" s="38" t="n"/>
      <c r="AE22" s="37" t="n"/>
      <c r="AF22" s="38" t="n"/>
      <c r="AG22" s="39" t="n"/>
    </row>
    <row r="23" ht="21" customHeight="1">
      <c r="A23" s="28" t="inlineStr">
        <is>
          <t>Gối: ẩn cột  ·  Nhịp: đổi thép chạy TRÊN</t>
        </is>
      </c>
      <c r="B23" s="6" t="n"/>
      <c r="C23" s="41" t="n"/>
      <c r="D23" s="34" t="n"/>
      <c r="E23" s="41" t="n"/>
      <c r="F23" s="34" t="n"/>
      <c r="G23" s="41" t="n"/>
      <c r="H23" s="34" t="inlineStr">
        <is>
          <t>0;5t28</t>
        </is>
      </c>
      <c r="I23" s="41" t="n"/>
      <c r="J23" s="34" t="n"/>
      <c r="K23" s="41" t="n"/>
      <c r="L23" s="34" t="inlineStr">
        <is>
          <t>0;3t28</t>
        </is>
      </c>
      <c r="M23" s="41" t="n"/>
      <c r="N23" s="34" t="n"/>
      <c r="O23" s="41" t="n"/>
      <c r="P23" s="34" t="n"/>
      <c r="Q23" s="41" t="n"/>
      <c r="R23" s="34" t="n"/>
      <c r="S23" s="41" t="n"/>
      <c r="T23" s="34" t="n"/>
      <c r="U23" s="41" t="n"/>
      <c r="V23" s="34" t="n"/>
      <c r="W23" s="41" t="n"/>
      <c r="X23" s="34" t="n"/>
      <c r="Y23" s="41" t="n"/>
      <c r="Z23" s="34" t="n"/>
      <c r="AA23" s="41" t="n"/>
      <c r="AB23" s="34" t="n"/>
      <c r="AC23" s="41" t="n"/>
      <c r="AD23" s="34" t="n"/>
      <c r="AE23" s="41" t="n"/>
      <c r="AF23" s="34" t="n"/>
      <c r="AG23" s="42" t="n"/>
    </row>
    <row r="24" ht="21" customHeight="1">
      <c r="A24" s="28" t="inlineStr">
        <is>
          <t>Gối: dầm giao tại cột  ·  Nhịp: thép giá</t>
        </is>
      </c>
      <c r="B24" s="6" t="n"/>
      <c r="C24" s="41" t="n"/>
      <c r="D24" s="34" t="inlineStr">
        <is>
          <t>2x2t12</t>
        </is>
      </c>
      <c r="E24" s="41" t="n"/>
      <c r="F24" s="34" t="inlineStr">
        <is>
          <t>2x2t12</t>
        </is>
      </c>
      <c r="G24" s="41" t="n"/>
      <c r="H24" s="34" t="inlineStr">
        <is>
          <t>2x2t12</t>
        </is>
      </c>
      <c r="I24" s="41" t="n"/>
      <c r="J24" s="34" t="inlineStr">
        <is>
          <t>2x2t12</t>
        </is>
      </c>
      <c r="K24" s="41" t="n"/>
      <c r="L24" s="34" t="inlineStr">
        <is>
          <t>2x2t12</t>
        </is>
      </c>
      <c r="M24" s="41" t="n"/>
      <c r="N24" s="34" t="inlineStr">
        <is>
          <t>2x2t12</t>
        </is>
      </c>
      <c r="O24" s="41" t="n"/>
      <c r="P24" s="34" t="n"/>
      <c r="Q24" s="41" t="n"/>
      <c r="R24" s="34" t="n"/>
      <c r="S24" s="41" t="n"/>
      <c r="T24" s="34" t="n"/>
      <c r="U24" s="41" t="n"/>
      <c r="V24" s="34" t="n"/>
      <c r="W24" s="41" t="n"/>
      <c r="X24" s="34" t="n"/>
      <c r="Y24" s="41" t="n"/>
      <c r="Z24" s="34" t="n"/>
      <c r="AA24" s="41" t="n"/>
      <c r="AB24" s="34" t="n"/>
      <c r="AC24" s="41" t="n"/>
      <c r="AD24" s="34" t="n"/>
      <c r="AE24" s="41" t="n"/>
      <c r="AF24" s="34" t="n"/>
      <c r="AG24" s="42" t="n"/>
    </row>
    <row r="25" ht="21" customHeight="1">
      <c r="A25" s="28" t="inlineStr">
        <is>
          <t>Gối: lệch dầm giao  ·  Nhịp: đổi thép chạy DƯỚI</t>
        </is>
      </c>
      <c r="B25" s="6" t="n"/>
      <c r="C25" s="41" t="n"/>
      <c r="D25" s="34" t="n"/>
      <c r="E25" s="41" t="n"/>
      <c r="F25" s="34" t="n"/>
      <c r="G25" s="41" t="n"/>
      <c r="H25" s="34" t="inlineStr">
        <is>
          <t>0;5t28</t>
        </is>
      </c>
      <c r="I25" s="41" t="n"/>
      <c r="J25" s="34" t="n"/>
      <c r="K25" s="41" t="n"/>
      <c r="L25" s="34" t="inlineStr">
        <is>
          <t>0;3t28</t>
        </is>
      </c>
      <c r="M25" s="41" t="n"/>
      <c r="N25" s="34" t="n"/>
      <c r="O25" s="41" t="n"/>
      <c r="P25" s="34" t="n"/>
      <c r="Q25" s="41" t="n"/>
      <c r="R25" s="34" t="n"/>
      <c r="S25" s="41" t="n"/>
      <c r="T25" s="34" t="n"/>
      <c r="U25" s="41" t="n"/>
      <c r="V25" s="34" t="n"/>
      <c r="W25" s="41" t="n"/>
      <c r="X25" s="34" t="n"/>
      <c r="Y25" s="41" t="n"/>
      <c r="Z25" s="34" t="n"/>
      <c r="AA25" s="41" t="n"/>
      <c r="AB25" s="34" t="n"/>
      <c r="AC25" s="41" t="n"/>
      <c r="AD25" s="34" t="n"/>
      <c r="AE25" s="41" t="n"/>
      <c r="AF25" s="34" t="n"/>
      <c r="AG25" s="42" t="n"/>
    </row>
    <row r="26" ht="21" customHeight="1">
      <c r="A26" s="28" t="inlineStr">
        <is>
          <t>Gối: tên trục  ·  Nhịp: thép đai</t>
        </is>
      </c>
      <c r="B26" s="6" t="n"/>
      <c r="C26" s="41" t="inlineStr">
        <is>
          <t>E</t>
        </is>
      </c>
      <c r="D26" s="34" t="inlineStr">
        <is>
          <t>10-100/150</t>
        </is>
      </c>
      <c r="E26" s="41" t="inlineStr">
        <is>
          <t>6</t>
        </is>
      </c>
      <c r="F26" s="34" t="inlineStr">
        <is>
          <t>10-100/150</t>
        </is>
      </c>
      <c r="G26" s="41" t="inlineStr">
        <is>
          <t>7</t>
        </is>
      </c>
      <c r="H26" s="34" t="inlineStr">
        <is>
          <t>12-100/150</t>
        </is>
      </c>
      <c r="I26" s="41" t="inlineStr">
        <is>
          <t>8</t>
        </is>
      </c>
      <c r="J26" s="34" t="inlineStr">
        <is>
          <t>12-100/150</t>
        </is>
      </c>
      <c r="K26" s="41" t="inlineStr">
        <is>
          <t>1</t>
        </is>
      </c>
      <c r="L26" s="34" t="inlineStr">
        <is>
          <t>10-100/200</t>
        </is>
      </c>
      <c r="M26" s="41" t="inlineStr">
        <is>
          <t>2</t>
        </is>
      </c>
      <c r="N26" s="34" t="inlineStr">
        <is>
          <t>10-100/200</t>
        </is>
      </c>
      <c r="O26" s="41" t="inlineStr">
        <is>
          <t>3</t>
        </is>
      </c>
      <c r="P26" s="34" t="n"/>
      <c r="Q26" s="41" t="n"/>
      <c r="R26" s="34" t="n"/>
      <c r="S26" s="41" t="n"/>
      <c r="T26" s="34" t="n"/>
      <c r="U26" s="41" t="n"/>
      <c r="V26" s="34" t="n"/>
      <c r="W26" s="41" t="n"/>
      <c r="X26" s="34" t="n"/>
      <c r="Y26" s="41" t="n"/>
      <c r="Z26" s="34" t="n"/>
      <c r="AA26" s="41" t="n"/>
      <c r="AB26" s="34" t="n"/>
      <c r="AC26" s="41" t="n"/>
      <c r="AD26" s="34" t="n"/>
      <c r="AE26" s="41" t="n"/>
      <c r="AF26" s="34" t="n"/>
      <c r="AG26" s="42" t="n"/>
    </row>
    <row r="27" ht="21" customHeight="1">
      <c r="A27" s="28" t="inlineStr">
        <is>
          <t>Gối: lệch trục  ·  Nhịp: đai trong / cắt thép</t>
        </is>
      </c>
      <c r="B27" s="6" t="n"/>
      <c r="C27" s="41" t="n">
        <v>-149.2</v>
      </c>
      <c r="D27" s="34" t="n"/>
      <c r="E27" s="41" t="n">
        <v>700</v>
      </c>
      <c r="F27" s="34" t="n"/>
      <c r="G27" s="41" t="n">
        <v>-0.8</v>
      </c>
      <c r="H27" s="34" t="n"/>
      <c r="I27" s="41" t="n">
        <v>0</v>
      </c>
      <c r="J27" s="34" t="n"/>
      <c r="K27" s="41" t="n">
        <v>0</v>
      </c>
      <c r="L27" s="34" t="n"/>
      <c r="M27" s="41" t="n">
        <v>-20.1</v>
      </c>
      <c r="N27" s="34" t="n"/>
      <c r="O27" s="41" t="n">
        <v>0.3</v>
      </c>
      <c r="P27" s="34" t="n"/>
      <c r="Q27" s="41" t="n"/>
      <c r="R27" s="34" t="n"/>
      <c r="S27" s="41" t="n"/>
      <c r="T27" s="34" t="n"/>
      <c r="U27" s="41" t="n"/>
      <c r="V27" s="34" t="n"/>
      <c r="W27" s="41" t="n"/>
      <c r="X27" s="34" t="n"/>
      <c r="Y27" s="41" t="n"/>
      <c r="Z27" s="34" t="n"/>
      <c r="AA27" s="41" t="n"/>
      <c r="AB27" s="34" t="n"/>
      <c r="AC27" s="41" t="n"/>
      <c r="AD27" s="34" t="n"/>
      <c r="AE27" s="41" t="n"/>
      <c r="AF27" s="34" t="n"/>
      <c r="AG27" s="42" t="n"/>
    </row>
    <row r="28" ht="21" customHeight="1">
      <c r="A28" s="28" t="inlineStr">
        <is>
          <t>Gối: dầm giao trong nhịp phải  ·  Nhịp: kiểu đai</t>
        </is>
      </c>
      <c r="B28" s="6" t="n"/>
      <c r="C28" s="41" t="inlineStr">
        <is>
          <t>400x600</t>
        </is>
      </c>
      <c r="D28" s="34" t="n"/>
      <c r="E28" s="41" t="inlineStr">
        <is>
          <t>400x600</t>
        </is>
      </c>
      <c r="F28" s="34" t="n"/>
      <c r="G28" s="41" t="inlineStr">
        <is>
          <t>400x600</t>
        </is>
      </c>
      <c r="H28" s="34" t="n"/>
      <c r="I28" s="41" t="inlineStr">
        <is>
          <t>400x600</t>
        </is>
      </c>
      <c r="J28" s="34" t="n"/>
      <c r="K28" s="41" t="inlineStr">
        <is>
          <t>300x600</t>
        </is>
      </c>
      <c r="L28" s="34" t="n"/>
      <c r="M28" s="41" t="inlineStr">
        <is>
          <t>300x600</t>
        </is>
      </c>
      <c r="N28" s="34" t="n"/>
      <c r="O28" s="41" t="n"/>
      <c r="P28" s="34" t="n"/>
      <c r="Q28" s="41" t="n"/>
      <c r="R28" s="34" t="n"/>
      <c r="S28" s="41" t="n"/>
      <c r="T28" s="34" t="n"/>
      <c r="U28" s="41" t="n"/>
      <c r="V28" s="34" t="n"/>
      <c r="W28" s="41" t="n"/>
      <c r="X28" s="34" t="n"/>
      <c r="Y28" s="41" t="n"/>
      <c r="Z28" s="34" t="n"/>
      <c r="AA28" s="41" t="n"/>
      <c r="AB28" s="34" t="n"/>
      <c r="AC28" s="41" t="n"/>
      <c r="AD28" s="34" t="n"/>
      <c r="AE28" s="41" t="n"/>
      <c r="AF28" s="34" t="n"/>
      <c r="AG28" s="42" t="n"/>
    </row>
    <row r="29" ht="21" customHeight="1">
      <c r="A29" s="28" t="inlineStr">
        <is>
          <t>Gối: vị trí dầm giao  ·  Nhịp: đai gia cường</t>
        </is>
      </c>
      <c r="B29" s="6" t="n"/>
      <c r="C29" s="41" t="n">
        <v>3950</v>
      </c>
      <c r="D29" s="34" t="inlineStr">
        <is>
          <t>10t10a50</t>
        </is>
      </c>
      <c r="E29" s="41" t="n">
        <v>4900</v>
      </c>
      <c r="F29" s="34" t="inlineStr">
        <is>
          <t>10t10a50</t>
        </is>
      </c>
      <c r="G29" s="41" t="n">
        <v>4175</v>
      </c>
      <c r="H29" s="34" t="inlineStr">
        <is>
          <t>10t10a50</t>
        </is>
      </c>
      <c r="I29" s="41" t="n">
        <v>3120</v>
      </c>
      <c r="J29" s="34" t="inlineStr">
        <is>
          <t>10t10a50</t>
        </is>
      </c>
      <c r="K29" s="41" t="n">
        <v>3300</v>
      </c>
      <c r="L29" s="34" t="inlineStr">
        <is>
          <t>10t10a50</t>
        </is>
      </c>
      <c r="M29" s="41" t="n">
        <v>2260</v>
      </c>
      <c r="N29" s="34" t="inlineStr">
        <is>
          <t>10t10a50</t>
        </is>
      </c>
      <c r="O29" s="41" t="n"/>
      <c r="P29" s="34" t="n"/>
      <c r="Q29" s="41" t="n"/>
      <c r="R29" s="34" t="n"/>
      <c r="S29" s="41" t="n"/>
      <c r="T29" s="34" t="n"/>
      <c r="U29" s="41" t="n"/>
      <c r="V29" s="34" t="n"/>
      <c r="W29" s="41" t="n"/>
      <c r="X29" s="34" t="n"/>
      <c r="Y29" s="41" t="n"/>
      <c r="Z29" s="34" t="n"/>
      <c r="AA29" s="41" t="n"/>
      <c r="AB29" s="34" t="n"/>
      <c r="AC29" s="41" t="n"/>
      <c r="AD29" s="34" t="n"/>
      <c r="AE29" s="41" t="n"/>
      <c r="AF29" s="34" t="n"/>
      <c r="AG29" s="42" t="n"/>
    </row>
    <row r="30" ht="21" customHeight="1">
      <c r="A30" s="43" t="inlineStr">
        <is>
          <t>Nhịp: thép vai bò tại dầm giao</t>
        </is>
      </c>
      <c r="B30" s="44" t="n"/>
      <c r="C30" s="45" t="inlineStr"/>
      <c r="D30" s="46" t="n"/>
      <c r="E30" s="45" t="inlineStr"/>
      <c r="F30" s="46" t="n"/>
      <c r="G30" s="45" t="inlineStr"/>
      <c r="H30" s="46" t="n"/>
      <c r="I30" s="45" t="inlineStr"/>
      <c r="J30" s="46" t="n"/>
      <c r="K30" s="45" t="inlineStr"/>
      <c r="L30" s="46" t="n"/>
      <c r="M30" s="45" t="inlineStr"/>
      <c r="N30" s="46" t="n"/>
      <c r="O30" s="45" t="inlineStr"/>
      <c r="P30" s="46" t="n"/>
      <c r="Q30" s="45" t="inlineStr"/>
      <c r="R30" s="46" t="n"/>
      <c r="S30" s="45" t="inlineStr"/>
      <c r="T30" s="46" t="n"/>
      <c r="U30" s="45" t="inlineStr"/>
      <c r="V30" s="46" t="n"/>
      <c r="W30" s="45" t="inlineStr"/>
      <c r="X30" s="46" t="n"/>
      <c r="Y30" s="45" t="inlineStr"/>
      <c r="Z30" s="46" t="n"/>
      <c r="AA30" s="45" t="inlineStr"/>
      <c r="AB30" s="46" t="n"/>
      <c r="AC30" s="45" t="inlineStr"/>
      <c r="AD30" s="46" t="n"/>
      <c r="AE30" s="45" t="inlineStr"/>
      <c r="AF30" s="46" t="n"/>
      <c r="AG30" s="47" t="inlineStr"/>
    </row>
    <row r="32" ht="18" customHeight="1">
      <c r="A32" s="48" t="inlineStr">
        <is>
          <t>KIỂM TRA HÌNH HỌC (tự tính – đối chiếu mặt bằng kết cấu)</t>
        </is>
      </c>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c r="AA32" s="49" t="n"/>
      <c r="AB32" s="49" t="n"/>
      <c r="AC32" s="49" t="n"/>
      <c r="AD32" s="49" t="n"/>
      <c r="AE32" s="49" t="n"/>
      <c r="AF32" s="49" t="n"/>
      <c r="AG32" s="49" t="n"/>
    </row>
    <row r="33" ht="27" customHeight="1">
      <c r="A33" s="50" t="inlineStr">
        <is>
          <t>Gối: tọa độ trục (gốc = trục gối 1)  ·  Nhịp: KC trục-trục (mm)</t>
        </is>
      </c>
      <c r="B33" s="6" t="n"/>
      <c r="C33" s="51">
        <f>IF(C63=1,C62-$C$62,"")</f>
        <v/>
      </c>
      <c r="D33" s="51">
        <f>IF(D63=1,IFERROR(E62-C62,""),"")</f>
        <v/>
      </c>
      <c r="E33" s="51">
        <f>IF(E63=1,E62-$C$62,"")</f>
        <v/>
      </c>
      <c r="F33" s="51">
        <f>IF(F63=1,IFERROR(G62-E62,""),"")</f>
        <v/>
      </c>
      <c r="G33" s="51">
        <f>IF(G63=1,G62-$C$62,"")</f>
        <v/>
      </c>
      <c r="H33" s="51">
        <f>IF(H63=1,IFERROR(I62-G62,""),"")</f>
        <v/>
      </c>
      <c r="I33" s="51">
        <f>IF(I63=1,I62-$C$62,"")</f>
        <v/>
      </c>
      <c r="J33" s="51">
        <f>IF(J63=1,IFERROR(K62-I62,""),"")</f>
        <v/>
      </c>
      <c r="K33" s="51">
        <f>IF(K63=1,K62-$C$62,"")</f>
        <v/>
      </c>
      <c r="L33" s="51">
        <f>IF(L63=1,IFERROR(M62-K62,""),"")</f>
        <v/>
      </c>
      <c r="M33" s="51">
        <f>IF(M63=1,M62-$C$62,"")</f>
        <v/>
      </c>
      <c r="N33" s="51">
        <f>IF(N63=1,IFERROR(O62-M62,""),"")</f>
        <v/>
      </c>
      <c r="O33" s="51">
        <f>IF(O63=1,O62-$C$62,"")</f>
        <v/>
      </c>
      <c r="P33" s="51">
        <f>IF(P63=1,IFERROR(Q62-O62,""),"")</f>
        <v/>
      </c>
      <c r="Q33" s="51">
        <f>IF(Q63=1,Q62-$C$62,"")</f>
        <v/>
      </c>
      <c r="R33" s="51">
        <f>IF(R63=1,IFERROR(S62-Q62,""),"")</f>
        <v/>
      </c>
      <c r="S33" s="51">
        <f>IF(S63=1,S62-$C$62,"")</f>
        <v/>
      </c>
      <c r="T33" s="51">
        <f>IF(T63=1,IFERROR(U62-S62,""),"")</f>
        <v/>
      </c>
      <c r="U33" s="51">
        <f>IF(U63=1,U62-$C$62,"")</f>
        <v/>
      </c>
      <c r="V33" s="51">
        <f>IF(V63=1,IFERROR(W62-U62,""),"")</f>
        <v/>
      </c>
      <c r="W33" s="51">
        <f>IF(W63=1,W62-$C$62,"")</f>
        <v/>
      </c>
      <c r="X33" s="51">
        <f>IF(X63=1,IFERROR(Y62-W62,""),"")</f>
        <v/>
      </c>
      <c r="Y33" s="51">
        <f>IF(Y63=1,Y62-$C$62,"")</f>
        <v/>
      </c>
      <c r="Z33" s="51">
        <f>IF(Z63=1,IFERROR(AA62-Y62,""),"")</f>
        <v/>
      </c>
      <c r="AA33" s="51">
        <f>IF(AA63=1,AA62-$C$62,"")</f>
        <v/>
      </c>
      <c r="AB33" s="51">
        <f>IF(AB63=1,IFERROR(AC62-AA62,""),"")</f>
        <v/>
      </c>
      <c r="AC33" s="51">
        <f>IF(AC63=1,AC62-$C$62,"")</f>
        <v/>
      </c>
      <c r="AD33" s="51">
        <f>IF(AD63=1,IFERROR(AE62-AC62,""),"")</f>
        <v/>
      </c>
      <c r="AE33" s="51">
        <f>IF(AE63=1,AE62-$C$62,"")</f>
        <v/>
      </c>
      <c r="AF33" s="51">
        <f>IF(AF63=1,IFERROR(AG62-AE62,""),"")</f>
        <v/>
      </c>
      <c r="AG33" s="51">
        <f>IF(AG63=1,AG62-$C$62,"")</f>
        <v/>
      </c>
    </row>
    <row r="34" ht="27" customHeight="1">
      <c r="A34" s="52" t="inlineStr">
        <is>
          <t>Nhịp: KC trục theo mặt bằng (nhập để đối chiếu)</t>
        </is>
      </c>
      <c r="B34" s="6" t="n"/>
      <c r="C34" s="53" t="n"/>
      <c r="D34" s="54" t="n"/>
      <c r="E34" s="53" t="n"/>
      <c r="F34" s="54" t="n"/>
      <c r="G34" s="53" t="n"/>
      <c r="H34" s="54" t="n"/>
      <c r="I34" s="53" t="n"/>
      <c r="J34" s="54" t="n"/>
      <c r="K34" s="53" t="n"/>
      <c r="L34" s="54" t="n"/>
      <c r="M34" s="53" t="n"/>
      <c r="N34" s="54" t="n"/>
      <c r="O34" s="53" t="n"/>
      <c r="P34" s="54" t="n"/>
      <c r="Q34" s="53" t="n"/>
      <c r="R34" s="54" t="n"/>
      <c r="S34" s="53" t="n"/>
      <c r="T34" s="54" t="n"/>
      <c r="U34" s="53" t="n"/>
      <c r="V34" s="54" t="n"/>
      <c r="W34" s="53" t="n"/>
      <c r="X34" s="54" t="n"/>
      <c r="Y34" s="53" t="n"/>
      <c r="Z34" s="54" t="n"/>
      <c r="AA34" s="53" t="n"/>
      <c r="AB34" s="54" t="n"/>
      <c r="AC34" s="53" t="n"/>
      <c r="AD34" s="54" t="n"/>
      <c r="AE34" s="53" t="n"/>
      <c r="AF34" s="54" t="n"/>
      <c r="AG34" s="53" t="n"/>
    </row>
    <row r="35" ht="27" customHeight="1">
      <c r="A35" s="50" t="inlineStr">
        <is>
          <t>Nhịp: Ltt suy ra từ KC trục ở dòng 34 (mm)</t>
        </is>
      </c>
      <c r="B35" s="6" t="n"/>
      <c r="C35" s="51" t="n"/>
      <c r="D35" s="51">
        <f>IF(D34="","",D34-(N(C60)/2-C67)-(N(E60)/2+E67))</f>
        <v/>
      </c>
      <c r="E35" s="51" t="n"/>
      <c r="F35" s="51">
        <f>IF(F34="","",F34-(N(E60)/2-E67)-(N(G60)/2+G67))</f>
        <v/>
      </c>
      <c r="G35" s="51" t="n"/>
      <c r="H35" s="51">
        <f>IF(H34="","",H34-(N(G60)/2-G67)-(N(I60)/2+I67))</f>
        <v/>
      </c>
      <c r="I35" s="51" t="n"/>
      <c r="J35" s="51">
        <f>IF(J34="","",J34-(N(I60)/2-I67)-(N(K60)/2+K67))</f>
        <v/>
      </c>
      <c r="K35" s="51" t="n"/>
      <c r="L35" s="51">
        <f>IF(L34="","",L34-(N(K60)/2-K67)-(N(M60)/2+M67))</f>
        <v/>
      </c>
      <c r="M35" s="51" t="n"/>
      <c r="N35" s="51">
        <f>IF(N34="","",N34-(N(M60)/2-M67)-(N(O60)/2+O67))</f>
        <v/>
      </c>
      <c r="O35" s="51" t="n"/>
      <c r="P35" s="51">
        <f>IF(P34="","",P34-(N(O60)/2-O67)-(N(Q60)/2+Q67))</f>
        <v/>
      </c>
      <c r="Q35" s="51" t="n"/>
      <c r="R35" s="51">
        <f>IF(R34="","",R34-(N(Q60)/2-Q67)-(N(S60)/2+S67))</f>
        <v/>
      </c>
      <c r="S35" s="51" t="n"/>
      <c r="T35" s="51">
        <f>IF(T34="","",T34-(N(S60)/2-S67)-(N(U60)/2+U67))</f>
        <v/>
      </c>
      <c r="U35" s="51" t="n"/>
      <c r="V35" s="51">
        <f>IF(V34="","",V34-(N(U60)/2-U67)-(N(W60)/2+W67))</f>
        <v/>
      </c>
      <c r="W35" s="51" t="n"/>
      <c r="X35" s="51">
        <f>IF(X34="","",X34-(N(W60)/2-W67)-(N(Y60)/2+Y67))</f>
        <v/>
      </c>
      <c r="Y35" s="51" t="n"/>
      <c r="Z35" s="51">
        <f>IF(Z34="","",Z34-(N(Y60)/2-Y67)-(N(AA60)/2+AA67))</f>
        <v/>
      </c>
      <c r="AA35" s="51" t="n"/>
      <c r="AB35" s="51">
        <f>IF(AB34="","",AB34-(N(AA60)/2-AA67)-(N(AC60)/2+AC67))</f>
        <v/>
      </c>
      <c r="AC35" s="51" t="n"/>
      <c r="AD35" s="51">
        <f>IF(AD34="","",AD34-(N(AC60)/2-AC67)-(N(AE60)/2+AE67))</f>
        <v/>
      </c>
      <c r="AE35" s="51" t="n"/>
      <c r="AF35" s="51">
        <f>IF(AF34="","",AF34-(N(AE60)/2-AE67)-(N(AG60)/2+AG67))</f>
        <v/>
      </c>
      <c r="AG35" s="51" t="n"/>
    </row>
    <row r="36" ht="18" customHeight="1">
      <c r="A36" s="48" t="inlineStr">
        <is>
          <t>KIỂM TRA DIỆN TÍCH THÉP (cm²) – thép chạy suốt hiệu dụng + tăng cường lớp 1..5 (gối: trái/phải)</t>
        </is>
      </c>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c r="AA36" s="49" t="n"/>
      <c r="AB36" s="49" t="n"/>
      <c r="AC36" s="49" t="n"/>
      <c r="AD36" s="49" t="n"/>
      <c r="AE36" s="49" t="n"/>
      <c r="AF36" s="49" t="n"/>
      <c r="AG36" s="49" t="n"/>
    </row>
    <row r="37" ht="27" customHeight="1">
      <c r="A37" s="52" t="inlineStr">
        <is>
          <t>As yêu cầu TRÊN (nhập; gối: trái/phải vd 2.63/1.45)</t>
        </is>
      </c>
      <c r="B37" s="6" t="n"/>
      <c r="C37" s="55" t="n">
        <v>35.2</v>
      </c>
      <c r="D37" s="55" t="n"/>
      <c r="E37" s="55" t="inlineStr">
        <is>
          <t>48.5/50.1</t>
        </is>
      </c>
      <c r="F37" s="55" t="n"/>
      <c r="G37" s="55" t="inlineStr">
        <is>
          <t>42.0/65.0</t>
        </is>
      </c>
      <c r="H37" s="55" t="n"/>
      <c r="I37" s="55" t="inlineStr">
        <is>
          <t>98.6/101.3</t>
        </is>
      </c>
      <c r="J37" s="55" t="n"/>
      <c r="K37" s="55" t="inlineStr">
        <is>
          <t>55.0/45.0</t>
        </is>
      </c>
      <c r="L37" s="55" t="n"/>
      <c r="M37" s="55" t="inlineStr">
        <is>
          <t>30.2/31.0</t>
        </is>
      </c>
      <c r="N37" s="55" t="n"/>
      <c r="O37" s="55" t="n">
        <v>20.5</v>
      </c>
      <c r="P37" s="55" t="n"/>
      <c r="Q37" s="55" t="n"/>
      <c r="R37" s="55" t="n"/>
      <c r="S37" s="55" t="n"/>
      <c r="T37" s="55" t="n"/>
      <c r="U37" s="55" t="n"/>
      <c r="V37" s="55" t="n"/>
      <c r="W37" s="55" t="n"/>
      <c r="X37" s="55" t="n"/>
      <c r="Y37" s="55" t="n"/>
      <c r="Z37" s="55" t="n"/>
      <c r="AA37" s="55" t="n"/>
      <c r="AB37" s="55" t="n"/>
      <c r="AC37" s="55" t="n"/>
      <c r="AD37" s="55" t="n"/>
      <c r="AE37" s="55" t="n"/>
      <c r="AF37" s="55" t="n"/>
      <c r="AG37" s="55" t="n"/>
    </row>
    <row r="38" ht="27" customHeight="1">
      <c r="A38" s="50" t="inlineStr">
        <is>
          <t>As bố trí TRÊN</t>
        </is>
      </c>
      <c r="B38" s="6" t="n"/>
      <c r="C38" s="56">
        <f>IF(C63=1,IF(C65*C66=1,FIXED(C116,2,TRUE)&amp;"/"&amp;FIXED(C117,2,TRUE),IF(C65=1,FIXED(C116,2,TRUE),FIXED(C117,2,TRUE))),"")</f>
        <v/>
      </c>
      <c r="D38" s="57">
        <f>IF(D63=1,ROUND(D116,2),"")</f>
        <v/>
      </c>
      <c r="E38" s="56">
        <f>IF(E63=1,IF(E65*E66=1,FIXED(E116,2,TRUE)&amp;"/"&amp;FIXED(E117,2,TRUE),IF(E65=1,FIXED(E116,2,TRUE),FIXED(E117,2,TRUE))),"")</f>
        <v/>
      </c>
      <c r="F38" s="57">
        <f>IF(F63=1,ROUND(F116,2),"")</f>
        <v/>
      </c>
      <c r="G38" s="56">
        <f>IF(G63=1,IF(G65*G66=1,FIXED(G116,2,TRUE)&amp;"/"&amp;FIXED(G117,2,TRUE),IF(G65=1,FIXED(G116,2,TRUE),FIXED(G117,2,TRUE))),"")</f>
        <v/>
      </c>
      <c r="H38" s="57">
        <f>IF(H63=1,ROUND(H116,2),"")</f>
        <v/>
      </c>
      <c r="I38" s="56">
        <f>IF(I63=1,IF(I65*I66=1,FIXED(I116,2,TRUE)&amp;"/"&amp;FIXED(I117,2,TRUE),IF(I65=1,FIXED(I116,2,TRUE),FIXED(I117,2,TRUE))),"")</f>
        <v/>
      </c>
      <c r="J38" s="57">
        <f>IF(J63=1,ROUND(J116,2),"")</f>
        <v/>
      </c>
      <c r="K38" s="56">
        <f>IF(K63=1,IF(K65*K66=1,FIXED(K116,2,TRUE)&amp;"/"&amp;FIXED(K117,2,TRUE),IF(K65=1,FIXED(K116,2,TRUE),FIXED(K117,2,TRUE))),"")</f>
        <v/>
      </c>
      <c r="L38" s="57">
        <f>IF(L63=1,ROUND(L116,2),"")</f>
        <v/>
      </c>
      <c r="M38" s="56">
        <f>IF(M63=1,IF(M65*M66=1,FIXED(M116,2,TRUE)&amp;"/"&amp;FIXED(M117,2,TRUE),IF(M65=1,FIXED(M116,2,TRUE),FIXED(M117,2,TRUE))),"")</f>
        <v/>
      </c>
      <c r="N38" s="57">
        <f>IF(N63=1,ROUND(N116,2),"")</f>
        <v/>
      </c>
      <c r="O38" s="56">
        <f>IF(O63=1,IF(O65*O66=1,FIXED(O116,2,TRUE)&amp;"/"&amp;FIXED(O117,2,TRUE),IF(O65=1,FIXED(O116,2,TRUE),FIXED(O117,2,TRUE))),"")</f>
        <v/>
      </c>
      <c r="P38" s="57">
        <f>IF(P63=1,ROUND(P116,2),"")</f>
        <v/>
      </c>
      <c r="Q38" s="56">
        <f>IF(Q63=1,IF(Q65*Q66=1,FIXED(Q116,2,TRUE)&amp;"/"&amp;FIXED(Q117,2,TRUE),IF(Q65=1,FIXED(Q116,2,TRUE),FIXED(Q117,2,TRUE))),"")</f>
        <v/>
      </c>
      <c r="R38" s="57">
        <f>IF(R63=1,ROUND(R116,2),"")</f>
        <v/>
      </c>
      <c r="S38" s="56">
        <f>IF(S63=1,IF(S65*S66=1,FIXED(S116,2,TRUE)&amp;"/"&amp;FIXED(S117,2,TRUE),IF(S65=1,FIXED(S116,2,TRUE),FIXED(S117,2,TRUE))),"")</f>
        <v/>
      </c>
      <c r="T38" s="57">
        <f>IF(T63=1,ROUND(T116,2),"")</f>
        <v/>
      </c>
      <c r="U38" s="56">
        <f>IF(U63=1,IF(U65*U66=1,FIXED(U116,2,TRUE)&amp;"/"&amp;FIXED(U117,2,TRUE),IF(U65=1,FIXED(U116,2,TRUE),FIXED(U117,2,TRUE))),"")</f>
        <v/>
      </c>
      <c r="V38" s="57">
        <f>IF(V63=1,ROUND(V116,2),"")</f>
        <v/>
      </c>
      <c r="W38" s="56">
        <f>IF(W63=1,IF(W65*W66=1,FIXED(W116,2,TRUE)&amp;"/"&amp;FIXED(W117,2,TRUE),IF(W65=1,FIXED(W116,2,TRUE),FIXED(W117,2,TRUE))),"")</f>
        <v/>
      </c>
      <c r="X38" s="57">
        <f>IF(X63=1,ROUND(X116,2),"")</f>
        <v/>
      </c>
      <c r="Y38" s="56">
        <f>IF(Y63=1,IF(Y65*Y66=1,FIXED(Y116,2,TRUE)&amp;"/"&amp;FIXED(Y117,2,TRUE),IF(Y65=1,FIXED(Y116,2,TRUE),FIXED(Y117,2,TRUE))),"")</f>
        <v/>
      </c>
      <c r="Z38" s="57">
        <f>IF(Z63=1,ROUND(Z116,2),"")</f>
        <v/>
      </c>
      <c r="AA38" s="56">
        <f>IF(AA63=1,IF(AA65*AA66=1,FIXED(AA116,2,TRUE)&amp;"/"&amp;FIXED(AA117,2,TRUE),IF(AA65=1,FIXED(AA116,2,TRUE),FIXED(AA117,2,TRUE))),"")</f>
        <v/>
      </c>
      <c r="AB38" s="57">
        <f>IF(AB63=1,ROUND(AB116,2),"")</f>
        <v/>
      </c>
      <c r="AC38" s="56">
        <f>IF(AC63=1,IF(AC65*AC66=1,FIXED(AC116,2,TRUE)&amp;"/"&amp;FIXED(AC117,2,TRUE),IF(AC65=1,FIXED(AC116,2,TRUE),FIXED(AC117,2,TRUE))),"")</f>
        <v/>
      </c>
      <c r="AD38" s="57">
        <f>IF(AD63=1,ROUND(AD116,2),"")</f>
        <v/>
      </c>
      <c r="AE38" s="56">
        <f>IF(AE63=1,IF(AE65*AE66=1,FIXED(AE116,2,TRUE)&amp;"/"&amp;FIXED(AE117,2,TRUE),IF(AE65=1,FIXED(AE116,2,TRUE),FIXED(AE117,2,TRUE))),"")</f>
        <v/>
      </c>
      <c r="AF38" s="57">
        <f>IF(AF63=1,ROUND(AF116,2),"")</f>
        <v/>
      </c>
      <c r="AG38" s="56">
        <f>IF(AG63=1,IF(AG65*AG66=1,FIXED(AG116,2,TRUE)&amp;"/"&amp;FIXED(AG117,2,TRUE),IF(AG65=1,FIXED(AG116,2,TRUE),FIXED(AG117,2,TRUE))),"")</f>
        <v/>
      </c>
    </row>
    <row r="39" ht="27" customHeight="1">
      <c r="A39" s="50" t="inlineStr">
        <is>
          <t>Hệ số As bố trí / yêu cầu TRÊN</t>
        </is>
      </c>
      <c r="B39" s="6" t="n"/>
      <c r="C39" s="57">
        <f>IF(OR(C63=0,C120=""),"",IF(MIN(IF(AND(C65=1,N(C120)&gt;0),C116/C120,99),IF(AND(C66=1,N(C121)&gt;0),C117/C121,99))=99,"",ROUND(MIN(IF(AND(C65=1,N(C120)&gt;0),C116/C120,99),IF(AND(C66=1,N(C121)&gt;0),C117/C121,99)),2)))</f>
        <v/>
      </c>
      <c r="D39" s="57">
        <f>IF(OR(D63=0,D120=""),"",IF(MIN(IF(AND(D65=1,N(D120)&gt;0),D116/D120,99),IF(AND(D66=1,N(D121)&gt;0),D117/D121,99))=99,"",ROUND(MIN(IF(AND(D65=1,N(D120)&gt;0),D116/D120,99),IF(AND(D66=1,N(D121)&gt;0),D117/D121,99)),2)))</f>
        <v/>
      </c>
      <c r="E39" s="57">
        <f>IF(OR(E63=0,E120=""),"",IF(MIN(IF(AND(E65=1,N(E120)&gt;0),E116/E120,99),IF(AND(E66=1,N(E121)&gt;0),E117/E121,99))=99,"",ROUND(MIN(IF(AND(E65=1,N(E120)&gt;0),E116/E120,99),IF(AND(E66=1,N(E121)&gt;0),E117/E121,99)),2)))</f>
        <v/>
      </c>
      <c r="F39" s="57">
        <f>IF(OR(F63=0,F120=""),"",IF(MIN(IF(AND(F65=1,N(F120)&gt;0),F116/F120,99),IF(AND(F66=1,N(F121)&gt;0),F117/F121,99))=99,"",ROUND(MIN(IF(AND(F65=1,N(F120)&gt;0),F116/F120,99),IF(AND(F66=1,N(F121)&gt;0),F117/F121,99)),2)))</f>
        <v/>
      </c>
      <c r="G39" s="57">
        <f>IF(OR(G63=0,G120=""),"",IF(MIN(IF(AND(G65=1,N(G120)&gt;0),G116/G120,99),IF(AND(G66=1,N(G121)&gt;0),G117/G121,99))=99,"",ROUND(MIN(IF(AND(G65=1,N(G120)&gt;0),G116/G120,99),IF(AND(G66=1,N(G121)&gt;0),G117/G121,99)),2)))</f>
        <v/>
      </c>
      <c r="H39" s="57">
        <f>IF(OR(H63=0,H120=""),"",IF(MIN(IF(AND(H65=1,N(H120)&gt;0),H116/H120,99),IF(AND(H66=1,N(H121)&gt;0),H117/H121,99))=99,"",ROUND(MIN(IF(AND(H65=1,N(H120)&gt;0),H116/H120,99),IF(AND(H66=1,N(H121)&gt;0),H117/H121,99)),2)))</f>
        <v/>
      </c>
      <c r="I39" s="57">
        <f>IF(OR(I63=0,I120=""),"",IF(MIN(IF(AND(I65=1,N(I120)&gt;0),I116/I120,99),IF(AND(I66=1,N(I121)&gt;0),I117/I121,99))=99,"",ROUND(MIN(IF(AND(I65=1,N(I120)&gt;0),I116/I120,99),IF(AND(I66=1,N(I121)&gt;0),I117/I121,99)),2)))</f>
        <v/>
      </c>
      <c r="J39" s="57">
        <f>IF(OR(J63=0,J120=""),"",IF(MIN(IF(AND(J65=1,N(J120)&gt;0),J116/J120,99),IF(AND(J66=1,N(J121)&gt;0),J117/J121,99))=99,"",ROUND(MIN(IF(AND(J65=1,N(J120)&gt;0),J116/J120,99),IF(AND(J66=1,N(J121)&gt;0),J117/J121,99)),2)))</f>
        <v/>
      </c>
      <c r="K39" s="57">
        <f>IF(OR(K63=0,K120=""),"",IF(MIN(IF(AND(K65=1,N(K120)&gt;0),K116/K120,99),IF(AND(K66=1,N(K121)&gt;0),K117/K121,99))=99,"",ROUND(MIN(IF(AND(K65=1,N(K120)&gt;0),K116/K120,99),IF(AND(K66=1,N(K121)&gt;0),K117/K121,99)),2)))</f>
        <v/>
      </c>
      <c r="L39" s="57">
        <f>IF(OR(L63=0,L120=""),"",IF(MIN(IF(AND(L65=1,N(L120)&gt;0),L116/L120,99),IF(AND(L66=1,N(L121)&gt;0),L117/L121,99))=99,"",ROUND(MIN(IF(AND(L65=1,N(L120)&gt;0),L116/L120,99),IF(AND(L66=1,N(L121)&gt;0),L117/L121,99)),2)))</f>
        <v/>
      </c>
      <c r="M39" s="57">
        <f>IF(OR(M63=0,M120=""),"",IF(MIN(IF(AND(M65=1,N(M120)&gt;0),M116/M120,99),IF(AND(M66=1,N(M121)&gt;0),M117/M121,99))=99,"",ROUND(MIN(IF(AND(M65=1,N(M120)&gt;0),M116/M120,99),IF(AND(M66=1,N(M121)&gt;0),M117/M121,99)),2)))</f>
        <v/>
      </c>
      <c r="N39" s="57">
        <f>IF(OR(N63=0,N120=""),"",IF(MIN(IF(AND(N65=1,N(N120)&gt;0),N116/N120,99),IF(AND(N66=1,N(N121)&gt;0),N117/N121,99))=99,"",ROUND(MIN(IF(AND(N65=1,N(N120)&gt;0),N116/N120,99),IF(AND(N66=1,N(N121)&gt;0),N117/N121,99)),2)))</f>
        <v/>
      </c>
      <c r="O39" s="57">
        <f>IF(OR(O63=0,O120=""),"",IF(MIN(IF(AND(O65=1,N(O120)&gt;0),O116/O120,99),IF(AND(O66=1,N(O121)&gt;0),O117/O121,99))=99,"",ROUND(MIN(IF(AND(O65=1,N(O120)&gt;0),O116/O120,99),IF(AND(O66=1,N(O121)&gt;0),O117/O121,99)),2)))</f>
        <v/>
      </c>
      <c r="P39" s="57">
        <f>IF(OR(P63=0,P120=""),"",IF(MIN(IF(AND(P65=1,N(P120)&gt;0),P116/P120,99),IF(AND(P66=1,N(P121)&gt;0),P117/P121,99))=99,"",ROUND(MIN(IF(AND(P65=1,N(P120)&gt;0),P116/P120,99),IF(AND(P66=1,N(P121)&gt;0),P117/P121,99)),2)))</f>
        <v/>
      </c>
      <c r="Q39" s="57">
        <f>IF(OR(Q63=0,Q120=""),"",IF(MIN(IF(AND(Q65=1,N(Q120)&gt;0),Q116/Q120,99),IF(AND(Q66=1,N(Q121)&gt;0),Q117/Q121,99))=99,"",ROUND(MIN(IF(AND(Q65=1,N(Q120)&gt;0),Q116/Q120,99),IF(AND(Q66=1,N(Q121)&gt;0),Q117/Q121,99)),2)))</f>
        <v/>
      </c>
      <c r="R39" s="57">
        <f>IF(OR(R63=0,R120=""),"",IF(MIN(IF(AND(R65=1,N(R120)&gt;0),R116/R120,99),IF(AND(R66=1,N(R121)&gt;0),R117/R121,99))=99,"",ROUND(MIN(IF(AND(R65=1,N(R120)&gt;0),R116/R120,99),IF(AND(R66=1,N(R121)&gt;0),R117/R121,99)),2)))</f>
        <v/>
      </c>
      <c r="S39" s="57">
        <f>IF(OR(S63=0,S120=""),"",IF(MIN(IF(AND(S65=1,N(S120)&gt;0),S116/S120,99),IF(AND(S66=1,N(S121)&gt;0),S117/S121,99))=99,"",ROUND(MIN(IF(AND(S65=1,N(S120)&gt;0),S116/S120,99),IF(AND(S66=1,N(S121)&gt;0),S117/S121,99)),2)))</f>
        <v/>
      </c>
      <c r="T39" s="57">
        <f>IF(OR(T63=0,T120=""),"",IF(MIN(IF(AND(T65=1,N(T120)&gt;0),T116/T120,99),IF(AND(T66=1,N(T121)&gt;0),T117/T121,99))=99,"",ROUND(MIN(IF(AND(T65=1,N(T120)&gt;0),T116/T120,99),IF(AND(T66=1,N(T121)&gt;0),T117/T121,99)),2)))</f>
        <v/>
      </c>
      <c r="U39" s="57">
        <f>IF(OR(U63=0,U120=""),"",IF(MIN(IF(AND(U65=1,N(U120)&gt;0),U116/U120,99),IF(AND(U66=1,N(U121)&gt;0),U117/U121,99))=99,"",ROUND(MIN(IF(AND(U65=1,N(U120)&gt;0),U116/U120,99),IF(AND(U66=1,N(U121)&gt;0),U117/U121,99)),2)))</f>
        <v/>
      </c>
      <c r="V39" s="57">
        <f>IF(OR(V63=0,V120=""),"",IF(MIN(IF(AND(V65=1,N(V120)&gt;0),V116/V120,99),IF(AND(V66=1,N(V121)&gt;0),V117/V121,99))=99,"",ROUND(MIN(IF(AND(V65=1,N(V120)&gt;0),V116/V120,99),IF(AND(V66=1,N(V121)&gt;0),V117/V121,99)),2)))</f>
        <v/>
      </c>
      <c r="W39" s="57">
        <f>IF(OR(W63=0,W120=""),"",IF(MIN(IF(AND(W65=1,N(W120)&gt;0),W116/W120,99),IF(AND(W66=1,N(W121)&gt;0),W117/W121,99))=99,"",ROUND(MIN(IF(AND(W65=1,N(W120)&gt;0),W116/W120,99),IF(AND(W66=1,N(W121)&gt;0),W117/W121,99)),2)))</f>
        <v/>
      </c>
      <c r="X39" s="57">
        <f>IF(OR(X63=0,X120=""),"",IF(MIN(IF(AND(X65=1,N(X120)&gt;0),X116/X120,99),IF(AND(X66=1,N(X121)&gt;0),X117/X121,99))=99,"",ROUND(MIN(IF(AND(X65=1,N(X120)&gt;0),X116/X120,99),IF(AND(X66=1,N(X121)&gt;0),X117/X121,99)),2)))</f>
        <v/>
      </c>
      <c r="Y39" s="57">
        <f>IF(OR(Y63=0,Y120=""),"",IF(MIN(IF(AND(Y65=1,N(Y120)&gt;0),Y116/Y120,99),IF(AND(Y66=1,N(Y121)&gt;0),Y117/Y121,99))=99,"",ROUND(MIN(IF(AND(Y65=1,N(Y120)&gt;0),Y116/Y120,99),IF(AND(Y66=1,N(Y121)&gt;0),Y117/Y121,99)),2)))</f>
        <v/>
      </c>
      <c r="Z39" s="57">
        <f>IF(OR(Z63=0,Z120=""),"",IF(MIN(IF(AND(Z65=1,N(Z120)&gt;0),Z116/Z120,99),IF(AND(Z66=1,N(Z121)&gt;0),Z117/Z121,99))=99,"",ROUND(MIN(IF(AND(Z65=1,N(Z120)&gt;0),Z116/Z120,99),IF(AND(Z66=1,N(Z121)&gt;0),Z117/Z121,99)),2)))</f>
        <v/>
      </c>
      <c r="AA39" s="57">
        <f>IF(OR(AA63=0,AA120=""),"",IF(MIN(IF(AND(AA65=1,N(AA120)&gt;0),AA116/AA120,99),IF(AND(AA66=1,N(AA121)&gt;0),AA117/AA121,99))=99,"",ROUND(MIN(IF(AND(AA65=1,N(AA120)&gt;0),AA116/AA120,99),IF(AND(AA66=1,N(AA121)&gt;0),AA117/AA121,99)),2)))</f>
        <v/>
      </c>
      <c r="AB39" s="57">
        <f>IF(OR(AB63=0,AB120=""),"",IF(MIN(IF(AND(AB65=1,N(AB120)&gt;0),AB116/AB120,99),IF(AND(AB66=1,N(AB121)&gt;0),AB117/AB121,99))=99,"",ROUND(MIN(IF(AND(AB65=1,N(AB120)&gt;0),AB116/AB120,99),IF(AND(AB66=1,N(AB121)&gt;0),AB117/AB121,99)),2)))</f>
        <v/>
      </c>
      <c r="AC39" s="57">
        <f>IF(OR(AC63=0,AC120=""),"",IF(MIN(IF(AND(AC65=1,N(AC120)&gt;0),AC116/AC120,99),IF(AND(AC66=1,N(AC121)&gt;0),AC117/AC121,99))=99,"",ROUND(MIN(IF(AND(AC65=1,N(AC120)&gt;0),AC116/AC120,99),IF(AND(AC66=1,N(AC121)&gt;0),AC117/AC121,99)),2)))</f>
        <v/>
      </c>
      <c r="AD39" s="57">
        <f>IF(OR(AD63=0,AD120=""),"",IF(MIN(IF(AND(AD65=1,N(AD120)&gt;0),AD116/AD120,99),IF(AND(AD66=1,N(AD121)&gt;0),AD117/AD121,99))=99,"",ROUND(MIN(IF(AND(AD65=1,N(AD120)&gt;0),AD116/AD120,99),IF(AND(AD66=1,N(AD121)&gt;0),AD117/AD121,99)),2)))</f>
        <v/>
      </c>
      <c r="AE39" s="57">
        <f>IF(OR(AE63=0,AE120=""),"",IF(MIN(IF(AND(AE65=1,N(AE120)&gt;0),AE116/AE120,99),IF(AND(AE66=1,N(AE121)&gt;0),AE117/AE121,99))=99,"",ROUND(MIN(IF(AND(AE65=1,N(AE120)&gt;0),AE116/AE120,99),IF(AND(AE66=1,N(AE121)&gt;0),AE117/AE121,99)),2)))</f>
        <v/>
      </c>
      <c r="AF39" s="57">
        <f>IF(OR(AF63=0,AF120=""),"",IF(MIN(IF(AND(AF65=1,N(AF120)&gt;0),AF116/AF120,99),IF(AND(AF66=1,N(AF121)&gt;0),AF117/AF121,99))=99,"",ROUND(MIN(IF(AND(AF65=1,N(AF120)&gt;0),AF116/AF120,99),IF(AND(AF66=1,N(AF121)&gt;0),AF117/AF121,99)),2)))</f>
        <v/>
      </c>
      <c r="AG39" s="57">
        <f>IF(OR(AG63=0,AG120=""),"",IF(MIN(IF(AND(AG65=1,N(AG120)&gt;0),AG116/AG120,99),IF(AND(AG66=1,N(AG121)&gt;0),AG117/AG121,99))=99,"",ROUND(MIN(IF(AND(AG65=1,N(AG120)&gt;0),AG116/AG120,99),IF(AND(AG66=1,N(AG121)&gt;0),AG117/AG121,99)),2)))</f>
        <v/>
      </c>
    </row>
    <row r="40" ht="27" customHeight="1">
      <c r="A40" s="52" t="inlineStr">
        <is>
          <t>As yêu cầu DƯỚI (nhập)</t>
        </is>
      </c>
      <c r="B40" s="6" t="n"/>
      <c r="C40" s="55" t="n"/>
      <c r="D40" s="55" t="n">
        <v>45.3</v>
      </c>
      <c r="E40" s="55" t="n"/>
      <c r="F40" s="55" t="n">
        <v>40.2</v>
      </c>
      <c r="G40" s="55" t="n"/>
      <c r="H40" s="55" t="n">
        <v>58.1</v>
      </c>
      <c r="I40" s="55" t="n"/>
      <c r="J40" s="55" t="n">
        <v>50.2</v>
      </c>
      <c r="K40" s="55" t="n"/>
      <c r="L40" s="55" t="n">
        <v>25</v>
      </c>
      <c r="M40" s="55" t="n"/>
      <c r="N40" s="55" t="n">
        <v>26.3</v>
      </c>
      <c r="O40" s="55" t="n"/>
      <c r="P40" s="55" t="n"/>
      <c r="Q40" s="55" t="n"/>
      <c r="R40" s="55" t="n"/>
      <c r="S40" s="55" t="n"/>
      <c r="T40" s="55" t="n"/>
      <c r="U40" s="55" t="n"/>
      <c r="V40" s="55" t="n"/>
      <c r="W40" s="55" t="n"/>
      <c r="X40" s="55" t="n"/>
      <c r="Y40" s="55" t="n"/>
      <c r="Z40" s="55" t="n"/>
      <c r="AA40" s="55" t="n"/>
      <c r="AB40" s="55" t="n"/>
      <c r="AC40" s="55" t="n"/>
      <c r="AD40" s="55" t="n"/>
      <c r="AE40" s="55" t="n"/>
      <c r="AF40" s="55" t="n"/>
      <c r="AG40" s="55" t="n"/>
    </row>
    <row r="41" ht="27" customHeight="1">
      <c r="A41" s="50" t="inlineStr">
        <is>
          <t>As bố trí DƯỚI</t>
        </is>
      </c>
      <c r="B41" s="6" t="n"/>
      <c r="C41" s="56">
        <f>IF(C63=1,IF(C65*C66=1,FIXED(C118,2,TRUE)&amp;"/"&amp;FIXED(C119,2,TRUE),IF(C65=1,FIXED(C118,2,TRUE),FIXED(C119,2,TRUE))),"")</f>
        <v/>
      </c>
      <c r="D41" s="57">
        <f>IF(D63=1,ROUND(D118,2),"")</f>
        <v/>
      </c>
      <c r="E41" s="56">
        <f>IF(E63=1,IF(E65*E66=1,FIXED(E118,2,TRUE)&amp;"/"&amp;FIXED(E119,2,TRUE),IF(E65=1,FIXED(E118,2,TRUE),FIXED(E119,2,TRUE))),"")</f>
        <v/>
      </c>
      <c r="F41" s="57">
        <f>IF(F63=1,ROUND(F118,2),"")</f>
        <v/>
      </c>
      <c r="G41" s="56">
        <f>IF(G63=1,IF(G65*G66=1,FIXED(G118,2,TRUE)&amp;"/"&amp;FIXED(G119,2,TRUE),IF(G65=1,FIXED(G118,2,TRUE),FIXED(G119,2,TRUE))),"")</f>
        <v/>
      </c>
      <c r="H41" s="57">
        <f>IF(H63=1,ROUND(H118,2),"")</f>
        <v/>
      </c>
      <c r="I41" s="56">
        <f>IF(I63=1,IF(I65*I66=1,FIXED(I118,2,TRUE)&amp;"/"&amp;FIXED(I119,2,TRUE),IF(I65=1,FIXED(I118,2,TRUE),FIXED(I119,2,TRUE))),"")</f>
        <v/>
      </c>
      <c r="J41" s="57">
        <f>IF(J63=1,ROUND(J118,2),"")</f>
        <v/>
      </c>
      <c r="K41" s="56">
        <f>IF(K63=1,IF(K65*K66=1,FIXED(K118,2,TRUE)&amp;"/"&amp;FIXED(K119,2,TRUE),IF(K65=1,FIXED(K118,2,TRUE),FIXED(K119,2,TRUE))),"")</f>
        <v/>
      </c>
      <c r="L41" s="57">
        <f>IF(L63=1,ROUND(L118,2),"")</f>
        <v/>
      </c>
      <c r="M41" s="56">
        <f>IF(M63=1,IF(M65*M66=1,FIXED(M118,2,TRUE)&amp;"/"&amp;FIXED(M119,2,TRUE),IF(M65=1,FIXED(M118,2,TRUE),FIXED(M119,2,TRUE))),"")</f>
        <v/>
      </c>
      <c r="N41" s="57">
        <f>IF(N63=1,ROUND(N118,2),"")</f>
        <v/>
      </c>
      <c r="O41" s="56">
        <f>IF(O63=1,IF(O65*O66=1,FIXED(O118,2,TRUE)&amp;"/"&amp;FIXED(O119,2,TRUE),IF(O65=1,FIXED(O118,2,TRUE),FIXED(O119,2,TRUE))),"")</f>
        <v/>
      </c>
      <c r="P41" s="57">
        <f>IF(P63=1,ROUND(P118,2),"")</f>
        <v/>
      </c>
      <c r="Q41" s="56">
        <f>IF(Q63=1,IF(Q65*Q66=1,FIXED(Q118,2,TRUE)&amp;"/"&amp;FIXED(Q119,2,TRUE),IF(Q65=1,FIXED(Q118,2,TRUE),FIXED(Q119,2,TRUE))),"")</f>
        <v/>
      </c>
      <c r="R41" s="57">
        <f>IF(R63=1,ROUND(R118,2),"")</f>
        <v/>
      </c>
      <c r="S41" s="56">
        <f>IF(S63=1,IF(S65*S66=1,FIXED(S118,2,TRUE)&amp;"/"&amp;FIXED(S119,2,TRUE),IF(S65=1,FIXED(S118,2,TRUE),FIXED(S119,2,TRUE))),"")</f>
        <v/>
      </c>
      <c r="T41" s="57">
        <f>IF(T63=1,ROUND(T118,2),"")</f>
        <v/>
      </c>
      <c r="U41" s="56">
        <f>IF(U63=1,IF(U65*U66=1,FIXED(U118,2,TRUE)&amp;"/"&amp;FIXED(U119,2,TRUE),IF(U65=1,FIXED(U118,2,TRUE),FIXED(U119,2,TRUE))),"")</f>
        <v/>
      </c>
      <c r="V41" s="57">
        <f>IF(V63=1,ROUND(V118,2),"")</f>
        <v/>
      </c>
      <c r="W41" s="56">
        <f>IF(W63=1,IF(W65*W66=1,FIXED(W118,2,TRUE)&amp;"/"&amp;FIXED(W119,2,TRUE),IF(W65=1,FIXED(W118,2,TRUE),FIXED(W119,2,TRUE))),"")</f>
        <v/>
      </c>
      <c r="X41" s="57">
        <f>IF(X63=1,ROUND(X118,2),"")</f>
        <v/>
      </c>
      <c r="Y41" s="56">
        <f>IF(Y63=1,IF(Y65*Y66=1,FIXED(Y118,2,TRUE)&amp;"/"&amp;FIXED(Y119,2,TRUE),IF(Y65=1,FIXED(Y118,2,TRUE),FIXED(Y119,2,TRUE))),"")</f>
        <v/>
      </c>
      <c r="Z41" s="57">
        <f>IF(Z63=1,ROUND(Z118,2),"")</f>
        <v/>
      </c>
      <c r="AA41" s="56">
        <f>IF(AA63=1,IF(AA65*AA66=1,FIXED(AA118,2,TRUE)&amp;"/"&amp;FIXED(AA119,2,TRUE),IF(AA65=1,FIXED(AA118,2,TRUE),FIXED(AA119,2,TRUE))),"")</f>
        <v/>
      </c>
      <c r="AB41" s="57">
        <f>IF(AB63=1,ROUND(AB118,2),"")</f>
        <v/>
      </c>
      <c r="AC41" s="56">
        <f>IF(AC63=1,IF(AC65*AC66=1,FIXED(AC118,2,TRUE)&amp;"/"&amp;FIXED(AC119,2,TRUE),IF(AC65=1,FIXED(AC118,2,TRUE),FIXED(AC119,2,TRUE))),"")</f>
        <v/>
      </c>
      <c r="AD41" s="57">
        <f>IF(AD63=1,ROUND(AD118,2),"")</f>
        <v/>
      </c>
      <c r="AE41" s="56">
        <f>IF(AE63=1,IF(AE65*AE66=1,FIXED(AE118,2,TRUE)&amp;"/"&amp;FIXED(AE119,2,TRUE),IF(AE65=1,FIXED(AE118,2,TRUE),FIXED(AE119,2,TRUE))),"")</f>
        <v/>
      </c>
      <c r="AF41" s="57">
        <f>IF(AF63=1,ROUND(AF118,2),"")</f>
        <v/>
      </c>
      <c r="AG41" s="56">
        <f>IF(AG63=1,IF(AG65*AG66=1,FIXED(AG118,2,TRUE)&amp;"/"&amp;FIXED(AG119,2,TRUE),IF(AG65=1,FIXED(AG118,2,TRUE),FIXED(AG119,2,TRUE))),"")</f>
        <v/>
      </c>
    </row>
    <row r="42" ht="27" customHeight="1">
      <c r="A42" s="50" t="inlineStr">
        <is>
          <t>Hệ số As bố trí / yêu cầu DƯỚI</t>
        </is>
      </c>
      <c r="B42" s="6" t="n"/>
      <c r="C42" s="57">
        <f>IF(OR(C63=0,C122=""),"",IF(MIN(IF(AND(C65=1,N(C122)&gt;0),C118/C122,99),IF(AND(C66=1,N(C123)&gt;0),C119/C123,99))=99,"",ROUND(MIN(IF(AND(C65=1,N(C122)&gt;0),C118/C122,99),IF(AND(C66=1,N(C123)&gt;0),C119/C123,99)),2)))</f>
        <v/>
      </c>
      <c r="D42" s="57">
        <f>IF(OR(D63=0,D122=""),"",IF(MIN(IF(AND(D65=1,N(D122)&gt;0),D118/D122,99),IF(AND(D66=1,N(D123)&gt;0),D119/D123,99))=99,"",ROUND(MIN(IF(AND(D65=1,N(D122)&gt;0),D118/D122,99),IF(AND(D66=1,N(D123)&gt;0),D119/D123,99)),2)))</f>
        <v/>
      </c>
      <c r="E42" s="57">
        <f>IF(OR(E63=0,E122=""),"",IF(MIN(IF(AND(E65=1,N(E122)&gt;0),E118/E122,99),IF(AND(E66=1,N(E123)&gt;0),E119/E123,99))=99,"",ROUND(MIN(IF(AND(E65=1,N(E122)&gt;0),E118/E122,99),IF(AND(E66=1,N(E123)&gt;0),E119/E123,99)),2)))</f>
        <v/>
      </c>
      <c r="F42" s="57">
        <f>IF(OR(F63=0,F122=""),"",IF(MIN(IF(AND(F65=1,N(F122)&gt;0),F118/F122,99),IF(AND(F66=1,N(F123)&gt;0),F119/F123,99))=99,"",ROUND(MIN(IF(AND(F65=1,N(F122)&gt;0),F118/F122,99),IF(AND(F66=1,N(F123)&gt;0),F119/F123,99)),2)))</f>
        <v/>
      </c>
      <c r="G42" s="57">
        <f>IF(OR(G63=0,G122=""),"",IF(MIN(IF(AND(G65=1,N(G122)&gt;0),G118/G122,99),IF(AND(G66=1,N(G123)&gt;0),G119/G123,99))=99,"",ROUND(MIN(IF(AND(G65=1,N(G122)&gt;0),G118/G122,99),IF(AND(G66=1,N(G123)&gt;0),G119/G123,99)),2)))</f>
        <v/>
      </c>
      <c r="H42" s="57">
        <f>IF(OR(H63=0,H122=""),"",IF(MIN(IF(AND(H65=1,N(H122)&gt;0),H118/H122,99),IF(AND(H66=1,N(H123)&gt;0),H119/H123,99))=99,"",ROUND(MIN(IF(AND(H65=1,N(H122)&gt;0),H118/H122,99),IF(AND(H66=1,N(H123)&gt;0),H119/H123,99)),2)))</f>
        <v/>
      </c>
      <c r="I42" s="57">
        <f>IF(OR(I63=0,I122=""),"",IF(MIN(IF(AND(I65=1,N(I122)&gt;0),I118/I122,99),IF(AND(I66=1,N(I123)&gt;0),I119/I123,99))=99,"",ROUND(MIN(IF(AND(I65=1,N(I122)&gt;0),I118/I122,99),IF(AND(I66=1,N(I123)&gt;0),I119/I123,99)),2)))</f>
        <v/>
      </c>
      <c r="J42" s="57">
        <f>IF(OR(J63=0,J122=""),"",IF(MIN(IF(AND(J65=1,N(J122)&gt;0),J118/J122,99),IF(AND(J66=1,N(J123)&gt;0),J119/J123,99))=99,"",ROUND(MIN(IF(AND(J65=1,N(J122)&gt;0),J118/J122,99),IF(AND(J66=1,N(J123)&gt;0),J119/J123,99)),2)))</f>
        <v/>
      </c>
      <c r="K42" s="57">
        <f>IF(OR(K63=0,K122=""),"",IF(MIN(IF(AND(K65=1,N(K122)&gt;0),K118/K122,99),IF(AND(K66=1,N(K123)&gt;0),K119/K123,99))=99,"",ROUND(MIN(IF(AND(K65=1,N(K122)&gt;0),K118/K122,99),IF(AND(K66=1,N(K123)&gt;0),K119/K123,99)),2)))</f>
        <v/>
      </c>
      <c r="L42" s="57">
        <f>IF(OR(L63=0,L122=""),"",IF(MIN(IF(AND(L65=1,N(L122)&gt;0),L118/L122,99),IF(AND(L66=1,N(L123)&gt;0),L119/L123,99))=99,"",ROUND(MIN(IF(AND(L65=1,N(L122)&gt;0),L118/L122,99),IF(AND(L66=1,N(L123)&gt;0),L119/L123,99)),2)))</f>
        <v/>
      </c>
      <c r="M42" s="57">
        <f>IF(OR(M63=0,M122=""),"",IF(MIN(IF(AND(M65=1,N(M122)&gt;0),M118/M122,99),IF(AND(M66=1,N(M123)&gt;0),M119/M123,99))=99,"",ROUND(MIN(IF(AND(M65=1,N(M122)&gt;0),M118/M122,99),IF(AND(M66=1,N(M123)&gt;0),M119/M123,99)),2)))</f>
        <v/>
      </c>
      <c r="N42" s="57">
        <f>IF(OR(N63=0,N122=""),"",IF(MIN(IF(AND(N65=1,N(N122)&gt;0),N118/N122,99),IF(AND(N66=1,N(N123)&gt;0),N119/N123,99))=99,"",ROUND(MIN(IF(AND(N65=1,N(N122)&gt;0),N118/N122,99),IF(AND(N66=1,N(N123)&gt;0),N119/N123,99)),2)))</f>
        <v/>
      </c>
      <c r="O42" s="57">
        <f>IF(OR(O63=0,O122=""),"",IF(MIN(IF(AND(O65=1,N(O122)&gt;0),O118/O122,99),IF(AND(O66=1,N(O123)&gt;0),O119/O123,99))=99,"",ROUND(MIN(IF(AND(O65=1,N(O122)&gt;0),O118/O122,99),IF(AND(O66=1,N(O123)&gt;0),O119/O123,99)),2)))</f>
        <v/>
      </c>
      <c r="P42" s="57">
        <f>IF(OR(P63=0,P122=""),"",IF(MIN(IF(AND(P65=1,N(P122)&gt;0),P118/P122,99),IF(AND(P66=1,N(P123)&gt;0),P119/P123,99))=99,"",ROUND(MIN(IF(AND(P65=1,N(P122)&gt;0),P118/P122,99),IF(AND(P66=1,N(P123)&gt;0),P119/P123,99)),2)))</f>
        <v/>
      </c>
      <c r="Q42" s="57">
        <f>IF(OR(Q63=0,Q122=""),"",IF(MIN(IF(AND(Q65=1,N(Q122)&gt;0),Q118/Q122,99),IF(AND(Q66=1,N(Q123)&gt;0),Q119/Q123,99))=99,"",ROUND(MIN(IF(AND(Q65=1,N(Q122)&gt;0),Q118/Q122,99),IF(AND(Q66=1,N(Q123)&gt;0),Q119/Q123,99)),2)))</f>
        <v/>
      </c>
      <c r="R42" s="57">
        <f>IF(OR(R63=0,R122=""),"",IF(MIN(IF(AND(R65=1,N(R122)&gt;0),R118/R122,99),IF(AND(R66=1,N(R123)&gt;0),R119/R123,99))=99,"",ROUND(MIN(IF(AND(R65=1,N(R122)&gt;0),R118/R122,99),IF(AND(R66=1,N(R123)&gt;0),R119/R123,99)),2)))</f>
        <v/>
      </c>
      <c r="S42" s="57">
        <f>IF(OR(S63=0,S122=""),"",IF(MIN(IF(AND(S65=1,N(S122)&gt;0),S118/S122,99),IF(AND(S66=1,N(S123)&gt;0),S119/S123,99))=99,"",ROUND(MIN(IF(AND(S65=1,N(S122)&gt;0),S118/S122,99),IF(AND(S66=1,N(S123)&gt;0),S119/S123,99)),2)))</f>
        <v/>
      </c>
      <c r="T42" s="57">
        <f>IF(OR(T63=0,T122=""),"",IF(MIN(IF(AND(T65=1,N(T122)&gt;0),T118/T122,99),IF(AND(T66=1,N(T123)&gt;0),T119/T123,99))=99,"",ROUND(MIN(IF(AND(T65=1,N(T122)&gt;0),T118/T122,99),IF(AND(T66=1,N(T123)&gt;0),T119/T123,99)),2)))</f>
        <v/>
      </c>
      <c r="U42" s="57">
        <f>IF(OR(U63=0,U122=""),"",IF(MIN(IF(AND(U65=1,N(U122)&gt;0),U118/U122,99),IF(AND(U66=1,N(U123)&gt;0),U119/U123,99))=99,"",ROUND(MIN(IF(AND(U65=1,N(U122)&gt;0),U118/U122,99),IF(AND(U66=1,N(U123)&gt;0),U119/U123,99)),2)))</f>
        <v/>
      </c>
      <c r="V42" s="57">
        <f>IF(OR(V63=0,V122=""),"",IF(MIN(IF(AND(V65=1,N(V122)&gt;0),V118/V122,99),IF(AND(V66=1,N(V123)&gt;0),V119/V123,99))=99,"",ROUND(MIN(IF(AND(V65=1,N(V122)&gt;0),V118/V122,99),IF(AND(V66=1,N(V123)&gt;0),V119/V123,99)),2)))</f>
        <v/>
      </c>
      <c r="W42" s="57">
        <f>IF(OR(W63=0,W122=""),"",IF(MIN(IF(AND(W65=1,N(W122)&gt;0),W118/W122,99),IF(AND(W66=1,N(W123)&gt;0),W119/W123,99))=99,"",ROUND(MIN(IF(AND(W65=1,N(W122)&gt;0),W118/W122,99),IF(AND(W66=1,N(W123)&gt;0),W119/W123,99)),2)))</f>
        <v/>
      </c>
      <c r="X42" s="57">
        <f>IF(OR(X63=0,X122=""),"",IF(MIN(IF(AND(X65=1,N(X122)&gt;0),X118/X122,99),IF(AND(X66=1,N(X123)&gt;0),X119/X123,99))=99,"",ROUND(MIN(IF(AND(X65=1,N(X122)&gt;0),X118/X122,99),IF(AND(X66=1,N(X123)&gt;0),X119/X123,99)),2)))</f>
        <v/>
      </c>
      <c r="Y42" s="57">
        <f>IF(OR(Y63=0,Y122=""),"",IF(MIN(IF(AND(Y65=1,N(Y122)&gt;0),Y118/Y122,99),IF(AND(Y66=1,N(Y123)&gt;0),Y119/Y123,99))=99,"",ROUND(MIN(IF(AND(Y65=1,N(Y122)&gt;0),Y118/Y122,99),IF(AND(Y66=1,N(Y123)&gt;0),Y119/Y123,99)),2)))</f>
        <v/>
      </c>
      <c r="Z42" s="57">
        <f>IF(OR(Z63=0,Z122=""),"",IF(MIN(IF(AND(Z65=1,N(Z122)&gt;0),Z118/Z122,99),IF(AND(Z66=1,N(Z123)&gt;0),Z119/Z123,99))=99,"",ROUND(MIN(IF(AND(Z65=1,N(Z122)&gt;0),Z118/Z122,99),IF(AND(Z66=1,N(Z123)&gt;0),Z119/Z123,99)),2)))</f>
        <v/>
      </c>
      <c r="AA42" s="57">
        <f>IF(OR(AA63=0,AA122=""),"",IF(MIN(IF(AND(AA65=1,N(AA122)&gt;0),AA118/AA122,99),IF(AND(AA66=1,N(AA123)&gt;0),AA119/AA123,99))=99,"",ROUND(MIN(IF(AND(AA65=1,N(AA122)&gt;0),AA118/AA122,99),IF(AND(AA66=1,N(AA123)&gt;0),AA119/AA123,99)),2)))</f>
        <v/>
      </c>
      <c r="AB42" s="57">
        <f>IF(OR(AB63=0,AB122=""),"",IF(MIN(IF(AND(AB65=1,N(AB122)&gt;0),AB118/AB122,99),IF(AND(AB66=1,N(AB123)&gt;0),AB119/AB123,99))=99,"",ROUND(MIN(IF(AND(AB65=1,N(AB122)&gt;0),AB118/AB122,99),IF(AND(AB66=1,N(AB123)&gt;0),AB119/AB123,99)),2)))</f>
        <v/>
      </c>
      <c r="AC42" s="57">
        <f>IF(OR(AC63=0,AC122=""),"",IF(MIN(IF(AND(AC65=1,N(AC122)&gt;0),AC118/AC122,99),IF(AND(AC66=1,N(AC123)&gt;0),AC119/AC123,99))=99,"",ROUND(MIN(IF(AND(AC65=1,N(AC122)&gt;0),AC118/AC122,99),IF(AND(AC66=1,N(AC123)&gt;0),AC119/AC123,99)),2)))</f>
        <v/>
      </c>
      <c r="AD42" s="57">
        <f>IF(OR(AD63=0,AD122=""),"",IF(MIN(IF(AND(AD65=1,N(AD122)&gt;0),AD118/AD122,99),IF(AND(AD66=1,N(AD123)&gt;0),AD119/AD123,99))=99,"",ROUND(MIN(IF(AND(AD65=1,N(AD122)&gt;0),AD118/AD122,99),IF(AND(AD66=1,N(AD123)&gt;0),AD119/AD123,99)),2)))</f>
        <v/>
      </c>
      <c r="AE42" s="57">
        <f>IF(OR(AE63=0,AE122=""),"",IF(MIN(IF(AND(AE65=1,N(AE122)&gt;0),AE118/AE122,99),IF(AND(AE66=1,N(AE123)&gt;0),AE119/AE123,99))=99,"",ROUND(MIN(IF(AND(AE65=1,N(AE122)&gt;0),AE118/AE122,99),IF(AND(AE66=1,N(AE123)&gt;0),AE119/AE123,99)),2)))</f>
        <v/>
      </c>
      <c r="AF42" s="57">
        <f>IF(OR(AF63=0,AF122=""),"",IF(MIN(IF(AND(AF65=1,N(AF122)&gt;0),AF118/AF122,99),IF(AND(AF66=1,N(AF123)&gt;0),AF119/AF123,99))=99,"",ROUND(MIN(IF(AND(AF65=1,N(AF122)&gt;0),AF118/AF122,99),IF(AND(AF66=1,N(AF123)&gt;0),AF119/AF123,99)),2)))</f>
        <v/>
      </c>
      <c r="AG42" s="57">
        <f>IF(OR(AG63=0,AG122=""),"",IF(MIN(IF(AND(AG65=1,N(AG122)&gt;0),AG118/AG122,99),IF(AND(AG66=1,N(AG123)&gt;0),AG119/AG123,99))=99,"",ROUND(MIN(IF(AND(AG65=1,N(AG122)&gt;0),AG118/AG122,99),IF(AND(AG66=1,N(AG123)&gt;0),AG119/AG123,99)),2)))</f>
        <v/>
      </c>
    </row>
    <row r="43" ht="18" customHeight="1">
      <c r="A43" s="48" t="inlineStr">
        <is>
          <t>KIỂM TRA SỐ LIỆU</t>
        </is>
      </c>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c r="AA43" s="49" t="n"/>
      <c r="AB43" s="49" t="n"/>
      <c r="AC43" s="49" t="n"/>
      <c r="AD43" s="49" t="n"/>
      <c r="AE43" s="49" t="n"/>
      <c r="AF43" s="49" t="n"/>
      <c r="AG43" s="49" t="n"/>
    </row>
    <row r="44" ht="27" customHeight="1">
      <c r="A44" s="50" t="inlineStr">
        <is>
          <t>Kết quả kiểm tra từng cột</t>
        </is>
      </c>
      <c r="B44" s="6" t="n"/>
      <c r="C44" s="58">
        <f>IF(C63=0,"",IF(C60="","Thiếu KT gối",IF(C26="","Thiếu tên trục",IF(C124&gt;0,"Sai KH thép","OK"))))</f>
        <v/>
      </c>
      <c r="D44" s="58">
        <f>IF(D63=0,IF(D11="","","Sai Ltt"),IF(FALSE,"Nhịp đứt quãng",IF(D26="","Thiếu đai",IF(D124&gt;0,"Sai KH thép","OK"))))</f>
        <v/>
      </c>
      <c r="E44" s="58">
        <f>IF(E63=0,"",IF(E60="","Thiếu KT gối",IF(E26="","Thiếu tên trục",IF(E124&gt;0,"Sai KH thép","OK"))))</f>
        <v/>
      </c>
      <c r="F44" s="58">
        <f>IF(F63=0,IF(F11="","","Sai Ltt"),IF(AND(D$63=0,F63=1),"Nhịp đứt quãng",IF(F26="","Thiếu đai",IF(F124&gt;0,"Sai KH thép","OK"))))</f>
        <v/>
      </c>
      <c r="G44" s="58">
        <f>IF(G63=0,"",IF(G60="","Thiếu KT gối",IF(G26="","Thiếu tên trục",IF(G124&gt;0,"Sai KH thép","OK"))))</f>
        <v/>
      </c>
      <c r="H44" s="58">
        <f>IF(H63=0,IF(H11="","","Sai Ltt"),IF(AND(F$63=0,H63=1),"Nhịp đứt quãng",IF(H26="","Thiếu đai",IF(H124&gt;0,"Sai KH thép","OK"))))</f>
        <v/>
      </c>
      <c r="I44" s="58">
        <f>IF(I63=0,"",IF(I60="","Thiếu KT gối",IF(I26="","Thiếu tên trục",IF(I124&gt;0,"Sai KH thép","OK"))))</f>
        <v/>
      </c>
      <c r="J44" s="58">
        <f>IF(J63=0,IF(J11="","","Sai Ltt"),IF(AND(H$63=0,J63=1),"Nhịp đứt quãng",IF(J26="","Thiếu đai",IF(J124&gt;0,"Sai KH thép","OK"))))</f>
        <v/>
      </c>
      <c r="K44" s="58">
        <f>IF(K63=0,"",IF(K60="","Thiếu KT gối",IF(K26="","Thiếu tên trục",IF(K124&gt;0,"Sai KH thép","OK"))))</f>
        <v/>
      </c>
      <c r="L44" s="58">
        <f>IF(L63=0,IF(L11="","","Sai Ltt"),IF(AND(J$63=0,L63=1),"Nhịp đứt quãng",IF(L26="","Thiếu đai",IF(L124&gt;0,"Sai KH thép","OK"))))</f>
        <v/>
      </c>
      <c r="M44" s="58">
        <f>IF(M63=0,"",IF(M60="","Thiếu KT gối",IF(M26="","Thiếu tên trục",IF(M124&gt;0,"Sai KH thép","OK"))))</f>
        <v/>
      </c>
      <c r="N44" s="58">
        <f>IF(N63=0,IF(N11="","","Sai Ltt"),IF(AND(L$63=0,N63=1),"Nhịp đứt quãng",IF(N26="","Thiếu đai",IF(N124&gt;0,"Sai KH thép","OK"))))</f>
        <v/>
      </c>
      <c r="O44" s="58">
        <f>IF(O63=0,"",IF(O60="","Thiếu KT gối",IF(O26="","Thiếu tên trục",IF(O124&gt;0,"Sai KH thép","OK"))))</f>
        <v/>
      </c>
      <c r="P44" s="58">
        <f>IF(P63=0,IF(P11="","","Sai Ltt"),IF(AND(N$63=0,P63=1),"Nhịp đứt quãng",IF(P26="","Thiếu đai",IF(P124&gt;0,"Sai KH thép","OK"))))</f>
        <v/>
      </c>
      <c r="Q44" s="58">
        <f>IF(Q63=0,"",IF(Q60="","Thiếu KT gối",IF(Q26="","Thiếu tên trục",IF(Q124&gt;0,"Sai KH thép","OK"))))</f>
        <v/>
      </c>
      <c r="R44" s="58">
        <f>IF(R63=0,IF(R11="","","Sai Ltt"),IF(AND(P$63=0,R63=1),"Nhịp đứt quãng",IF(R26="","Thiếu đai",IF(R124&gt;0,"Sai KH thép","OK"))))</f>
        <v/>
      </c>
      <c r="S44" s="58">
        <f>IF(S63=0,"",IF(S60="","Thiếu KT gối",IF(S26="","Thiếu tên trục",IF(S124&gt;0,"Sai KH thép","OK"))))</f>
        <v/>
      </c>
      <c r="T44" s="58">
        <f>IF(T63=0,IF(T11="","","Sai Ltt"),IF(AND(R$63=0,T63=1),"Nhịp đứt quãng",IF(T26="","Thiếu đai",IF(T124&gt;0,"Sai KH thép","OK"))))</f>
        <v/>
      </c>
      <c r="U44" s="58">
        <f>IF(U63=0,"",IF(U60="","Thiếu KT gối",IF(U26="","Thiếu tên trục",IF(U124&gt;0,"Sai KH thép","OK"))))</f>
        <v/>
      </c>
      <c r="V44" s="58">
        <f>IF(V63=0,IF(V11="","","Sai Ltt"),IF(AND(T$63=0,V63=1),"Nhịp đứt quãng",IF(V26="","Thiếu đai",IF(V124&gt;0,"Sai KH thép","OK"))))</f>
        <v/>
      </c>
      <c r="W44" s="58">
        <f>IF(W63=0,"",IF(W60="","Thiếu KT gối",IF(W26="","Thiếu tên trục",IF(W124&gt;0,"Sai KH thép","OK"))))</f>
        <v/>
      </c>
      <c r="X44" s="58">
        <f>IF(X63=0,IF(X11="","","Sai Ltt"),IF(AND(V$63=0,X63=1),"Nhịp đứt quãng",IF(X26="","Thiếu đai",IF(X124&gt;0,"Sai KH thép","OK"))))</f>
        <v/>
      </c>
      <c r="Y44" s="58">
        <f>IF(Y63=0,"",IF(Y60="","Thiếu KT gối",IF(Y26="","Thiếu tên trục",IF(Y124&gt;0,"Sai KH thép","OK"))))</f>
        <v/>
      </c>
      <c r="Z44" s="58">
        <f>IF(Z63=0,IF(Z11="","","Sai Ltt"),IF(AND(X$63=0,Z63=1),"Nhịp đứt quãng",IF(Z26="","Thiếu đai",IF(Z124&gt;0,"Sai KH thép","OK"))))</f>
        <v/>
      </c>
      <c r="AA44" s="58">
        <f>IF(AA63=0,"",IF(AA60="","Thiếu KT gối",IF(AA26="","Thiếu tên trục",IF(AA124&gt;0,"Sai KH thép","OK"))))</f>
        <v/>
      </c>
      <c r="AB44" s="58">
        <f>IF(AB63=0,IF(AB11="","","Sai Ltt"),IF(AND(Z$63=0,AB63=1),"Nhịp đứt quãng",IF(AB26="","Thiếu đai",IF(AB124&gt;0,"Sai KH thép","OK"))))</f>
        <v/>
      </c>
      <c r="AC44" s="58">
        <f>IF(AC63=0,"",IF(AC60="","Thiếu KT gối",IF(AC26="","Thiếu tên trục",IF(AC124&gt;0,"Sai KH thép","OK"))))</f>
        <v/>
      </c>
      <c r="AD44" s="58">
        <f>IF(AD63=0,IF(AD11="","","Sai Ltt"),IF(AND(AB$63=0,AD63=1),"Nhịp đứt quãng",IF(AD26="","Thiếu đai",IF(AD124&gt;0,"Sai KH thép","OK"))))</f>
        <v/>
      </c>
      <c r="AE44" s="58">
        <f>IF(AE63=0,"",IF(AE60="","Thiếu KT gối",IF(AE26="","Thiếu tên trục",IF(AE124&gt;0,"Sai KH thép","OK"))))</f>
        <v/>
      </c>
      <c r="AF44" s="58">
        <f>IF(AF63=0,IF(AF11="","","Sai Ltt"),IF(AND(AD$63=0,AF63=1),"Nhịp đứt quãng",IF(AF26="","Thiếu đai",IF(AF124&gt;0,"Sai KH thép","OK"))))</f>
        <v/>
      </c>
      <c r="AG44" s="58">
        <f>IF(AG63=0,"",IF(AG60="","Thiếu KT gối",IF(AG26="","Thiếu tên trục",IF(AG124&gt;0,"Sai KH thép","OK"))))</f>
        <v/>
      </c>
    </row>
    <row r="59">
      <c r="A59" s="59" t="inlineStr">
        <is>
          <t>▼ Hàng ẩn phụ trợ (dòng 60+) – dùng cho kiểm tra, không nhập.</t>
        </is>
      </c>
    </row>
    <row r="60" hidden="1" outlineLevel="1">
      <c r="A60" s="60" t="inlineStr">
        <is>
          <t>(phụ trợ) W</t>
        </is>
      </c>
      <c r="C60">
        <f>IF(C11="","",IFERROR(LEFT(C11,MIN(FIND({"x","/"},C11&amp;"x/"))-1)*1,0))</f>
        <v/>
      </c>
      <c r="D60">
        <f>IF(ISNUMBER(D11),D11,IFERROR(D11*1,""))</f>
        <v/>
      </c>
      <c r="E60">
        <f>IF(E11="","",IFERROR(LEFT(E11,MIN(FIND({"x","/"},E11&amp;"x/"))-1)*1,0))</f>
        <v/>
      </c>
      <c r="F60">
        <f>IF(ISNUMBER(F11),F11,IFERROR(F11*1,""))</f>
        <v/>
      </c>
      <c r="G60">
        <f>IF(G11="","",IFERROR(LEFT(G11,MIN(FIND({"x","/"},G11&amp;"x/"))-1)*1,0))</f>
        <v/>
      </c>
      <c r="H60">
        <f>IF(ISNUMBER(H11),H11,IFERROR(H11*1,""))</f>
        <v/>
      </c>
      <c r="I60">
        <f>IF(I11="","",IFERROR(LEFT(I11,MIN(FIND({"x","/"},I11&amp;"x/"))-1)*1,0))</f>
        <v/>
      </c>
      <c r="J60">
        <f>IF(ISNUMBER(J11),J11,IFERROR(J11*1,""))</f>
        <v/>
      </c>
      <c r="K60">
        <f>IF(K11="","",IFERROR(LEFT(K11,MIN(FIND({"x","/"},K11&amp;"x/"))-1)*1,0))</f>
        <v/>
      </c>
      <c r="L60">
        <f>IF(ISNUMBER(L11),L11,IFERROR(L11*1,""))</f>
        <v/>
      </c>
      <c r="M60">
        <f>IF(M11="","",IFERROR(LEFT(M11,MIN(FIND({"x","/"},M11&amp;"x/"))-1)*1,0))</f>
        <v/>
      </c>
      <c r="N60">
        <f>IF(ISNUMBER(N11),N11,IFERROR(N11*1,""))</f>
        <v/>
      </c>
      <c r="O60">
        <f>IF(O11="","",IFERROR(LEFT(O11,MIN(FIND({"x","/"},O11&amp;"x/"))-1)*1,0))</f>
        <v/>
      </c>
      <c r="P60">
        <f>IF(ISNUMBER(P11),P11,IFERROR(P11*1,""))</f>
        <v/>
      </c>
      <c r="Q60">
        <f>IF(Q11="","",IFERROR(LEFT(Q11,MIN(FIND({"x","/"},Q11&amp;"x/"))-1)*1,0))</f>
        <v/>
      </c>
      <c r="R60">
        <f>IF(ISNUMBER(R11),R11,IFERROR(R11*1,""))</f>
        <v/>
      </c>
      <c r="S60">
        <f>IF(S11="","",IFERROR(LEFT(S11,MIN(FIND({"x","/"},S11&amp;"x/"))-1)*1,0))</f>
        <v/>
      </c>
      <c r="T60">
        <f>IF(ISNUMBER(T11),T11,IFERROR(T11*1,""))</f>
        <v/>
      </c>
      <c r="U60">
        <f>IF(U11="","",IFERROR(LEFT(U11,MIN(FIND({"x","/"},U11&amp;"x/"))-1)*1,0))</f>
        <v/>
      </c>
      <c r="V60">
        <f>IF(ISNUMBER(V11),V11,IFERROR(V11*1,""))</f>
        <v/>
      </c>
      <c r="W60">
        <f>IF(W11="","",IFERROR(LEFT(W11,MIN(FIND({"x","/"},W11&amp;"x/"))-1)*1,0))</f>
        <v/>
      </c>
      <c r="X60">
        <f>IF(ISNUMBER(X11),X11,IFERROR(X11*1,""))</f>
        <v/>
      </c>
      <c r="Y60">
        <f>IF(Y11="","",IFERROR(LEFT(Y11,MIN(FIND({"x","/"},Y11&amp;"x/"))-1)*1,0))</f>
        <v/>
      </c>
      <c r="Z60">
        <f>IF(ISNUMBER(Z11),Z11,IFERROR(Z11*1,""))</f>
        <v/>
      </c>
      <c r="AA60">
        <f>IF(AA11="","",IFERROR(LEFT(AA11,MIN(FIND({"x","/"},AA11&amp;"x/"))-1)*1,0))</f>
        <v/>
      </c>
      <c r="AB60">
        <f>IF(ISNUMBER(AB11),AB11,IFERROR(AB11*1,""))</f>
        <v/>
      </c>
      <c r="AC60">
        <f>IF(AC11="","",IFERROR(LEFT(AC11,MIN(FIND({"x","/"},AC11&amp;"x/"))-1)*1,0))</f>
        <v/>
      </c>
      <c r="AD60">
        <f>IF(ISNUMBER(AD11),AD11,IFERROR(AD11*1,""))</f>
        <v/>
      </c>
      <c r="AE60">
        <f>IF(AE11="","",IFERROR(LEFT(AE11,MIN(FIND({"x","/"},AE11&amp;"x/"))-1)*1,0))</f>
        <v/>
      </c>
      <c r="AF60">
        <f>IF(ISNUMBER(AF11),AF11,IFERROR(AF11*1,""))</f>
        <v/>
      </c>
      <c r="AG60">
        <f>IF(AG11="","",IFERROR(LEFT(AG11,MIN(FIND({"x","/"},AG11&amp;"x/"))-1)*1,0))</f>
        <v/>
      </c>
    </row>
    <row r="61" hidden="1" outlineLevel="1">
      <c r="A61" s="60" t="inlineStr">
        <is>
          <t>(phụ trợ) X</t>
        </is>
      </c>
      <c r="C61">
        <f>0</f>
        <v/>
      </c>
      <c r="D61">
        <f>C61+N(C60)</f>
        <v/>
      </c>
      <c r="E61">
        <f>D61+N(D60)</f>
        <v/>
      </c>
      <c r="F61">
        <f>E61+N(E60)</f>
        <v/>
      </c>
      <c r="G61">
        <f>F61+N(F60)</f>
        <v/>
      </c>
      <c r="H61">
        <f>G61+N(G60)</f>
        <v/>
      </c>
      <c r="I61">
        <f>H61+N(H60)</f>
        <v/>
      </c>
      <c r="J61">
        <f>I61+N(I60)</f>
        <v/>
      </c>
      <c r="K61">
        <f>J61+N(J60)</f>
        <v/>
      </c>
      <c r="L61">
        <f>K61+N(K60)</f>
        <v/>
      </c>
      <c r="M61">
        <f>L61+N(L60)</f>
        <v/>
      </c>
      <c r="N61">
        <f>M61+N(M60)</f>
        <v/>
      </c>
      <c r="O61">
        <f>N61+N(N60)</f>
        <v/>
      </c>
      <c r="P61">
        <f>O61+N(O60)</f>
        <v/>
      </c>
      <c r="Q61">
        <f>P61+N(P60)</f>
        <v/>
      </c>
      <c r="R61">
        <f>Q61+N(Q60)</f>
        <v/>
      </c>
      <c r="S61">
        <f>R61+N(R60)</f>
        <v/>
      </c>
      <c r="T61">
        <f>S61+N(S60)</f>
        <v/>
      </c>
      <c r="U61">
        <f>T61+N(T60)</f>
        <v/>
      </c>
      <c r="V61">
        <f>U61+N(U60)</f>
        <v/>
      </c>
      <c r="W61">
        <f>V61+N(V60)</f>
        <v/>
      </c>
      <c r="X61">
        <f>W61+N(W60)</f>
        <v/>
      </c>
      <c r="Y61">
        <f>X61+N(X60)</f>
        <v/>
      </c>
      <c r="Z61">
        <f>Y61+N(Y60)</f>
        <v/>
      </c>
      <c r="AA61">
        <f>Z61+N(Z60)</f>
        <v/>
      </c>
      <c r="AB61">
        <f>AA61+N(AA60)</f>
        <v/>
      </c>
      <c r="AC61">
        <f>AB61+N(AB60)</f>
        <v/>
      </c>
      <c r="AD61">
        <f>AC61+N(AC60)</f>
        <v/>
      </c>
      <c r="AE61">
        <f>AD61+N(AD60)</f>
        <v/>
      </c>
      <c r="AF61">
        <f>AE61+N(AE60)</f>
        <v/>
      </c>
      <c r="AG61">
        <f>AF61+N(AF60)</f>
        <v/>
      </c>
    </row>
    <row r="62" hidden="1" outlineLevel="1">
      <c r="A62" s="60" t="inlineStr">
        <is>
          <t>(phụ trợ) AX</t>
        </is>
      </c>
      <c r="C62">
        <f>IF(C63=1,C61+N(C60)/2+C67,"")</f>
        <v/>
      </c>
      <c r="E62">
        <f>IF(E63=1,E61+N(E60)/2+E67,"")</f>
        <v/>
      </c>
      <c r="G62">
        <f>IF(G63=1,G61+N(G60)/2+G67,"")</f>
        <v/>
      </c>
      <c r="I62">
        <f>IF(I63=1,I61+N(I60)/2+I67,"")</f>
        <v/>
      </c>
      <c r="K62">
        <f>IF(K63=1,K61+N(K60)/2+K67,"")</f>
        <v/>
      </c>
      <c r="M62">
        <f>IF(M63=1,M61+N(M60)/2+M67,"")</f>
        <v/>
      </c>
      <c r="O62">
        <f>IF(O63=1,O61+N(O60)/2+O67,"")</f>
        <v/>
      </c>
      <c r="Q62">
        <f>IF(Q63=1,Q61+N(Q60)/2+Q67,"")</f>
        <v/>
      </c>
      <c r="S62">
        <f>IF(S63=1,S61+N(S60)/2+S67,"")</f>
        <v/>
      </c>
      <c r="U62">
        <f>IF(U63=1,U61+N(U60)/2+U67,"")</f>
        <v/>
      </c>
      <c r="W62">
        <f>IF(W63=1,W61+N(W60)/2+W67,"")</f>
        <v/>
      </c>
      <c r="Y62">
        <f>IF(Y63=1,Y61+N(Y60)/2+Y67,"")</f>
        <v/>
      </c>
      <c r="AA62">
        <f>IF(AA63=1,AA61+N(AA60)/2+AA67,"")</f>
        <v/>
      </c>
      <c r="AC62">
        <f>IF(AC63=1,AC61+N(AC60)/2+AC67,"")</f>
        <v/>
      </c>
      <c r="AE62">
        <f>IF(AE63=1,AE61+N(AE60)/2+AE67,"")</f>
        <v/>
      </c>
      <c r="AG62">
        <f>IF(AG63=1,AG61+N(AG60)/2+AG67,"")</f>
        <v/>
      </c>
    </row>
    <row r="63" hidden="1" outlineLevel="1">
      <c r="A63" s="60" t="inlineStr">
        <is>
          <t>(phụ trợ) ACT</t>
        </is>
      </c>
      <c r="C63">
        <f>IF(0+N(D63)&gt;0,1,0)</f>
        <v/>
      </c>
      <c r="D63">
        <f>IF(N(D60)&gt;0,1,0)</f>
        <v/>
      </c>
      <c r="E63">
        <f>IF(N(D63)+N(F63)&gt;0,1,0)</f>
        <v/>
      </c>
      <c r="F63">
        <f>IF(N(F60)&gt;0,1,0)</f>
        <v/>
      </c>
      <c r="G63">
        <f>IF(N(F63)+N(H63)&gt;0,1,0)</f>
        <v/>
      </c>
      <c r="H63">
        <f>IF(N(H60)&gt;0,1,0)</f>
        <v/>
      </c>
      <c r="I63">
        <f>IF(N(H63)+N(J63)&gt;0,1,0)</f>
        <v/>
      </c>
      <c r="J63">
        <f>IF(N(J60)&gt;0,1,0)</f>
        <v/>
      </c>
      <c r="K63">
        <f>IF(N(J63)+N(L63)&gt;0,1,0)</f>
        <v/>
      </c>
      <c r="L63">
        <f>IF(N(L60)&gt;0,1,0)</f>
        <v/>
      </c>
      <c r="M63">
        <f>IF(N(L63)+N(N63)&gt;0,1,0)</f>
        <v/>
      </c>
      <c r="N63">
        <f>IF(N(N60)&gt;0,1,0)</f>
        <v/>
      </c>
      <c r="O63">
        <f>IF(N(N63)+N(P63)&gt;0,1,0)</f>
        <v/>
      </c>
      <c r="P63">
        <f>IF(N(P60)&gt;0,1,0)</f>
        <v/>
      </c>
      <c r="Q63">
        <f>IF(N(P63)+N(R63)&gt;0,1,0)</f>
        <v/>
      </c>
      <c r="R63">
        <f>IF(N(R60)&gt;0,1,0)</f>
        <v/>
      </c>
      <c r="S63">
        <f>IF(N(R63)+N(T63)&gt;0,1,0)</f>
        <v/>
      </c>
      <c r="T63">
        <f>IF(N(T60)&gt;0,1,0)</f>
        <v/>
      </c>
      <c r="U63">
        <f>IF(N(T63)+N(V63)&gt;0,1,0)</f>
        <v/>
      </c>
      <c r="V63">
        <f>IF(N(V60)&gt;0,1,0)</f>
        <v/>
      </c>
      <c r="W63">
        <f>IF(N(V63)+N(X63)&gt;0,1,0)</f>
        <v/>
      </c>
      <c r="X63">
        <f>IF(N(X60)&gt;0,1,0)</f>
        <v/>
      </c>
      <c r="Y63">
        <f>IF(N(X63)+N(Z63)&gt;0,1,0)</f>
        <v/>
      </c>
      <c r="Z63">
        <f>IF(N(Z60)&gt;0,1,0)</f>
        <v/>
      </c>
      <c r="AA63">
        <f>IF(N(Z63)+N(AB63)&gt;0,1,0)</f>
        <v/>
      </c>
      <c r="AB63">
        <f>IF(N(AB60)&gt;0,1,0)</f>
        <v/>
      </c>
      <c r="AC63">
        <f>IF(N(AB63)+N(AD63)&gt;0,1,0)</f>
        <v/>
      </c>
      <c r="AD63">
        <f>IF(N(AD60)&gt;0,1,0)</f>
        <v/>
      </c>
      <c r="AE63">
        <f>IF(N(AD63)+N(AF63)&gt;0,1,0)</f>
        <v/>
      </c>
      <c r="AF63">
        <f>IF(N(AF60)&gt;0,1,0)</f>
        <v/>
      </c>
      <c r="AG63">
        <f>IF(N(AF63)+0&gt;0,1,0)</f>
        <v/>
      </c>
    </row>
    <row r="64" hidden="1" outlineLevel="1">
      <c r="A64" s="60" t="inlineStr">
        <is>
          <t>(phụ trợ) SHOW</t>
        </is>
      </c>
      <c r="C64">
        <f>IF(0+N(D64)&gt;0,1,0)</f>
        <v/>
      </c>
      <c r="D64">
        <f>IF(D63+1&gt;0,1,0)</f>
        <v/>
      </c>
      <c r="E64">
        <f>IF(N(D64)+N(F64)&gt;0,1,0)</f>
        <v/>
      </c>
      <c r="F64">
        <f>IF(F63+N(D63)&gt;0,1,0)</f>
        <v/>
      </c>
      <c r="G64">
        <f>IF(N(F64)+N(H64)&gt;0,1,0)</f>
        <v/>
      </c>
      <c r="H64">
        <f>IF(H63+N(F63)&gt;0,1,0)</f>
        <v/>
      </c>
      <c r="I64">
        <f>IF(N(H64)+N(J64)&gt;0,1,0)</f>
        <v/>
      </c>
      <c r="J64">
        <f>IF(J63+N(H63)&gt;0,1,0)</f>
        <v/>
      </c>
      <c r="K64">
        <f>IF(N(J64)+N(L64)&gt;0,1,0)</f>
        <v/>
      </c>
      <c r="L64">
        <f>IF(L63+N(J63)&gt;0,1,0)</f>
        <v/>
      </c>
      <c r="M64">
        <f>IF(N(L64)+N(N64)&gt;0,1,0)</f>
        <v/>
      </c>
      <c r="N64">
        <f>IF(N63+N(L63)&gt;0,1,0)</f>
        <v/>
      </c>
      <c r="O64">
        <f>IF(N(N64)+N(P64)&gt;0,1,0)</f>
        <v/>
      </c>
      <c r="P64">
        <f>IF(P63+N(N63)&gt;0,1,0)</f>
        <v/>
      </c>
      <c r="Q64">
        <f>IF(N(P64)+N(R64)&gt;0,1,0)</f>
        <v/>
      </c>
      <c r="R64">
        <f>IF(R63+N(P63)&gt;0,1,0)</f>
        <v/>
      </c>
      <c r="S64">
        <f>IF(N(R64)+N(T64)&gt;0,1,0)</f>
        <v/>
      </c>
      <c r="T64">
        <f>IF(T63+N(R63)&gt;0,1,0)</f>
        <v/>
      </c>
      <c r="U64">
        <f>IF(N(T64)+N(V64)&gt;0,1,0)</f>
        <v/>
      </c>
      <c r="V64">
        <f>IF(V63+N(T63)&gt;0,1,0)</f>
        <v/>
      </c>
      <c r="W64">
        <f>IF(N(V64)+N(X64)&gt;0,1,0)</f>
        <v/>
      </c>
      <c r="X64">
        <f>IF(X63+N(V63)&gt;0,1,0)</f>
        <v/>
      </c>
      <c r="Y64">
        <f>IF(N(X64)+N(Z64)&gt;0,1,0)</f>
        <v/>
      </c>
      <c r="Z64">
        <f>IF(Z63+N(X63)&gt;0,1,0)</f>
        <v/>
      </c>
      <c r="AA64">
        <f>IF(N(Z64)+N(AB64)&gt;0,1,0)</f>
        <v/>
      </c>
      <c r="AB64">
        <f>IF(AB63+N(Z63)&gt;0,1,0)</f>
        <v/>
      </c>
      <c r="AC64">
        <f>IF(N(AB64)+N(AD64)&gt;0,1,0)</f>
        <v/>
      </c>
      <c r="AD64">
        <f>IF(AD63+N(AB63)&gt;0,1,0)</f>
        <v/>
      </c>
      <c r="AE64">
        <f>IF(N(AD64)+N(AF64)&gt;0,1,0)</f>
        <v/>
      </c>
      <c r="AF64">
        <f>IF(AF63+N(AD63)&gt;0,1,0)</f>
        <v/>
      </c>
      <c r="AG64">
        <f>IF(N(AF64)+0&gt;0,1,0)</f>
        <v/>
      </c>
    </row>
    <row r="65" hidden="1" outlineLevel="1">
      <c r="A65" s="60" t="inlineStr">
        <is>
          <t>(phụ trợ) HASL</t>
        </is>
      </c>
      <c r="C65">
        <f>0</f>
        <v/>
      </c>
      <c r="D65">
        <f>1</f>
        <v/>
      </c>
      <c r="E65">
        <f>N(D63)</f>
        <v/>
      </c>
      <c r="F65">
        <f>1</f>
        <v/>
      </c>
      <c r="G65">
        <f>N(F63)</f>
        <v/>
      </c>
      <c r="H65">
        <f>1</f>
        <v/>
      </c>
      <c r="I65">
        <f>N(H63)</f>
        <v/>
      </c>
      <c r="J65">
        <f>1</f>
        <v/>
      </c>
      <c r="K65">
        <f>N(J63)</f>
        <v/>
      </c>
      <c r="L65">
        <f>1</f>
        <v/>
      </c>
      <c r="M65">
        <f>N(L63)</f>
        <v/>
      </c>
      <c r="N65">
        <f>1</f>
        <v/>
      </c>
      <c r="O65">
        <f>N(N63)</f>
        <v/>
      </c>
      <c r="P65">
        <f>1</f>
        <v/>
      </c>
      <c r="Q65">
        <f>N(P63)</f>
        <v/>
      </c>
      <c r="R65">
        <f>1</f>
        <v/>
      </c>
      <c r="S65">
        <f>N(R63)</f>
        <v/>
      </c>
      <c r="T65">
        <f>1</f>
        <v/>
      </c>
      <c r="U65">
        <f>N(T63)</f>
        <v/>
      </c>
      <c r="V65">
        <f>1</f>
        <v/>
      </c>
      <c r="W65">
        <f>N(V63)</f>
        <v/>
      </c>
      <c r="X65">
        <f>1</f>
        <v/>
      </c>
      <c r="Y65">
        <f>N(X63)</f>
        <v/>
      </c>
      <c r="Z65">
        <f>1</f>
        <v/>
      </c>
      <c r="AA65">
        <f>N(Z63)</f>
        <v/>
      </c>
      <c r="AB65">
        <f>1</f>
        <v/>
      </c>
      <c r="AC65">
        <f>N(AB63)</f>
        <v/>
      </c>
      <c r="AD65">
        <f>1</f>
        <v/>
      </c>
      <c r="AE65">
        <f>N(AD63)</f>
        <v/>
      </c>
      <c r="AF65">
        <f>1</f>
        <v/>
      </c>
      <c r="AG65">
        <f>N(AF63)</f>
        <v/>
      </c>
    </row>
    <row r="66" hidden="1" outlineLevel="1">
      <c r="A66" s="60" t="inlineStr">
        <is>
          <t>(phụ trợ) HASR</t>
        </is>
      </c>
      <c r="C66">
        <f>N(D63)</f>
        <v/>
      </c>
      <c r="D66">
        <f>1</f>
        <v/>
      </c>
      <c r="E66">
        <f>N(F63)</f>
        <v/>
      </c>
      <c r="F66">
        <f>1</f>
        <v/>
      </c>
      <c r="G66">
        <f>N(H63)</f>
        <v/>
      </c>
      <c r="H66">
        <f>1</f>
        <v/>
      </c>
      <c r="I66">
        <f>N(J63)</f>
        <v/>
      </c>
      <c r="J66">
        <f>1</f>
        <v/>
      </c>
      <c r="K66">
        <f>N(L63)</f>
        <v/>
      </c>
      <c r="L66">
        <f>1</f>
        <v/>
      </c>
      <c r="M66">
        <f>N(N63)</f>
        <v/>
      </c>
      <c r="N66">
        <f>1</f>
        <v/>
      </c>
      <c r="O66">
        <f>N(P63)</f>
        <v/>
      </c>
      <c r="P66">
        <f>1</f>
        <v/>
      </c>
      <c r="Q66">
        <f>N(R63)</f>
        <v/>
      </c>
      <c r="R66">
        <f>1</f>
        <v/>
      </c>
      <c r="S66">
        <f>N(T63)</f>
        <v/>
      </c>
      <c r="T66">
        <f>1</f>
        <v/>
      </c>
      <c r="U66">
        <f>N(V63)</f>
        <v/>
      </c>
      <c r="V66">
        <f>1</f>
        <v/>
      </c>
      <c r="W66">
        <f>N(X63)</f>
        <v/>
      </c>
      <c r="X66">
        <f>1</f>
        <v/>
      </c>
      <c r="Y66">
        <f>N(Z63)</f>
        <v/>
      </c>
      <c r="Z66">
        <f>1</f>
        <v/>
      </c>
      <c r="AA66">
        <f>N(AB63)</f>
        <v/>
      </c>
      <c r="AB66">
        <f>1</f>
        <v/>
      </c>
      <c r="AC66">
        <f>N(AD63)</f>
        <v/>
      </c>
      <c r="AD66">
        <f>1</f>
        <v/>
      </c>
      <c r="AE66">
        <f>N(AF63)</f>
        <v/>
      </c>
      <c r="AF66">
        <f>1</f>
        <v/>
      </c>
      <c r="AG66">
        <f>0</f>
        <v/>
      </c>
    </row>
    <row r="67" hidden="1" outlineLevel="1">
      <c r="A67" s="60" t="inlineStr">
        <is>
          <t>(phụ trợ) LECH</t>
        </is>
      </c>
      <c r="C67">
        <f>IFERROR(C27*1,IFERROR(SUBSTITUTE(C27,".",",")*1,IFERROR(SUBSTITUTE(C27,",",".")*1,0)))</f>
        <v/>
      </c>
      <c r="E67">
        <f>IFERROR(E27*1,IFERROR(SUBSTITUTE(E27,".",",")*1,IFERROR(SUBSTITUTE(E27,",",".")*1,0)))</f>
        <v/>
      </c>
      <c r="G67">
        <f>IFERROR(G27*1,IFERROR(SUBSTITUTE(G27,".",",")*1,IFERROR(SUBSTITUTE(G27,",",".")*1,0)))</f>
        <v/>
      </c>
      <c r="I67">
        <f>IFERROR(I27*1,IFERROR(SUBSTITUTE(I27,".",",")*1,IFERROR(SUBSTITUTE(I27,",",".")*1,0)))</f>
        <v/>
      </c>
      <c r="K67">
        <f>IFERROR(K27*1,IFERROR(SUBSTITUTE(K27,".",",")*1,IFERROR(SUBSTITUTE(K27,",",".")*1,0)))</f>
        <v/>
      </c>
      <c r="M67">
        <f>IFERROR(M27*1,IFERROR(SUBSTITUTE(M27,".",",")*1,IFERROR(SUBSTITUTE(M27,",",".")*1,0)))</f>
        <v/>
      </c>
      <c r="O67">
        <f>IFERROR(O27*1,IFERROR(SUBSTITUTE(O27,".",",")*1,IFERROR(SUBSTITUTE(O27,",",".")*1,0)))</f>
        <v/>
      </c>
      <c r="Q67">
        <f>IFERROR(Q27*1,IFERROR(SUBSTITUTE(Q27,".",",")*1,IFERROR(SUBSTITUTE(Q27,",",".")*1,0)))</f>
        <v/>
      </c>
      <c r="S67">
        <f>IFERROR(S27*1,IFERROR(SUBSTITUTE(S27,".",",")*1,IFERROR(SUBSTITUTE(S27,",",".")*1,0)))</f>
        <v/>
      </c>
      <c r="U67">
        <f>IFERROR(U27*1,IFERROR(SUBSTITUTE(U27,".",",")*1,IFERROR(SUBSTITUTE(U27,",",".")*1,0)))</f>
        <v/>
      </c>
      <c r="W67">
        <f>IFERROR(W27*1,IFERROR(SUBSTITUTE(W27,".",",")*1,IFERROR(SUBSTITUTE(W27,",",".")*1,0)))</f>
        <v/>
      </c>
      <c r="Y67">
        <f>IFERROR(Y27*1,IFERROR(SUBSTITUTE(Y27,".",",")*1,IFERROR(SUBSTITUTE(Y27,",",".")*1,0)))</f>
        <v/>
      </c>
      <c r="AA67">
        <f>IFERROR(AA27*1,IFERROR(SUBSTITUTE(AA27,".",",")*1,IFERROR(SUBSTITUTE(AA27,",",".")*1,0)))</f>
        <v/>
      </c>
      <c r="AC67">
        <f>IFERROR(AC27*1,IFERROR(SUBSTITUTE(AC27,".",",")*1,IFERROR(SUBSTITUTE(AC27,",",".")*1,0)))</f>
        <v/>
      </c>
      <c r="AE67">
        <f>IFERROR(AE27*1,IFERROR(SUBSTITUTE(AE27,".",",")*1,IFERROR(SUBSTITUTE(AE27,",",".")*1,0)))</f>
        <v/>
      </c>
      <c r="AG67">
        <f>IFERROR(AG27*1,IFERROR(SUBSTITUTE(AG27,".",",")*1,IFERROR(SUBSTITUTE(AG27,",",".")*1,0)))</f>
        <v/>
      </c>
    </row>
    <row r="68" hidden="1" outlineLevel="1">
      <c r="A68" s="60" t="inlineStr">
        <is>
          <t>(phụ trợ) N_T0L</t>
        </is>
      </c>
      <c r="C68">
        <f>$B$125</f>
        <v/>
      </c>
      <c r="D68">
        <f>IFERROR(IF(ISNUMBER(MID(LOOKUP(2,1/ISNUMBER(FIND(";",$D$23:D$23)),$D$23:D$23),FIND(";",LOOKUP(2,1/ISNUMBER(FIND(";",$D$23:D$23)),$D$23:D$23))+1,99)*1),LEFT($B$125,FIND("t",$B$125))&amp;MID(LOOKUP(2,1/ISNUMBER(FIND(";",$D$23:D$23)),$D$23:D$23),FIND(";",LOOKUP(2,1/ISNUMBER(FIND(";",$D$23:D$23)),$D$23:D$23))+1,99),SUBSTITUTE(SUBSTITUTE(SUBSTITUTE(SUBSTITUTE(SUBSTITUTE(SUBSTITUTE(LOWER(MID(LOOKUP(2,1/ISNUMBER(FIND(";",$D$23:D$23)),$D$23:D$23),FIND(";",LOOKUP(2,1/ISNUMBER(FIND(";",$D$23:D$23)),$D$23:D$23))+1,99))," ",""),"%%c","t"),"ø","t"),"φ","t"),"f","t"),"d","t")),$B$125)</f>
        <v/>
      </c>
      <c r="E68">
        <f>IFERROR(IF(ISNUMBER(MID(LOOKUP(2,1/ISNUMBER(FIND(";",$D$23:D$23)),$D$23:D$23),FIND(";",LOOKUP(2,1/ISNUMBER(FIND(";",$D$23:D$23)),$D$23:D$23))+1,99)*1),LEFT($B$125,FIND("t",$B$125))&amp;MID(LOOKUP(2,1/ISNUMBER(FIND(";",$D$23:D$23)),$D$23:D$23),FIND(";",LOOKUP(2,1/ISNUMBER(FIND(";",$D$23:D$23)),$D$23:D$23))+1,99),SUBSTITUTE(SUBSTITUTE(SUBSTITUTE(SUBSTITUTE(SUBSTITUTE(SUBSTITUTE(LOWER(MID(LOOKUP(2,1/ISNUMBER(FIND(";",$D$23:D$23)),$D$23:D$23),FIND(";",LOOKUP(2,1/ISNUMBER(FIND(";",$D$23:D$23)),$D$23:D$23))+1,99))," ",""),"%%c","t"),"ø","t"),"φ","t"),"f","t"),"d","t")),$B$125)</f>
        <v/>
      </c>
      <c r="F68">
        <f>IFERROR(IF(ISNUMBER(MID(LOOKUP(2,1/ISNUMBER(FIND(";",$D$23:F$23)),$D$23:F$23),FIND(";",LOOKUP(2,1/ISNUMBER(FIND(";",$D$23:F$23)),$D$23:F$23))+1,99)*1),LEFT($B$125,FIND("t",$B$125))&amp;MID(LOOKUP(2,1/ISNUMBER(FIND(";",$D$23:F$23)),$D$23:F$23),FIND(";",LOOKUP(2,1/ISNUMBER(FIND(";",$D$23:F$23)),$D$23:F$23))+1,99),SUBSTITUTE(SUBSTITUTE(SUBSTITUTE(SUBSTITUTE(SUBSTITUTE(SUBSTITUTE(LOWER(MID(LOOKUP(2,1/ISNUMBER(FIND(";",$D$23:F$23)),$D$23:F$23),FIND(";",LOOKUP(2,1/ISNUMBER(FIND(";",$D$23:F$23)),$D$23:F$23))+1,99))," ",""),"%%c","t"),"ø","t"),"φ","t"),"f","t"),"d","t")),$B$125)</f>
        <v/>
      </c>
      <c r="G68">
        <f>IFERROR(IF(ISNUMBER(MID(LOOKUP(2,1/ISNUMBER(FIND(";",$D$23:F$23)),$D$23:F$23),FIND(";",LOOKUP(2,1/ISNUMBER(FIND(";",$D$23:F$23)),$D$23:F$23))+1,99)*1),LEFT($B$125,FIND("t",$B$125))&amp;MID(LOOKUP(2,1/ISNUMBER(FIND(";",$D$23:F$23)),$D$23:F$23),FIND(";",LOOKUP(2,1/ISNUMBER(FIND(";",$D$23:F$23)),$D$23:F$23))+1,99),SUBSTITUTE(SUBSTITUTE(SUBSTITUTE(SUBSTITUTE(SUBSTITUTE(SUBSTITUTE(LOWER(MID(LOOKUP(2,1/ISNUMBER(FIND(";",$D$23:F$23)),$D$23:F$23),FIND(";",LOOKUP(2,1/ISNUMBER(FIND(";",$D$23:F$23)),$D$23:F$23))+1,99))," ",""),"%%c","t"),"ø","t"),"φ","t"),"f","t"),"d","t")),$B$125)</f>
        <v/>
      </c>
      <c r="H68">
        <f>IFERROR(IF(ISNUMBER(MID(LOOKUP(2,1/ISNUMBER(FIND(";",$D$23:H$23)),$D$23:H$23),FIND(";",LOOKUP(2,1/ISNUMBER(FIND(";",$D$23:H$23)),$D$23:H$23))+1,99)*1),LEFT($B$125,FIND("t",$B$125))&amp;MID(LOOKUP(2,1/ISNUMBER(FIND(";",$D$23:H$23)),$D$23:H$23),FIND(";",LOOKUP(2,1/ISNUMBER(FIND(";",$D$23:H$23)),$D$23:H$23))+1,99),SUBSTITUTE(SUBSTITUTE(SUBSTITUTE(SUBSTITUTE(SUBSTITUTE(SUBSTITUTE(LOWER(MID(LOOKUP(2,1/ISNUMBER(FIND(";",$D$23:H$23)),$D$23:H$23),FIND(";",LOOKUP(2,1/ISNUMBER(FIND(";",$D$23:H$23)),$D$23:H$23))+1,99))," ",""),"%%c","t"),"ø","t"),"φ","t"),"f","t"),"d","t")),$B$125)</f>
        <v/>
      </c>
      <c r="I68">
        <f>IFERROR(IF(ISNUMBER(MID(LOOKUP(2,1/ISNUMBER(FIND(";",$D$23:H$23)),$D$23:H$23),FIND(";",LOOKUP(2,1/ISNUMBER(FIND(";",$D$23:H$23)),$D$23:H$23))+1,99)*1),LEFT($B$125,FIND("t",$B$125))&amp;MID(LOOKUP(2,1/ISNUMBER(FIND(";",$D$23:H$23)),$D$23:H$23),FIND(";",LOOKUP(2,1/ISNUMBER(FIND(";",$D$23:H$23)),$D$23:H$23))+1,99),SUBSTITUTE(SUBSTITUTE(SUBSTITUTE(SUBSTITUTE(SUBSTITUTE(SUBSTITUTE(LOWER(MID(LOOKUP(2,1/ISNUMBER(FIND(";",$D$23:H$23)),$D$23:H$23),FIND(";",LOOKUP(2,1/ISNUMBER(FIND(";",$D$23:H$23)),$D$23:H$23))+1,99))," ",""),"%%c","t"),"ø","t"),"φ","t"),"f","t"),"d","t")),$B$125)</f>
        <v/>
      </c>
      <c r="J68">
        <f>IFERROR(IF(ISNUMBER(MID(LOOKUP(2,1/ISNUMBER(FIND(";",$D$23:J$23)),$D$23:J$23),FIND(";",LOOKUP(2,1/ISNUMBER(FIND(";",$D$23:J$23)),$D$23:J$23))+1,99)*1),LEFT($B$125,FIND("t",$B$125))&amp;MID(LOOKUP(2,1/ISNUMBER(FIND(";",$D$23:J$23)),$D$23:J$23),FIND(";",LOOKUP(2,1/ISNUMBER(FIND(";",$D$23:J$23)),$D$23:J$23))+1,99),SUBSTITUTE(SUBSTITUTE(SUBSTITUTE(SUBSTITUTE(SUBSTITUTE(SUBSTITUTE(LOWER(MID(LOOKUP(2,1/ISNUMBER(FIND(";",$D$23:J$23)),$D$23:J$23),FIND(";",LOOKUP(2,1/ISNUMBER(FIND(";",$D$23:J$23)),$D$23:J$23))+1,99))," ",""),"%%c","t"),"ø","t"),"φ","t"),"f","t"),"d","t")),$B$125)</f>
        <v/>
      </c>
      <c r="K68">
        <f>IFERROR(IF(ISNUMBER(MID(LOOKUP(2,1/ISNUMBER(FIND(";",$D$23:J$23)),$D$23:J$23),FIND(";",LOOKUP(2,1/ISNUMBER(FIND(";",$D$23:J$23)),$D$23:J$23))+1,99)*1),LEFT($B$125,FIND("t",$B$125))&amp;MID(LOOKUP(2,1/ISNUMBER(FIND(";",$D$23:J$23)),$D$23:J$23),FIND(";",LOOKUP(2,1/ISNUMBER(FIND(";",$D$23:J$23)),$D$23:J$23))+1,99),SUBSTITUTE(SUBSTITUTE(SUBSTITUTE(SUBSTITUTE(SUBSTITUTE(SUBSTITUTE(LOWER(MID(LOOKUP(2,1/ISNUMBER(FIND(";",$D$23:J$23)),$D$23:J$23),FIND(";",LOOKUP(2,1/ISNUMBER(FIND(";",$D$23:J$23)),$D$23:J$23))+1,99))," ",""),"%%c","t"),"ø","t"),"φ","t"),"f","t"),"d","t")),$B$125)</f>
        <v/>
      </c>
      <c r="L68">
        <f>IFERROR(IF(ISNUMBER(MID(LOOKUP(2,1/ISNUMBER(FIND(";",$D$23:L$23)),$D$23:L$23),FIND(";",LOOKUP(2,1/ISNUMBER(FIND(";",$D$23:L$23)),$D$23:L$23))+1,99)*1),LEFT($B$125,FIND("t",$B$125))&amp;MID(LOOKUP(2,1/ISNUMBER(FIND(";",$D$23:L$23)),$D$23:L$23),FIND(";",LOOKUP(2,1/ISNUMBER(FIND(";",$D$23:L$23)),$D$23:L$23))+1,99),SUBSTITUTE(SUBSTITUTE(SUBSTITUTE(SUBSTITUTE(SUBSTITUTE(SUBSTITUTE(LOWER(MID(LOOKUP(2,1/ISNUMBER(FIND(";",$D$23:L$23)),$D$23:L$23),FIND(";",LOOKUP(2,1/ISNUMBER(FIND(";",$D$23:L$23)),$D$23:L$23))+1,99))," ",""),"%%c","t"),"ø","t"),"φ","t"),"f","t"),"d","t")),$B$125)</f>
        <v/>
      </c>
      <c r="M68">
        <f>IFERROR(IF(ISNUMBER(MID(LOOKUP(2,1/ISNUMBER(FIND(";",$D$23:L$23)),$D$23:L$23),FIND(";",LOOKUP(2,1/ISNUMBER(FIND(";",$D$23:L$23)),$D$23:L$23))+1,99)*1),LEFT($B$125,FIND("t",$B$125))&amp;MID(LOOKUP(2,1/ISNUMBER(FIND(";",$D$23:L$23)),$D$23:L$23),FIND(";",LOOKUP(2,1/ISNUMBER(FIND(";",$D$23:L$23)),$D$23:L$23))+1,99),SUBSTITUTE(SUBSTITUTE(SUBSTITUTE(SUBSTITUTE(SUBSTITUTE(SUBSTITUTE(LOWER(MID(LOOKUP(2,1/ISNUMBER(FIND(";",$D$23:L$23)),$D$23:L$23),FIND(";",LOOKUP(2,1/ISNUMBER(FIND(";",$D$23:L$23)),$D$23:L$23))+1,99))," ",""),"%%c","t"),"ø","t"),"φ","t"),"f","t"),"d","t")),$B$125)</f>
        <v/>
      </c>
      <c r="N68">
        <f>IFERROR(IF(ISNUMBER(MID(LOOKUP(2,1/ISNUMBER(FIND(";",$D$23:N$23)),$D$23:N$23),FIND(";",LOOKUP(2,1/ISNUMBER(FIND(";",$D$23:N$23)),$D$23:N$23))+1,99)*1),LEFT($B$125,FIND("t",$B$125))&amp;MID(LOOKUP(2,1/ISNUMBER(FIND(";",$D$23:N$23)),$D$23:N$23),FIND(";",LOOKUP(2,1/ISNUMBER(FIND(";",$D$23:N$23)),$D$23:N$23))+1,99),SUBSTITUTE(SUBSTITUTE(SUBSTITUTE(SUBSTITUTE(SUBSTITUTE(SUBSTITUTE(LOWER(MID(LOOKUP(2,1/ISNUMBER(FIND(";",$D$23:N$23)),$D$23:N$23),FIND(";",LOOKUP(2,1/ISNUMBER(FIND(";",$D$23:N$23)),$D$23:N$23))+1,99))," ",""),"%%c","t"),"ø","t"),"φ","t"),"f","t"),"d","t")),$B$125)</f>
        <v/>
      </c>
      <c r="O68">
        <f>IFERROR(IF(ISNUMBER(MID(LOOKUP(2,1/ISNUMBER(FIND(";",$D$23:N$23)),$D$23:N$23),FIND(";",LOOKUP(2,1/ISNUMBER(FIND(";",$D$23:N$23)),$D$23:N$23))+1,99)*1),LEFT($B$125,FIND("t",$B$125))&amp;MID(LOOKUP(2,1/ISNUMBER(FIND(";",$D$23:N$23)),$D$23:N$23),FIND(";",LOOKUP(2,1/ISNUMBER(FIND(";",$D$23:N$23)),$D$23:N$23))+1,99),SUBSTITUTE(SUBSTITUTE(SUBSTITUTE(SUBSTITUTE(SUBSTITUTE(SUBSTITUTE(LOWER(MID(LOOKUP(2,1/ISNUMBER(FIND(";",$D$23:N$23)),$D$23:N$23),FIND(";",LOOKUP(2,1/ISNUMBER(FIND(";",$D$23:N$23)),$D$23:N$23))+1,99))," ",""),"%%c","t"),"ø","t"),"φ","t"),"f","t"),"d","t")),$B$125)</f>
        <v/>
      </c>
      <c r="P68">
        <f>IFERROR(IF(ISNUMBER(MID(LOOKUP(2,1/ISNUMBER(FIND(";",$D$23:P$23)),$D$23:P$23),FIND(";",LOOKUP(2,1/ISNUMBER(FIND(";",$D$23:P$23)),$D$23:P$23))+1,99)*1),LEFT($B$125,FIND("t",$B$125))&amp;MID(LOOKUP(2,1/ISNUMBER(FIND(";",$D$23:P$23)),$D$23:P$23),FIND(";",LOOKUP(2,1/ISNUMBER(FIND(";",$D$23:P$23)),$D$23:P$23))+1,99),SUBSTITUTE(SUBSTITUTE(SUBSTITUTE(SUBSTITUTE(SUBSTITUTE(SUBSTITUTE(LOWER(MID(LOOKUP(2,1/ISNUMBER(FIND(";",$D$23:P$23)),$D$23:P$23),FIND(";",LOOKUP(2,1/ISNUMBER(FIND(";",$D$23:P$23)),$D$23:P$23))+1,99))," ",""),"%%c","t"),"ø","t"),"φ","t"),"f","t"),"d","t")),$B$125)</f>
        <v/>
      </c>
      <c r="Q68">
        <f>IFERROR(IF(ISNUMBER(MID(LOOKUP(2,1/ISNUMBER(FIND(";",$D$23:P$23)),$D$23:P$23),FIND(";",LOOKUP(2,1/ISNUMBER(FIND(";",$D$23:P$23)),$D$23:P$23))+1,99)*1),LEFT($B$125,FIND("t",$B$125))&amp;MID(LOOKUP(2,1/ISNUMBER(FIND(";",$D$23:P$23)),$D$23:P$23),FIND(";",LOOKUP(2,1/ISNUMBER(FIND(";",$D$23:P$23)),$D$23:P$23))+1,99),SUBSTITUTE(SUBSTITUTE(SUBSTITUTE(SUBSTITUTE(SUBSTITUTE(SUBSTITUTE(LOWER(MID(LOOKUP(2,1/ISNUMBER(FIND(";",$D$23:P$23)),$D$23:P$23),FIND(";",LOOKUP(2,1/ISNUMBER(FIND(";",$D$23:P$23)),$D$23:P$23))+1,99))," ",""),"%%c","t"),"ø","t"),"φ","t"),"f","t"),"d","t")),$B$125)</f>
        <v/>
      </c>
      <c r="R68">
        <f>IFERROR(IF(ISNUMBER(MID(LOOKUP(2,1/ISNUMBER(FIND(";",$D$23:R$23)),$D$23:R$23),FIND(";",LOOKUP(2,1/ISNUMBER(FIND(";",$D$23:R$23)),$D$23:R$23))+1,99)*1),LEFT($B$125,FIND("t",$B$125))&amp;MID(LOOKUP(2,1/ISNUMBER(FIND(";",$D$23:R$23)),$D$23:R$23),FIND(";",LOOKUP(2,1/ISNUMBER(FIND(";",$D$23:R$23)),$D$23:R$23))+1,99),SUBSTITUTE(SUBSTITUTE(SUBSTITUTE(SUBSTITUTE(SUBSTITUTE(SUBSTITUTE(LOWER(MID(LOOKUP(2,1/ISNUMBER(FIND(";",$D$23:R$23)),$D$23:R$23),FIND(";",LOOKUP(2,1/ISNUMBER(FIND(";",$D$23:R$23)),$D$23:R$23))+1,99))," ",""),"%%c","t"),"ø","t"),"φ","t"),"f","t"),"d","t")),$B$125)</f>
        <v/>
      </c>
      <c r="S68">
        <f>IFERROR(IF(ISNUMBER(MID(LOOKUP(2,1/ISNUMBER(FIND(";",$D$23:R$23)),$D$23:R$23),FIND(";",LOOKUP(2,1/ISNUMBER(FIND(";",$D$23:R$23)),$D$23:R$23))+1,99)*1),LEFT($B$125,FIND("t",$B$125))&amp;MID(LOOKUP(2,1/ISNUMBER(FIND(";",$D$23:R$23)),$D$23:R$23),FIND(";",LOOKUP(2,1/ISNUMBER(FIND(";",$D$23:R$23)),$D$23:R$23))+1,99),SUBSTITUTE(SUBSTITUTE(SUBSTITUTE(SUBSTITUTE(SUBSTITUTE(SUBSTITUTE(LOWER(MID(LOOKUP(2,1/ISNUMBER(FIND(";",$D$23:R$23)),$D$23:R$23),FIND(";",LOOKUP(2,1/ISNUMBER(FIND(";",$D$23:R$23)),$D$23:R$23))+1,99))," ",""),"%%c","t"),"ø","t"),"φ","t"),"f","t"),"d","t")),$B$125)</f>
        <v/>
      </c>
      <c r="T68">
        <f>IFERROR(IF(ISNUMBER(MID(LOOKUP(2,1/ISNUMBER(FIND(";",$D$23:T$23)),$D$23:T$23),FIND(";",LOOKUP(2,1/ISNUMBER(FIND(";",$D$23:T$23)),$D$23:T$23))+1,99)*1),LEFT($B$125,FIND("t",$B$125))&amp;MID(LOOKUP(2,1/ISNUMBER(FIND(";",$D$23:T$23)),$D$23:T$23),FIND(";",LOOKUP(2,1/ISNUMBER(FIND(";",$D$23:T$23)),$D$23:T$23))+1,99),SUBSTITUTE(SUBSTITUTE(SUBSTITUTE(SUBSTITUTE(SUBSTITUTE(SUBSTITUTE(LOWER(MID(LOOKUP(2,1/ISNUMBER(FIND(";",$D$23:T$23)),$D$23:T$23),FIND(";",LOOKUP(2,1/ISNUMBER(FIND(";",$D$23:T$23)),$D$23:T$23))+1,99))," ",""),"%%c","t"),"ø","t"),"φ","t"),"f","t"),"d","t")),$B$125)</f>
        <v/>
      </c>
      <c r="U68">
        <f>IFERROR(IF(ISNUMBER(MID(LOOKUP(2,1/ISNUMBER(FIND(";",$D$23:T$23)),$D$23:T$23),FIND(";",LOOKUP(2,1/ISNUMBER(FIND(";",$D$23:T$23)),$D$23:T$23))+1,99)*1),LEFT($B$125,FIND("t",$B$125))&amp;MID(LOOKUP(2,1/ISNUMBER(FIND(";",$D$23:T$23)),$D$23:T$23),FIND(";",LOOKUP(2,1/ISNUMBER(FIND(";",$D$23:T$23)),$D$23:T$23))+1,99),SUBSTITUTE(SUBSTITUTE(SUBSTITUTE(SUBSTITUTE(SUBSTITUTE(SUBSTITUTE(LOWER(MID(LOOKUP(2,1/ISNUMBER(FIND(";",$D$23:T$23)),$D$23:T$23),FIND(";",LOOKUP(2,1/ISNUMBER(FIND(";",$D$23:T$23)),$D$23:T$23))+1,99))," ",""),"%%c","t"),"ø","t"),"φ","t"),"f","t"),"d","t")),$B$125)</f>
        <v/>
      </c>
      <c r="V68">
        <f>IFERROR(IF(ISNUMBER(MID(LOOKUP(2,1/ISNUMBER(FIND(";",$D$23:V$23)),$D$23:V$23),FIND(";",LOOKUP(2,1/ISNUMBER(FIND(";",$D$23:V$23)),$D$23:V$23))+1,99)*1),LEFT($B$125,FIND("t",$B$125))&amp;MID(LOOKUP(2,1/ISNUMBER(FIND(";",$D$23:V$23)),$D$23:V$23),FIND(";",LOOKUP(2,1/ISNUMBER(FIND(";",$D$23:V$23)),$D$23:V$23))+1,99),SUBSTITUTE(SUBSTITUTE(SUBSTITUTE(SUBSTITUTE(SUBSTITUTE(SUBSTITUTE(LOWER(MID(LOOKUP(2,1/ISNUMBER(FIND(";",$D$23:V$23)),$D$23:V$23),FIND(";",LOOKUP(2,1/ISNUMBER(FIND(";",$D$23:V$23)),$D$23:V$23))+1,99))," ",""),"%%c","t"),"ø","t"),"φ","t"),"f","t"),"d","t")),$B$125)</f>
        <v/>
      </c>
      <c r="W68">
        <f>IFERROR(IF(ISNUMBER(MID(LOOKUP(2,1/ISNUMBER(FIND(";",$D$23:V$23)),$D$23:V$23),FIND(";",LOOKUP(2,1/ISNUMBER(FIND(";",$D$23:V$23)),$D$23:V$23))+1,99)*1),LEFT($B$125,FIND("t",$B$125))&amp;MID(LOOKUP(2,1/ISNUMBER(FIND(";",$D$23:V$23)),$D$23:V$23),FIND(";",LOOKUP(2,1/ISNUMBER(FIND(";",$D$23:V$23)),$D$23:V$23))+1,99),SUBSTITUTE(SUBSTITUTE(SUBSTITUTE(SUBSTITUTE(SUBSTITUTE(SUBSTITUTE(LOWER(MID(LOOKUP(2,1/ISNUMBER(FIND(";",$D$23:V$23)),$D$23:V$23),FIND(";",LOOKUP(2,1/ISNUMBER(FIND(";",$D$23:V$23)),$D$23:V$23))+1,99))," ",""),"%%c","t"),"ø","t"),"φ","t"),"f","t"),"d","t")),$B$125)</f>
        <v/>
      </c>
      <c r="X68">
        <f>IFERROR(IF(ISNUMBER(MID(LOOKUP(2,1/ISNUMBER(FIND(";",$D$23:X$23)),$D$23:X$23),FIND(";",LOOKUP(2,1/ISNUMBER(FIND(";",$D$23:X$23)),$D$23:X$23))+1,99)*1),LEFT($B$125,FIND("t",$B$125))&amp;MID(LOOKUP(2,1/ISNUMBER(FIND(";",$D$23:X$23)),$D$23:X$23),FIND(";",LOOKUP(2,1/ISNUMBER(FIND(";",$D$23:X$23)),$D$23:X$23))+1,99),SUBSTITUTE(SUBSTITUTE(SUBSTITUTE(SUBSTITUTE(SUBSTITUTE(SUBSTITUTE(LOWER(MID(LOOKUP(2,1/ISNUMBER(FIND(";",$D$23:X$23)),$D$23:X$23),FIND(";",LOOKUP(2,1/ISNUMBER(FIND(";",$D$23:X$23)),$D$23:X$23))+1,99))," ",""),"%%c","t"),"ø","t"),"φ","t"),"f","t"),"d","t")),$B$125)</f>
        <v/>
      </c>
      <c r="Y68">
        <f>IFERROR(IF(ISNUMBER(MID(LOOKUP(2,1/ISNUMBER(FIND(";",$D$23:X$23)),$D$23:X$23),FIND(";",LOOKUP(2,1/ISNUMBER(FIND(";",$D$23:X$23)),$D$23:X$23))+1,99)*1),LEFT($B$125,FIND("t",$B$125))&amp;MID(LOOKUP(2,1/ISNUMBER(FIND(";",$D$23:X$23)),$D$23:X$23),FIND(";",LOOKUP(2,1/ISNUMBER(FIND(";",$D$23:X$23)),$D$23:X$23))+1,99),SUBSTITUTE(SUBSTITUTE(SUBSTITUTE(SUBSTITUTE(SUBSTITUTE(SUBSTITUTE(LOWER(MID(LOOKUP(2,1/ISNUMBER(FIND(";",$D$23:X$23)),$D$23:X$23),FIND(";",LOOKUP(2,1/ISNUMBER(FIND(";",$D$23:X$23)),$D$23:X$23))+1,99))," ",""),"%%c","t"),"ø","t"),"φ","t"),"f","t"),"d","t")),$B$125)</f>
        <v/>
      </c>
      <c r="Z68">
        <f>IFERROR(IF(ISNUMBER(MID(LOOKUP(2,1/ISNUMBER(FIND(";",$D$23:Z$23)),$D$23:Z$23),FIND(";",LOOKUP(2,1/ISNUMBER(FIND(";",$D$23:Z$23)),$D$23:Z$23))+1,99)*1),LEFT($B$125,FIND("t",$B$125))&amp;MID(LOOKUP(2,1/ISNUMBER(FIND(";",$D$23:Z$23)),$D$23:Z$23),FIND(";",LOOKUP(2,1/ISNUMBER(FIND(";",$D$23:Z$23)),$D$23:Z$23))+1,99),SUBSTITUTE(SUBSTITUTE(SUBSTITUTE(SUBSTITUTE(SUBSTITUTE(SUBSTITUTE(LOWER(MID(LOOKUP(2,1/ISNUMBER(FIND(";",$D$23:Z$23)),$D$23:Z$23),FIND(";",LOOKUP(2,1/ISNUMBER(FIND(";",$D$23:Z$23)),$D$23:Z$23))+1,99))," ",""),"%%c","t"),"ø","t"),"φ","t"),"f","t"),"d","t")),$B$125)</f>
        <v/>
      </c>
      <c r="AA68">
        <f>IFERROR(IF(ISNUMBER(MID(LOOKUP(2,1/ISNUMBER(FIND(";",$D$23:Z$23)),$D$23:Z$23),FIND(";",LOOKUP(2,1/ISNUMBER(FIND(";",$D$23:Z$23)),$D$23:Z$23))+1,99)*1),LEFT($B$125,FIND("t",$B$125))&amp;MID(LOOKUP(2,1/ISNUMBER(FIND(";",$D$23:Z$23)),$D$23:Z$23),FIND(";",LOOKUP(2,1/ISNUMBER(FIND(";",$D$23:Z$23)),$D$23:Z$23))+1,99),SUBSTITUTE(SUBSTITUTE(SUBSTITUTE(SUBSTITUTE(SUBSTITUTE(SUBSTITUTE(LOWER(MID(LOOKUP(2,1/ISNUMBER(FIND(";",$D$23:Z$23)),$D$23:Z$23),FIND(";",LOOKUP(2,1/ISNUMBER(FIND(";",$D$23:Z$23)),$D$23:Z$23))+1,99))," ",""),"%%c","t"),"ø","t"),"φ","t"),"f","t"),"d","t")),$B$125)</f>
        <v/>
      </c>
      <c r="AB68">
        <f>IFERROR(IF(ISNUMBER(MID(LOOKUP(2,1/ISNUMBER(FIND(";",$D$23:AB$23)),$D$23:AB$23),FIND(";",LOOKUP(2,1/ISNUMBER(FIND(";",$D$23:AB$23)),$D$23:AB$23))+1,99)*1),LEFT($B$125,FIND("t",$B$125))&amp;MID(LOOKUP(2,1/ISNUMBER(FIND(";",$D$23:AB$23)),$D$23:AB$23),FIND(";",LOOKUP(2,1/ISNUMBER(FIND(";",$D$23:AB$23)),$D$23:AB$23))+1,99),SUBSTITUTE(SUBSTITUTE(SUBSTITUTE(SUBSTITUTE(SUBSTITUTE(SUBSTITUTE(LOWER(MID(LOOKUP(2,1/ISNUMBER(FIND(";",$D$23:AB$23)),$D$23:AB$23),FIND(";",LOOKUP(2,1/ISNUMBER(FIND(";",$D$23:AB$23)),$D$23:AB$23))+1,99))," ",""),"%%c","t"),"ø","t"),"φ","t"),"f","t"),"d","t")),$B$125)</f>
        <v/>
      </c>
      <c r="AC68">
        <f>IFERROR(IF(ISNUMBER(MID(LOOKUP(2,1/ISNUMBER(FIND(";",$D$23:AB$23)),$D$23:AB$23),FIND(";",LOOKUP(2,1/ISNUMBER(FIND(";",$D$23:AB$23)),$D$23:AB$23))+1,99)*1),LEFT($B$125,FIND("t",$B$125))&amp;MID(LOOKUP(2,1/ISNUMBER(FIND(";",$D$23:AB$23)),$D$23:AB$23),FIND(";",LOOKUP(2,1/ISNUMBER(FIND(";",$D$23:AB$23)),$D$23:AB$23))+1,99),SUBSTITUTE(SUBSTITUTE(SUBSTITUTE(SUBSTITUTE(SUBSTITUTE(SUBSTITUTE(LOWER(MID(LOOKUP(2,1/ISNUMBER(FIND(";",$D$23:AB$23)),$D$23:AB$23),FIND(";",LOOKUP(2,1/ISNUMBER(FIND(";",$D$23:AB$23)),$D$23:AB$23))+1,99))," ",""),"%%c","t"),"ø","t"),"φ","t"),"f","t"),"d","t")),$B$125)</f>
        <v/>
      </c>
      <c r="AD68">
        <f>IFERROR(IF(ISNUMBER(MID(LOOKUP(2,1/ISNUMBER(FIND(";",$D$23:AD$23)),$D$23:AD$23),FIND(";",LOOKUP(2,1/ISNUMBER(FIND(";",$D$23:AD$23)),$D$23:AD$23))+1,99)*1),LEFT($B$125,FIND("t",$B$125))&amp;MID(LOOKUP(2,1/ISNUMBER(FIND(";",$D$23:AD$23)),$D$23:AD$23),FIND(";",LOOKUP(2,1/ISNUMBER(FIND(";",$D$23:AD$23)),$D$23:AD$23))+1,99),SUBSTITUTE(SUBSTITUTE(SUBSTITUTE(SUBSTITUTE(SUBSTITUTE(SUBSTITUTE(LOWER(MID(LOOKUP(2,1/ISNUMBER(FIND(";",$D$23:AD$23)),$D$23:AD$23),FIND(";",LOOKUP(2,1/ISNUMBER(FIND(";",$D$23:AD$23)),$D$23:AD$23))+1,99))," ",""),"%%c","t"),"ø","t"),"φ","t"),"f","t"),"d","t")),$B$125)</f>
        <v/>
      </c>
      <c r="AE68">
        <f>IFERROR(IF(ISNUMBER(MID(LOOKUP(2,1/ISNUMBER(FIND(";",$D$23:AD$23)),$D$23:AD$23),FIND(";",LOOKUP(2,1/ISNUMBER(FIND(";",$D$23:AD$23)),$D$23:AD$23))+1,99)*1),LEFT($B$125,FIND("t",$B$125))&amp;MID(LOOKUP(2,1/ISNUMBER(FIND(";",$D$23:AD$23)),$D$23:AD$23),FIND(";",LOOKUP(2,1/ISNUMBER(FIND(";",$D$23:AD$23)),$D$23:AD$23))+1,99),SUBSTITUTE(SUBSTITUTE(SUBSTITUTE(SUBSTITUTE(SUBSTITUTE(SUBSTITUTE(LOWER(MID(LOOKUP(2,1/ISNUMBER(FIND(";",$D$23:AD$23)),$D$23:AD$23),FIND(";",LOOKUP(2,1/ISNUMBER(FIND(";",$D$23:AD$23)),$D$23:AD$23))+1,99))," ",""),"%%c","t"),"ø","t"),"φ","t"),"f","t"),"d","t")),$B$125)</f>
        <v/>
      </c>
      <c r="AF68">
        <f>IFERROR(IF(ISNUMBER(MID(LOOKUP(2,1/ISNUMBER(FIND(";",$D$23:AF$23)),$D$23:AF$23),FIND(";",LOOKUP(2,1/ISNUMBER(FIND(";",$D$23:AF$23)),$D$23:AF$23))+1,99)*1),LEFT($B$125,FIND("t",$B$125))&amp;MID(LOOKUP(2,1/ISNUMBER(FIND(";",$D$23:AF$23)),$D$23:AF$23),FIND(";",LOOKUP(2,1/ISNUMBER(FIND(";",$D$23:AF$23)),$D$23:AF$23))+1,99),SUBSTITUTE(SUBSTITUTE(SUBSTITUTE(SUBSTITUTE(SUBSTITUTE(SUBSTITUTE(LOWER(MID(LOOKUP(2,1/ISNUMBER(FIND(";",$D$23:AF$23)),$D$23:AF$23),FIND(";",LOOKUP(2,1/ISNUMBER(FIND(";",$D$23:AF$23)),$D$23:AF$23))+1,99))," ",""),"%%c","t"),"ø","t"),"φ","t"),"f","t"),"d","t")),$B$125)</f>
        <v/>
      </c>
      <c r="AG68">
        <f>IFERROR(IF(ISNUMBER(MID(LOOKUP(2,1/ISNUMBER(FIND(";",$D$23:AF$23)),$D$23:AF$23),FIND(";",LOOKUP(2,1/ISNUMBER(FIND(";",$D$23:AF$23)),$D$23:AF$23))+1,99)*1),LEFT($B$125,FIND("t",$B$125))&amp;MID(LOOKUP(2,1/ISNUMBER(FIND(";",$D$23:AF$23)),$D$23:AF$23),FIND(";",LOOKUP(2,1/ISNUMBER(FIND(";",$D$23:AF$23)),$D$23:AF$23))+1,99),SUBSTITUTE(SUBSTITUTE(SUBSTITUTE(SUBSTITUTE(SUBSTITUTE(SUBSTITUTE(LOWER(MID(LOOKUP(2,1/ISNUMBER(FIND(";",$D$23:AF$23)),$D$23:AF$23),FIND(";",LOOKUP(2,1/ISNUMBER(FIND(";",$D$23:AF$23)),$D$23:AF$23))+1,99))," ",""),"%%c","t"),"ø","t"),"φ","t"),"f","t"),"d","t")),$B$125)</f>
        <v/>
      </c>
    </row>
    <row r="69" hidden="1" outlineLevel="1">
      <c r="A69" s="60" t="inlineStr">
        <is>
          <t>(phụ trợ) A_T0L</t>
        </is>
      </c>
      <c r="C69">
        <f>IFERROR(LEFT(LEFT(C68,FIND("+",C68&amp;"+")-1),FIND("t",LEFT(C68,FIND("+",C68&amp;"+")-1))-1)*MID(LEFT(C68,FIND("+",C68&amp;"+")-1),FIND("t",LEFT(C68,FIND("+",C68&amp;"+")-1))+1,2)^2*PI()/400,0)+IFERROR(LEFT(MID(C68,FIND("+",C68&amp;"+")+1,99),FIND("t",MID(C68,FIND("+",C68&amp;"+")+1,99))-1)*MID(MID(C68,FIND("+",C68&amp;"+")+1,99),FIND("t",MID(C68,FIND("+",C68&amp;"+")+1,99))+1,2)^2*PI()/400,0)</f>
        <v/>
      </c>
      <c r="D69">
        <f>IFERROR(LEFT(LEFT(D68,FIND("+",D68&amp;"+")-1),FIND("t",LEFT(D68,FIND("+",D68&amp;"+")-1))-1)*MID(LEFT(D68,FIND("+",D68&amp;"+")-1),FIND("t",LEFT(D68,FIND("+",D68&amp;"+")-1))+1,2)^2*PI()/400,0)+IFERROR(LEFT(MID(D68,FIND("+",D68&amp;"+")+1,99),FIND("t",MID(D68,FIND("+",D68&amp;"+")+1,99))-1)*MID(MID(D68,FIND("+",D68&amp;"+")+1,99),FIND("t",MID(D68,FIND("+",D68&amp;"+")+1,99))+1,2)^2*PI()/400,0)</f>
        <v/>
      </c>
      <c r="E69">
        <f>IFERROR(LEFT(LEFT(E68,FIND("+",E68&amp;"+")-1),FIND("t",LEFT(E68,FIND("+",E68&amp;"+")-1))-1)*MID(LEFT(E68,FIND("+",E68&amp;"+")-1),FIND("t",LEFT(E68,FIND("+",E68&amp;"+")-1))+1,2)^2*PI()/400,0)+IFERROR(LEFT(MID(E68,FIND("+",E68&amp;"+")+1,99),FIND("t",MID(E68,FIND("+",E68&amp;"+")+1,99))-1)*MID(MID(E68,FIND("+",E68&amp;"+")+1,99),FIND("t",MID(E68,FIND("+",E68&amp;"+")+1,99))+1,2)^2*PI()/400,0)</f>
        <v/>
      </c>
      <c r="F69">
        <f>IFERROR(LEFT(LEFT(F68,FIND("+",F68&amp;"+")-1),FIND("t",LEFT(F68,FIND("+",F68&amp;"+")-1))-1)*MID(LEFT(F68,FIND("+",F68&amp;"+")-1),FIND("t",LEFT(F68,FIND("+",F68&amp;"+")-1))+1,2)^2*PI()/400,0)+IFERROR(LEFT(MID(F68,FIND("+",F68&amp;"+")+1,99),FIND("t",MID(F68,FIND("+",F68&amp;"+")+1,99))-1)*MID(MID(F68,FIND("+",F68&amp;"+")+1,99),FIND("t",MID(F68,FIND("+",F68&amp;"+")+1,99))+1,2)^2*PI()/400,0)</f>
        <v/>
      </c>
      <c r="G69">
        <f>IFERROR(LEFT(LEFT(G68,FIND("+",G68&amp;"+")-1),FIND("t",LEFT(G68,FIND("+",G68&amp;"+")-1))-1)*MID(LEFT(G68,FIND("+",G68&amp;"+")-1),FIND("t",LEFT(G68,FIND("+",G68&amp;"+")-1))+1,2)^2*PI()/400,0)+IFERROR(LEFT(MID(G68,FIND("+",G68&amp;"+")+1,99),FIND("t",MID(G68,FIND("+",G68&amp;"+")+1,99))-1)*MID(MID(G68,FIND("+",G68&amp;"+")+1,99),FIND("t",MID(G68,FIND("+",G68&amp;"+")+1,99))+1,2)^2*PI()/400,0)</f>
        <v/>
      </c>
      <c r="H69">
        <f>IFERROR(LEFT(LEFT(H68,FIND("+",H68&amp;"+")-1),FIND("t",LEFT(H68,FIND("+",H68&amp;"+")-1))-1)*MID(LEFT(H68,FIND("+",H68&amp;"+")-1),FIND("t",LEFT(H68,FIND("+",H68&amp;"+")-1))+1,2)^2*PI()/400,0)+IFERROR(LEFT(MID(H68,FIND("+",H68&amp;"+")+1,99),FIND("t",MID(H68,FIND("+",H68&amp;"+")+1,99))-1)*MID(MID(H68,FIND("+",H68&amp;"+")+1,99),FIND("t",MID(H68,FIND("+",H68&amp;"+")+1,99))+1,2)^2*PI()/400,0)</f>
        <v/>
      </c>
      <c r="I69">
        <f>IFERROR(LEFT(LEFT(I68,FIND("+",I68&amp;"+")-1),FIND("t",LEFT(I68,FIND("+",I68&amp;"+")-1))-1)*MID(LEFT(I68,FIND("+",I68&amp;"+")-1),FIND("t",LEFT(I68,FIND("+",I68&amp;"+")-1))+1,2)^2*PI()/400,0)+IFERROR(LEFT(MID(I68,FIND("+",I68&amp;"+")+1,99),FIND("t",MID(I68,FIND("+",I68&amp;"+")+1,99))-1)*MID(MID(I68,FIND("+",I68&amp;"+")+1,99),FIND("t",MID(I68,FIND("+",I68&amp;"+")+1,99))+1,2)^2*PI()/400,0)</f>
        <v/>
      </c>
      <c r="J69">
        <f>IFERROR(LEFT(LEFT(J68,FIND("+",J68&amp;"+")-1),FIND("t",LEFT(J68,FIND("+",J68&amp;"+")-1))-1)*MID(LEFT(J68,FIND("+",J68&amp;"+")-1),FIND("t",LEFT(J68,FIND("+",J68&amp;"+")-1))+1,2)^2*PI()/400,0)+IFERROR(LEFT(MID(J68,FIND("+",J68&amp;"+")+1,99),FIND("t",MID(J68,FIND("+",J68&amp;"+")+1,99))-1)*MID(MID(J68,FIND("+",J68&amp;"+")+1,99),FIND("t",MID(J68,FIND("+",J68&amp;"+")+1,99))+1,2)^2*PI()/400,0)</f>
        <v/>
      </c>
      <c r="K69">
        <f>IFERROR(LEFT(LEFT(K68,FIND("+",K68&amp;"+")-1),FIND("t",LEFT(K68,FIND("+",K68&amp;"+")-1))-1)*MID(LEFT(K68,FIND("+",K68&amp;"+")-1),FIND("t",LEFT(K68,FIND("+",K68&amp;"+")-1))+1,2)^2*PI()/400,0)+IFERROR(LEFT(MID(K68,FIND("+",K68&amp;"+")+1,99),FIND("t",MID(K68,FIND("+",K68&amp;"+")+1,99))-1)*MID(MID(K68,FIND("+",K68&amp;"+")+1,99),FIND("t",MID(K68,FIND("+",K68&amp;"+")+1,99))+1,2)^2*PI()/400,0)</f>
        <v/>
      </c>
      <c r="L69">
        <f>IFERROR(LEFT(LEFT(L68,FIND("+",L68&amp;"+")-1),FIND("t",LEFT(L68,FIND("+",L68&amp;"+")-1))-1)*MID(LEFT(L68,FIND("+",L68&amp;"+")-1),FIND("t",LEFT(L68,FIND("+",L68&amp;"+")-1))+1,2)^2*PI()/400,0)+IFERROR(LEFT(MID(L68,FIND("+",L68&amp;"+")+1,99),FIND("t",MID(L68,FIND("+",L68&amp;"+")+1,99))-1)*MID(MID(L68,FIND("+",L68&amp;"+")+1,99),FIND("t",MID(L68,FIND("+",L68&amp;"+")+1,99))+1,2)^2*PI()/400,0)</f>
        <v/>
      </c>
      <c r="M69">
        <f>IFERROR(LEFT(LEFT(M68,FIND("+",M68&amp;"+")-1),FIND("t",LEFT(M68,FIND("+",M68&amp;"+")-1))-1)*MID(LEFT(M68,FIND("+",M68&amp;"+")-1),FIND("t",LEFT(M68,FIND("+",M68&amp;"+")-1))+1,2)^2*PI()/400,0)+IFERROR(LEFT(MID(M68,FIND("+",M68&amp;"+")+1,99),FIND("t",MID(M68,FIND("+",M68&amp;"+")+1,99))-1)*MID(MID(M68,FIND("+",M68&amp;"+")+1,99),FIND("t",MID(M68,FIND("+",M68&amp;"+")+1,99))+1,2)^2*PI()/400,0)</f>
        <v/>
      </c>
      <c r="N69">
        <f>IFERROR(LEFT(LEFT(N68,FIND("+",N68&amp;"+")-1),FIND("t",LEFT(N68,FIND("+",N68&amp;"+")-1))-1)*MID(LEFT(N68,FIND("+",N68&amp;"+")-1),FIND("t",LEFT(N68,FIND("+",N68&amp;"+")-1))+1,2)^2*PI()/400,0)+IFERROR(LEFT(MID(N68,FIND("+",N68&amp;"+")+1,99),FIND("t",MID(N68,FIND("+",N68&amp;"+")+1,99))-1)*MID(MID(N68,FIND("+",N68&amp;"+")+1,99),FIND("t",MID(N68,FIND("+",N68&amp;"+")+1,99))+1,2)^2*PI()/400,0)</f>
        <v/>
      </c>
      <c r="O69">
        <f>IFERROR(LEFT(LEFT(O68,FIND("+",O68&amp;"+")-1),FIND("t",LEFT(O68,FIND("+",O68&amp;"+")-1))-1)*MID(LEFT(O68,FIND("+",O68&amp;"+")-1),FIND("t",LEFT(O68,FIND("+",O68&amp;"+")-1))+1,2)^2*PI()/400,0)+IFERROR(LEFT(MID(O68,FIND("+",O68&amp;"+")+1,99),FIND("t",MID(O68,FIND("+",O68&amp;"+")+1,99))-1)*MID(MID(O68,FIND("+",O68&amp;"+")+1,99),FIND("t",MID(O68,FIND("+",O68&amp;"+")+1,99))+1,2)^2*PI()/400,0)</f>
        <v/>
      </c>
      <c r="P69">
        <f>IFERROR(LEFT(LEFT(P68,FIND("+",P68&amp;"+")-1),FIND("t",LEFT(P68,FIND("+",P68&amp;"+")-1))-1)*MID(LEFT(P68,FIND("+",P68&amp;"+")-1),FIND("t",LEFT(P68,FIND("+",P68&amp;"+")-1))+1,2)^2*PI()/400,0)+IFERROR(LEFT(MID(P68,FIND("+",P68&amp;"+")+1,99),FIND("t",MID(P68,FIND("+",P68&amp;"+")+1,99))-1)*MID(MID(P68,FIND("+",P68&amp;"+")+1,99),FIND("t",MID(P68,FIND("+",P68&amp;"+")+1,99))+1,2)^2*PI()/400,0)</f>
        <v/>
      </c>
      <c r="Q69">
        <f>IFERROR(LEFT(LEFT(Q68,FIND("+",Q68&amp;"+")-1),FIND("t",LEFT(Q68,FIND("+",Q68&amp;"+")-1))-1)*MID(LEFT(Q68,FIND("+",Q68&amp;"+")-1),FIND("t",LEFT(Q68,FIND("+",Q68&amp;"+")-1))+1,2)^2*PI()/400,0)+IFERROR(LEFT(MID(Q68,FIND("+",Q68&amp;"+")+1,99),FIND("t",MID(Q68,FIND("+",Q68&amp;"+")+1,99))-1)*MID(MID(Q68,FIND("+",Q68&amp;"+")+1,99),FIND("t",MID(Q68,FIND("+",Q68&amp;"+")+1,99))+1,2)^2*PI()/400,0)</f>
        <v/>
      </c>
      <c r="R69">
        <f>IFERROR(LEFT(LEFT(R68,FIND("+",R68&amp;"+")-1),FIND("t",LEFT(R68,FIND("+",R68&amp;"+")-1))-1)*MID(LEFT(R68,FIND("+",R68&amp;"+")-1),FIND("t",LEFT(R68,FIND("+",R68&amp;"+")-1))+1,2)^2*PI()/400,0)+IFERROR(LEFT(MID(R68,FIND("+",R68&amp;"+")+1,99),FIND("t",MID(R68,FIND("+",R68&amp;"+")+1,99))-1)*MID(MID(R68,FIND("+",R68&amp;"+")+1,99),FIND("t",MID(R68,FIND("+",R68&amp;"+")+1,99))+1,2)^2*PI()/400,0)</f>
        <v/>
      </c>
      <c r="S69">
        <f>IFERROR(LEFT(LEFT(S68,FIND("+",S68&amp;"+")-1),FIND("t",LEFT(S68,FIND("+",S68&amp;"+")-1))-1)*MID(LEFT(S68,FIND("+",S68&amp;"+")-1),FIND("t",LEFT(S68,FIND("+",S68&amp;"+")-1))+1,2)^2*PI()/400,0)+IFERROR(LEFT(MID(S68,FIND("+",S68&amp;"+")+1,99),FIND("t",MID(S68,FIND("+",S68&amp;"+")+1,99))-1)*MID(MID(S68,FIND("+",S68&amp;"+")+1,99),FIND("t",MID(S68,FIND("+",S68&amp;"+")+1,99))+1,2)^2*PI()/400,0)</f>
        <v/>
      </c>
      <c r="T69">
        <f>IFERROR(LEFT(LEFT(T68,FIND("+",T68&amp;"+")-1),FIND("t",LEFT(T68,FIND("+",T68&amp;"+")-1))-1)*MID(LEFT(T68,FIND("+",T68&amp;"+")-1),FIND("t",LEFT(T68,FIND("+",T68&amp;"+")-1))+1,2)^2*PI()/400,0)+IFERROR(LEFT(MID(T68,FIND("+",T68&amp;"+")+1,99),FIND("t",MID(T68,FIND("+",T68&amp;"+")+1,99))-1)*MID(MID(T68,FIND("+",T68&amp;"+")+1,99),FIND("t",MID(T68,FIND("+",T68&amp;"+")+1,99))+1,2)^2*PI()/400,0)</f>
        <v/>
      </c>
      <c r="U69">
        <f>IFERROR(LEFT(LEFT(U68,FIND("+",U68&amp;"+")-1),FIND("t",LEFT(U68,FIND("+",U68&amp;"+")-1))-1)*MID(LEFT(U68,FIND("+",U68&amp;"+")-1),FIND("t",LEFT(U68,FIND("+",U68&amp;"+")-1))+1,2)^2*PI()/400,0)+IFERROR(LEFT(MID(U68,FIND("+",U68&amp;"+")+1,99),FIND("t",MID(U68,FIND("+",U68&amp;"+")+1,99))-1)*MID(MID(U68,FIND("+",U68&amp;"+")+1,99),FIND("t",MID(U68,FIND("+",U68&amp;"+")+1,99))+1,2)^2*PI()/400,0)</f>
        <v/>
      </c>
      <c r="V69">
        <f>IFERROR(LEFT(LEFT(V68,FIND("+",V68&amp;"+")-1),FIND("t",LEFT(V68,FIND("+",V68&amp;"+")-1))-1)*MID(LEFT(V68,FIND("+",V68&amp;"+")-1),FIND("t",LEFT(V68,FIND("+",V68&amp;"+")-1))+1,2)^2*PI()/400,0)+IFERROR(LEFT(MID(V68,FIND("+",V68&amp;"+")+1,99),FIND("t",MID(V68,FIND("+",V68&amp;"+")+1,99))-1)*MID(MID(V68,FIND("+",V68&amp;"+")+1,99),FIND("t",MID(V68,FIND("+",V68&amp;"+")+1,99))+1,2)^2*PI()/400,0)</f>
        <v/>
      </c>
      <c r="W69">
        <f>IFERROR(LEFT(LEFT(W68,FIND("+",W68&amp;"+")-1),FIND("t",LEFT(W68,FIND("+",W68&amp;"+")-1))-1)*MID(LEFT(W68,FIND("+",W68&amp;"+")-1),FIND("t",LEFT(W68,FIND("+",W68&amp;"+")-1))+1,2)^2*PI()/400,0)+IFERROR(LEFT(MID(W68,FIND("+",W68&amp;"+")+1,99),FIND("t",MID(W68,FIND("+",W68&amp;"+")+1,99))-1)*MID(MID(W68,FIND("+",W68&amp;"+")+1,99),FIND("t",MID(W68,FIND("+",W68&amp;"+")+1,99))+1,2)^2*PI()/400,0)</f>
        <v/>
      </c>
      <c r="X69">
        <f>IFERROR(LEFT(LEFT(X68,FIND("+",X68&amp;"+")-1),FIND("t",LEFT(X68,FIND("+",X68&amp;"+")-1))-1)*MID(LEFT(X68,FIND("+",X68&amp;"+")-1),FIND("t",LEFT(X68,FIND("+",X68&amp;"+")-1))+1,2)^2*PI()/400,0)+IFERROR(LEFT(MID(X68,FIND("+",X68&amp;"+")+1,99),FIND("t",MID(X68,FIND("+",X68&amp;"+")+1,99))-1)*MID(MID(X68,FIND("+",X68&amp;"+")+1,99),FIND("t",MID(X68,FIND("+",X68&amp;"+")+1,99))+1,2)^2*PI()/400,0)</f>
        <v/>
      </c>
      <c r="Y69">
        <f>IFERROR(LEFT(LEFT(Y68,FIND("+",Y68&amp;"+")-1),FIND("t",LEFT(Y68,FIND("+",Y68&amp;"+")-1))-1)*MID(LEFT(Y68,FIND("+",Y68&amp;"+")-1),FIND("t",LEFT(Y68,FIND("+",Y68&amp;"+")-1))+1,2)^2*PI()/400,0)+IFERROR(LEFT(MID(Y68,FIND("+",Y68&amp;"+")+1,99),FIND("t",MID(Y68,FIND("+",Y68&amp;"+")+1,99))-1)*MID(MID(Y68,FIND("+",Y68&amp;"+")+1,99),FIND("t",MID(Y68,FIND("+",Y68&amp;"+")+1,99))+1,2)^2*PI()/400,0)</f>
        <v/>
      </c>
      <c r="Z69">
        <f>IFERROR(LEFT(LEFT(Z68,FIND("+",Z68&amp;"+")-1),FIND("t",LEFT(Z68,FIND("+",Z68&amp;"+")-1))-1)*MID(LEFT(Z68,FIND("+",Z68&amp;"+")-1),FIND("t",LEFT(Z68,FIND("+",Z68&amp;"+")-1))+1,2)^2*PI()/400,0)+IFERROR(LEFT(MID(Z68,FIND("+",Z68&amp;"+")+1,99),FIND("t",MID(Z68,FIND("+",Z68&amp;"+")+1,99))-1)*MID(MID(Z68,FIND("+",Z68&amp;"+")+1,99),FIND("t",MID(Z68,FIND("+",Z68&amp;"+")+1,99))+1,2)^2*PI()/400,0)</f>
        <v/>
      </c>
      <c r="AA69">
        <f>IFERROR(LEFT(LEFT(AA68,FIND("+",AA68&amp;"+")-1),FIND("t",LEFT(AA68,FIND("+",AA68&amp;"+")-1))-1)*MID(LEFT(AA68,FIND("+",AA68&amp;"+")-1),FIND("t",LEFT(AA68,FIND("+",AA68&amp;"+")-1))+1,2)^2*PI()/400,0)+IFERROR(LEFT(MID(AA68,FIND("+",AA68&amp;"+")+1,99),FIND("t",MID(AA68,FIND("+",AA68&amp;"+")+1,99))-1)*MID(MID(AA68,FIND("+",AA68&amp;"+")+1,99),FIND("t",MID(AA68,FIND("+",AA68&amp;"+")+1,99))+1,2)^2*PI()/400,0)</f>
        <v/>
      </c>
      <c r="AB69">
        <f>IFERROR(LEFT(LEFT(AB68,FIND("+",AB68&amp;"+")-1),FIND("t",LEFT(AB68,FIND("+",AB68&amp;"+")-1))-1)*MID(LEFT(AB68,FIND("+",AB68&amp;"+")-1),FIND("t",LEFT(AB68,FIND("+",AB68&amp;"+")-1))+1,2)^2*PI()/400,0)+IFERROR(LEFT(MID(AB68,FIND("+",AB68&amp;"+")+1,99),FIND("t",MID(AB68,FIND("+",AB68&amp;"+")+1,99))-1)*MID(MID(AB68,FIND("+",AB68&amp;"+")+1,99),FIND("t",MID(AB68,FIND("+",AB68&amp;"+")+1,99))+1,2)^2*PI()/400,0)</f>
        <v/>
      </c>
      <c r="AC69">
        <f>IFERROR(LEFT(LEFT(AC68,FIND("+",AC68&amp;"+")-1),FIND("t",LEFT(AC68,FIND("+",AC68&amp;"+")-1))-1)*MID(LEFT(AC68,FIND("+",AC68&amp;"+")-1),FIND("t",LEFT(AC68,FIND("+",AC68&amp;"+")-1))+1,2)^2*PI()/400,0)+IFERROR(LEFT(MID(AC68,FIND("+",AC68&amp;"+")+1,99),FIND("t",MID(AC68,FIND("+",AC68&amp;"+")+1,99))-1)*MID(MID(AC68,FIND("+",AC68&amp;"+")+1,99),FIND("t",MID(AC68,FIND("+",AC68&amp;"+")+1,99))+1,2)^2*PI()/400,0)</f>
        <v/>
      </c>
      <c r="AD69">
        <f>IFERROR(LEFT(LEFT(AD68,FIND("+",AD68&amp;"+")-1),FIND("t",LEFT(AD68,FIND("+",AD68&amp;"+")-1))-1)*MID(LEFT(AD68,FIND("+",AD68&amp;"+")-1),FIND("t",LEFT(AD68,FIND("+",AD68&amp;"+")-1))+1,2)^2*PI()/400,0)+IFERROR(LEFT(MID(AD68,FIND("+",AD68&amp;"+")+1,99),FIND("t",MID(AD68,FIND("+",AD68&amp;"+")+1,99))-1)*MID(MID(AD68,FIND("+",AD68&amp;"+")+1,99),FIND("t",MID(AD68,FIND("+",AD68&amp;"+")+1,99))+1,2)^2*PI()/400,0)</f>
        <v/>
      </c>
      <c r="AE69">
        <f>IFERROR(LEFT(LEFT(AE68,FIND("+",AE68&amp;"+")-1),FIND("t",LEFT(AE68,FIND("+",AE68&amp;"+")-1))-1)*MID(LEFT(AE68,FIND("+",AE68&amp;"+")-1),FIND("t",LEFT(AE68,FIND("+",AE68&amp;"+")-1))+1,2)^2*PI()/400,0)+IFERROR(LEFT(MID(AE68,FIND("+",AE68&amp;"+")+1,99),FIND("t",MID(AE68,FIND("+",AE68&amp;"+")+1,99))-1)*MID(MID(AE68,FIND("+",AE68&amp;"+")+1,99),FIND("t",MID(AE68,FIND("+",AE68&amp;"+")+1,99))+1,2)^2*PI()/400,0)</f>
        <v/>
      </c>
      <c r="AF69">
        <f>IFERROR(LEFT(LEFT(AF68,FIND("+",AF68&amp;"+")-1),FIND("t",LEFT(AF68,FIND("+",AF68&amp;"+")-1))-1)*MID(LEFT(AF68,FIND("+",AF68&amp;"+")-1),FIND("t",LEFT(AF68,FIND("+",AF68&amp;"+")-1))+1,2)^2*PI()/400,0)+IFERROR(LEFT(MID(AF68,FIND("+",AF68&amp;"+")+1,99),FIND("t",MID(AF68,FIND("+",AF68&amp;"+")+1,99))-1)*MID(MID(AF68,FIND("+",AF68&amp;"+")+1,99),FIND("t",MID(AF68,FIND("+",AF68&amp;"+")+1,99))+1,2)^2*PI()/400,0)</f>
        <v/>
      </c>
      <c r="AG69">
        <f>IFERROR(LEFT(LEFT(AG68,FIND("+",AG68&amp;"+")-1),FIND("t",LEFT(AG68,FIND("+",AG68&amp;"+")-1))-1)*MID(LEFT(AG68,FIND("+",AG68&amp;"+")-1),FIND("t",LEFT(AG68,FIND("+",AG68&amp;"+")-1))+1,2)^2*PI()/400,0)+IFERROR(LEFT(MID(AG68,FIND("+",AG68&amp;"+")+1,99),FIND("t",MID(AG68,FIND("+",AG68&amp;"+")+1,99))-1)*MID(MID(AG68,FIND("+",AG68&amp;"+")+1,99),FIND("t",MID(AG68,FIND("+",AG68&amp;"+")+1,99))+1,2)^2*PI()/400,0)</f>
        <v/>
      </c>
    </row>
    <row r="70" hidden="1" outlineLevel="1">
      <c r="A70" s="60" t="inlineStr">
        <is>
          <t>(phụ trợ) N_T0R</t>
        </is>
      </c>
      <c r="C70">
        <f>IFERROR(IF(ISNUMBER(MID(LOOKUP(2,1/ISNUMBER(FIND(";",$D$23:D$23)),$D$23:D$23),FIND(";",LOOKUP(2,1/ISNUMBER(FIND(";",$D$23:D$23)),$D$23:D$23))+1,99)*1),LEFT($B$125,FIND("t",$B$125))&amp;MID(LOOKUP(2,1/ISNUMBER(FIND(";",$D$23:D$23)),$D$23:D$23),FIND(";",LOOKUP(2,1/ISNUMBER(FIND(";",$D$23:D$23)),$D$23:D$23))+1,99),SUBSTITUTE(SUBSTITUTE(SUBSTITUTE(SUBSTITUTE(SUBSTITUTE(SUBSTITUTE(LOWER(MID(LOOKUP(2,1/ISNUMBER(FIND(";",$D$23:D$23)),$D$23:D$23),FIND(";",LOOKUP(2,1/ISNUMBER(FIND(";",$D$23:D$23)),$D$23:D$23))+1,99))," ",""),"%%c","t"),"ø","t"),"φ","t"),"f","t"),"d","t")),$B$125)</f>
        <v/>
      </c>
      <c r="D70">
        <f>IFERROR(IF(ISNUMBER(MID(LOOKUP(2,1/ISNUMBER(FIND(";",$D$23:D$23)),$D$23:D$23),FIND(";",LOOKUP(2,1/ISNUMBER(FIND(";",$D$23:D$23)),$D$23:D$23))+1,99)*1),LEFT($B$125,FIND("t",$B$125))&amp;MID(LOOKUP(2,1/ISNUMBER(FIND(";",$D$23:D$23)),$D$23:D$23),FIND(";",LOOKUP(2,1/ISNUMBER(FIND(";",$D$23:D$23)),$D$23:D$23))+1,99),SUBSTITUTE(SUBSTITUTE(SUBSTITUTE(SUBSTITUTE(SUBSTITUTE(SUBSTITUTE(LOWER(MID(LOOKUP(2,1/ISNUMBER(FIND(";",$D$23:D$23)),$D$23:D$23),FIND(";",LOOKUP(2,1/ISNUMBER(FIND(";",$D$23:D$23)),$D$23:D$23))+1,99))," ",""),"%%c","t"),"ø","t"),"φ","t"),"f","t"),"d","t")),$B$125)</f>
        <v/>
      </c>
      <c r="E70">
        <f>IFERROR(IF(ISNUMBER(MID(LOOKUP(2,1/ISNUMBER(FIND(";",$D$23:F$23)),$D$23:F$23),FIND(";",LOOKUP(2,1/ISNUMBER(FIND(";",$D$23:F$23)),$D$23:F$23))+1,99)*1),LEFT($B$125,FIND("t",$B$125))&amp;MID(LOOKUP(2,1/ISNUMBER(FIND(";",$D$23:F$23)),$D$23:F$23),FIND(";",LOOKUP(2,1/ISNUMBER(FIND(";",$D$23:F$23)),$D$23:F$23))+1,99),SUBSTITUTE(SUBSTITUTE(SUBSTITUTE(SUBSTITUTE(SUBSTITUTE(SUBSTITUTE(LOWER(MID(LOOKUP(2,1/ISNUMBER(FIND(";",$D$23:F$23)),$D$23:F$23),FIND(";",LOOKUP(2,1/ISNUMBER(FIND(";",$D$23:F$23)),$D$23:F$23))+1,99))," ",""),"%%c","t"),"ø","t"),"φ","t"),"f","t"),"d","t")),$B$125)</f>
        <v/>
      </c>
      <c r="F70">
        <f>IFERROR(IF(ISNUMBER(MID(LOOKUP(2,1/ISNUMBER(FIND(";",$D$23:F$23)),$D$23:F$23),FIND(";",LOOKUP(2,1/ISNUMBER(FIND(";",$D$23:F$23)),$D$23:F$23))+1,99)*1),LEFT($B$125,FIND("t",$B$125))&amp;MID(LOOKUP(2,1/ISNUMBER(FIND(";",$D$23:F$23)),$D$23:F$23),FIND(";",LOOKUP(2,1/ISNUMBER(FIND(";",$D$23:F$23)),$D$23:F$23))+1,99),SUBSTITUTE(SUBSTITUTE(SUBSTITUTE(SUBSTITUTE(SUBSTITUTE(SUBSTITUTE(LOWER(MID(LOOKUP(2,1/ISNUMBER(FIND(";",$D$23:F$23)),$D$23:F$23),FIND(";",LOOKUP(2,1/ISNUMBER(FIND(";",$D$23:F$23)),$D$23:F$23))+1,99))," ",""),"%%c","t"),"ø","t"),"φ","t"),"f","t"),"d","t")),$B$125)</f>
        <v/>
      </c>
      <c r="G70">
        <f>IFERROR(IF(ISNUMBER(MID(LOOKUP(2,1/ISNUMBER(FIND(";",$D$23:H$23)),$D$23:H$23),FIND(";",LOOKUP(2,1/ISNUMBER(FIND(";",$D$23:H$23)),$D$23:H$23))+1,99)*1),LEFT($B$125,FIND("t",$B$125))&amp;MID(LOOKUP(2,1/ISNUMBER(FIND(";",$D$23:H$23)),$D$23:H$23),FIND(";",LOOKUP(2,1/ISNUMBER(FIND(";",$D$23:H$23)),$D$23:H$23))+1,99),SUBSTITUTE(SUBSTITUTE(SUBSTITUTE(SUBSTITUTE(SUBSTITUTE(SUBSTITUTE(LOWER(MID(LOOKUP(2,1/ISNUMBER(FIND(";",$D$23:H$23)),$D$23:H$23),FIND(";",LOOKUP(2,1/ISNUMBER(FIND(";",$D$23:H$23)),$D$23:H$23))+1,99))," ",""),"%%c","t"),"ø","t"),"φ","t"),"f","t"),"d","t")),$B$125)</f>
        <v/>
      </c>
      <c r="H70">
        <f>IFERROR(IF(ISNUMBER(MID(LOOKUP(2,1/ISNUMBER(FIND(";",$D$23:H$23)),$D$23:H$23),FIND(";",LOOKUP(2,1/ISNUMBER(FIND(";",$D$23:H$23)),$D$23:H$23))+1,99)*1),LEFT($B$125,FIND("t",$B$125))&amp;MID(LOOKUP(2,1/ISNUMBER(FIND(";",$D$23:H$23)),$D$23:H$23),FIND(";",LOOKUP(2,1/ISNUMBER(FIND(";",$D$23:H$23)),$D$23:H$23))+1,99),SUBSTITUTE(SUBSTITUTE(SUBSTITUTE(SUBSTITUTE(SUBSTITUTE(SUBSTITUTE(LOWER(MID(LOOKUP(2,1/ISNUMBER(FIND(";",$D$23:H$23)),$D$23:H$23),FIND(";",LOOKUP(2,1/ISNUMBER(FIND(";",$D$23:H$23)),$D$23:H$23))+1,99))," ",""),"%%c","t"),"ø","t"),"φ","t"),"f","t"),"d","t")),$B$125)</f>
        <v/>
      </c>
      <c r="I70">
        <f>IFERROR(IF(ISNUMBER(MID(LOOKUP(2,1/ISNUMBER(FIND(";",$D$23:J$23)),$D$23:J$23),FIND(";",LOOKUP(2,1/ISNUMBER(FIND(";",$D$23:J$23)),$D$23:J$23))+1,99)*1),LEFT($B$125,FIND("t",$B$125))&amp;MID(LOOKUP(2,1/ISNUMBER(FIND(";",$D$23:J$23)),$D$23:J$23),FIND(";",LOOKUP(2,1/ISNUMBER(FIND(";",$D$23:J$23)),$D$23:J$23))+1,99),SUBSTITUTE(SUBSTITUTE(SUBSTITUTE(SUBSTITUTE(SUBSTITUTE(SUBSTITUTE(LOWER(MID(LOOKUP(2,1/ISNUMBER(FIND(";",$D$23:J$23)),$D$23:J$23),FIND(";",LOOKUP(2,1/ISNUMBER(FIND(";",$D$23:J$23)),$D$23:J$23))+1,99))," ",""),"%%c","t"),"ø","t"),"φ","t"),"f","t"),"d","t")),$B$125)</f>
        <v/>
      </c>
      <c r="J70">
        <f>IFERROR(IF(ISNUMBER(MID(LOOKUP(2,1/ISNUMBER(FIND(";",$D$23:J$23)),$D$23:J$23),FIND(";",LOOKUP(2,1/ISNUMBER(FIND(";",$D$23:J$23)),$D$23:J$23))+1,99)*1),LEFT($B$125,FIND("t",$B$125))&amp;MID(LOOKUP(2,1/ISNUMBER(FIND(";",$D$23:J$23)),$D$23:J$23),FIND(";",LOOKUP(2,1/ISNUMBER(FIND(";",$D$23:J$23)),$D$23:J$23))+1,99),SUBSTITUTE(SUBSTITUTE(SUBSTITUTE(SUBSTITUTE(SUBSTITUTE(SUBSTITUTE(LOWER(MID(LOOKUP(2,1/ISNUMBER(FIND(";",$D$23:J$23)),$D$23:J$23),FIND(";",LOOKUP(2,1/ISNUMBER(FIND(";",$D$23:J$23)),$D$23:J$23))+1,99))," ",""),"%%c","t"),"ø","t"),"φ","t"),"f","t"),"d","t")),$B$125)</f>
        <v/>
      </c>
      <c r="K70">
        <f>IFERROR(IF(ISNUMBER(MID(LOOKUP(2,1/ISNUMBER(FIND(";",$D$23:L$23)),$D$23:L$23),FIND(";",LOOKUP(2,1/ISNUMBER(FIND(";",$D$23:L$23)),$D$23:L$23))+1,99)*1),LEFT($B$125,FIND("t",$B$125))&amp;MID(LOOKUP(2,1/ISNUMBER(FIND(";",$D$23:L$23)),$D$23:L$23),FIND(";",LOOKUP(2,1/ISNUMBER(FIND(";",$D$23:L$23)),$D$23:L$23))+1,99),SUBSTITUTE(SUBSTITUTE(SUBSTITUTE(SUBSTITUTE(SUBSTITUTE(SUBSTITUTE(LOWER(MID(LOOKUP(2,1/ISNUMBER(FIND(";",$D$23:L$23)),$D$23:L$23),FIND(";",LOOKUP(2,1/ISNUMBER(FIND(";",$D$23:L$23)),$D$23:L$23))+1,99))," ",""),"%%c","t"),"ø","t"),"φ","t"),"f","t"),"d","t")),$B$125)</f>
        <v/>
      </c>
      <c r="L70">
        <f>IFERROR(IF(ISNUMBER(MID(LOOKUP(2,1/ISNUMBER(FIND(";",$D$23:L$23)),$D$23:L$23),FIND(";",LOOKUP(2,1/ISNUMBER(FIND(";",$D$23:L$23)),$D$23:L$23))+1,99)*1),LEFT($B$125,FIND("t",$B$125))&amp;MID(LOOKUP(2,1/ISNUMBER(FIND(";",$D$23:L$23)),$D$23:L$23),FIND(";",LOOKUP(2,1/ISNUMBER(FIND(";",$D$23:L$23)),$D$23:L$23))+1,99),SUBSTITUTE(SUBSTITUTE(SUBSTITUTE(SUBSTITUTE(SUBSTITUTE(SUBSTITUTE(LOWER(MID(LOOKUP(2,1/ISNUMBER(FIND(";",$D$23:L$23)),$D$23:L$23),FIND(";",LOOKUP(2,1/ISNUMBER(FIND(";",$D$23:L$23)),$D$23:L$23))+1,99))," ",""),"%%c","t"),"ø","t"),"φ","t"),"f","t"),"d","t")),$B$125)</f>
        <v/>
      </c>
      <c r="M70">
        <f>IFERROR(IF(ISNUMBER(MID(LOOKUP(2,1/ISNUMBER(FIND(";",$D$23:N$23)),$D$23:N$23),FIND(";",LOOKUP(2,1/ISNUMBER(FIND(";",$D$23:N$23)),$D$23:N$23))+1,99)*1),LEFT($B$125,FIND("t",$B$125))&amp;MID(LOOKUP(2,1/ISNUMBER(FIND(";",$D$23:N$23)),$D$23:N$23),FIND(";",LOOKUP(2,1/ISNUMBER(FIND(";",$D$23:N$23)),$D$23:N$23))+1,99),SUBSTITUTE(SUBSTITUTE(SUBSTITUTE(SUBSTITUTE(SUBSTITUTE(SUBSTITUTE(LOWER(MID(LOOKUP(2,1/ISNUMBER(FIND(";",$D$23:N$23)),$D$23:N$23),FIND(";",LOOKUP(2,1/ISNUMBER(FIND(";",$D$23:N$23)),$D$23:N$23))+1,99))," ",""),"%%c","t"),"ø","t"),"φ","t"),"f","t"),"d","t")),$B$125)</f>
        <v/>
      </c>
      <c r="N70">
        <f>IFERROR(IF(ISNUMBER(MID(LOOKUP(2,1/ISNUMBER(FIND(";",$D$23:N$23)),$D$23:N$23),FIND(";",LOOKUP(2,1/ISNUMBER(FIND(";",$D$23:N$23)),$D$23:N$23))+1,99)*1),LEFT($B$125,FIND("t",$B$125))&amp;MID(LOOKUP(2,1/ISNUMBER(FIND(";",$D$23:N$23)),$D$23:N$23),FIND(";",LOOKUP(2,1/ISNUMBER(FIND(";",$D$23:N$23)),$D$23:N$23))+1,99),SUBSTITUTE(SUBSTITUTE(SUBSTITUTE(SUBSTITUTE(SUBSTITUTE(SUBSTITUTE(LOWER(MID(LOOKUP(2,1/ISNUMBER(FIND(";",$D$23:N$23)),$D$23:N$23),FIND(";",LOOKUP(2,1/ISNUMBER(FIND(";",$D$23:N$23)),$D$23:N$23))+1,99))," ",""),"%%c","t"),"ø","t"),"φ","t"),"f","t"),"d","t")),$B$125)</f>
        <v/>
      </c>
      <c r="O70">
        <f>IFERROR(IF(ISNUMBER(MID(LOOKUP(2,1/ISNUMBER(FIND(";",$D$23:P$23)),$D$23:P$23),FIND(";",LOOKUP(2,1/ISNUMBER(FIND(";",$D$23:P$23)),$D$23:P$23))+1,99)*1),LEFT($B$125,FIND("t",$B$125))&amp;MID(LOOKUP(2,1/ISNUMBER(FIND(";",$D$23:P$23)),$D$23:P$23),FIND(";",LOOKUP(2,1/ISNUMBER(FIND(";",$D$23:P$23)),$D$23:P$23))+1,99),SUBSTITUTE(SUBSTITUTE(SUBSTITUTE(SUBSTITUTE(SUBSTITUTE(SUBSTITUTE(LOWER(MID(LOOKUP(2,1/ISNUMBER(FIND(";",$D$23:P$23)),$D$23:P$23),FIND(";",LOOKUP(2,1/ISNUMBER(FIND(";",$D$23:P$23)),$D$23:P$23))+1,99))," ",""),"%%c","t"),"ø","t"),"φ","t"),"f","t"),"d","t")),$B$125)</f>
        <v/>
      </c>
      <c r="P70">
        <f>IFERROR(IF(ISNUMBER(MID(LOOKUP(2,1/ISNUMBER(FIND(";",$D$23:P$23)),$D$23:P$23),FIND(";",LOOKUP(2,1/ISNUMBER(FIND(";",$D$23:P$23)),$D$23:P$23))+1,99)*1),LEFT($B$125,FIND("t",$B$125))&amp;MID(LOOKUP(2,1/ISNUMBER(FIND(";",$D$23:P$23)),$D$23:P$23),FIND(";",LOOKUP(2,1/ISNUMBER(FIND(";",$D$23:P$23)),$D$23:P$23))+1,99),SUBSTITUTE(SUBSTITUTE(SUBSTITUTE(SUBSTITUTE(SUBSTITUTE(SUBSTITUTE(LOWER(MID(LOOKUP(2,1/ISNUMBER(FIND(";",$D$23:P$23)),$D$23:P$23),FIND(";",LOOKUP(2,1/ISNUMBER(FIND(";",$D$23:P$23)),$D$23:P$23))+1,99))," ",""),"%%c","t"),"ø","t"),"φ","t"),"f","t"),"d","t")),$B$125)</f>
        <v/>
      </c>
      <c r="Q70">
        <f>IFERROR(IF(ISNUMBER(MID(LOOKUP(2,1/ISNUMBER(FIND(";",$D$23:R$23)),$D$23:R$23),FIND(";",LOOKUP(2,1/ISNUMBER(FIND(";",$D$23:R$23)),$D$23:R$23))+1,99)*1),LEFT($B$125,FIND("t",$B$125))&amp;MID(LOOKUP(2,1/ISNUMBER(FIND(";",$D$23:R$23)),$D$23:R$23),FIND(";",LOOKUP(2,1/ISNUMBER(FIND(";",$D$23:R$23)),$D$23:R$23))+1,99),SUBSTITUTE(SUBSTITUTE(SUBSTITUTE(SUBSTITUTE(SUBSTITUTE(SUBSTITUTE(LOWER(MID(LOOKUP(2,1/ISNUMBER(FIND(";",$D$23:R$23)),$D$23:R$23),FIND(";",LOOKUP(2,1/ISNUMBER(FIND(";",$D$23:R$23)),$D$23:R$23))+1,99))," ",""),"%%c","t"),"ø","t"),"φ","t"),"f","t"),"d","t")),$B$125)</f>
        <v/>
      </c>
      <c r="R70">
        <f>IFERROR(IF(ISNUMBER(MID(LOOKUP(2,1/ISNUMBER(FIND(";",$D$23:R$23)),$D$23:R$23),FIND(";",LOOKUP(2,1/ISNUMBER(FIND(";",$D$23:R$23)),$D$23:R$23))+1,99)*1),LEFT($B$125,FIND("t",$B$125))&amp;MID(LOOKUP(2,1/ISNUMBER(FIND(";",$D$23:R$23)),$D$23:R$23),FIND(";",LOOKUP(2,1/ISNUMBER(FIND(";",$D$23:R$23)),$D$23:R$23))+1,99),SUBSTITUTE(SUBSTITUTE(SUBSTITUTE(SUBSTITUTE(SUBSTITUTE(SUBSTITUTE(LOWER(MID(LOOKUP(2,1/ISNUMBER(FIND(";",$D$23:R$23)),$D$23:R$23),FIND(";",LOOKUP(2,1/ISNUMBER(FIND(";",$D$23:R$23)),$D$23:R$23))+1,99))," ",""),"%%c","t"),"ø","t"),"φ","t"),"f","t"),"d","t")),$B$125)</f>
        <v/>
      </c>
      <c r="S70">
        <f>IFERROR(IF(ISNUMBER(MID(LOOKUP(2,1/ISNUMBER(FIND(";",$D$23:T$23)),$D$23:T$23),FIND(";",LOOKUP(2,1/ISNUMBER(FIND(";",$D$23:T$23)),$D$23:T$23))+1,99)*1),LEFT($B$125,FIND("t",$B$125))&amp;MID(LOOKUP(2,1/ISNUMBER(FIND(";",$D$23:T$23)),$D$23:T$23),FIND(";",LOOKUP(2,1/ISNUMBER(FIND(";",$D$23:T$23)),$D$23:T$23))+1,99),SUBSTITUTE(SUBSTITUTE(SUBSTITUTE(SUBSTITUTE(SUBSTITUTE(SUBSTITUTE(LOWER(MID(LOOKUP(2,1/ISNUMBER(FIND(";",$D$23:T$23)),$D$23:T$23),FIND(";",LOOKUP(2,1/ISNUMBER(FIND(";",$D$23:T$23)),$D$23:T$23))+1,99))," ",""),"%%c","t"),"ø","t"),"φ","t"),"f","t"),"d","t")),$B$125)</f>
        <v/>
      </c>
      <c r="T70">
        <f>IFERROR(IF(ISNUMBER(MID(LOOKUP(2,1/ISNUMBER(FIND(";",$D$23:T$23)),$D$23:T$23),FIND(";",LOOKUP(2,1/ISNUMBER(FIND(";",$D$23:T$23)),$D$23:T$23))+1,99)*1),LEFT($B$125,FIND("t",$B$125))&amp;MID(LOOKUP(2,1/ISNUMBER(FIND(";",$D$23:T$23)),$D$23:T$23),FIND(";",LOOKUP(2,1/ISNUMBER(FIND(";",$D$23:T$23)),$D$23:T$23))+1,99),SUBSTITUTE(SUBSTITUTE(SUBSTITUTE(SUBSTITUTE(SUBSTITUTE(SUBSTITUTE(LOWER(MID(LOOKUP(2,1/ISNUMBER(FIND(";",$D$23:T$23)),$D$23:T$23),FIND(";",LOOKUP(2,1/ISNUMBER(FIND(";",$D$23:T$23)),$D$23:T$23))+1,99))," ",""),"%%c","t"),"ø","t"),"φ","t"),"f","t"),"d","t")),$B$125)</f>
        <v/>
      </c>
      <c r="U70">
        <f>IFERROR(IF(ISNUMBER(MID(LOOKUP(2,1/ISNUMBER(FIND(";",$D$23:V$23)),$D$23:V$23),FIND(";",LOOKUP(2,1/ISNUMBER(FIND(";",$D$23:V$23)),$D$23:V$23))+1,99)*1),LEFT($B$125,FIND("t",$B$125))&amp;MID(LOOKUP(2,1/ISNUMBER(FIND(";",$D$23:V$23)),$D$23:V$23),FIND(";",LOOKUP(2,1/ISNUMBER(FIND(";",$D$23:V$23)),$D$23:V$23))+1,99),SUBSTITUTE(SUBSTITUTE(SUBSTITUTE(SUBSTITUTE(SUBSTITUTE(SUBSTITUTE(LOWER(MID(LOOKUP(2,1/ISNUMBER(FIND(";",$D$23:V$23)),$D$23:V$23),FIND(";",LOOKUP(2,1/ISNUMBER(FIND(";",$D$23:V$23)),$D$23:V$23))+1,99))," ",""),"%%c","t"),"ø","t"),"φ","t"),"f","t"),"d","t")),$B$125)</f>
        <v/>
      </c>
      <c r="V70">
        <f>IFERROR(IF(ISNUMBER(MID(LOOKUP(2,1/ISNUMBER(FIND(";",$D$23:V$23)),$D$23:V$23),FIND(";",LOOKUP(2,1/ISNUMBER(FIND(";",$D$23:V$23)),$D$23:V$23))+1,99)*1),LEFT($B$125,FIND("t",$B$125))&amp;MID(LOOKUP(2,1/ISNUMBER(FIND(";",$D$23:V$23)),$D$23:V$23),FIND(";",LOOKUP(2,1/ISNUMBER(FIND(";",$D$23:V$23)),$D$23:V$23))+1,99),SUBSTITUTE(SUBSTITUTE(SUBSTITUTE(SUBSTITUTE(SUBSTITUTE(SUBSTITUTE(LOWER(MID(LOOKUP(2,1/ISNUMBER(FIND(";",$D$23:V$23)),$D$23:V$23),FIND(";",LOOKUP(2,1/ISNUMBER(FIND(";",$D$23:V$23)),$D$23:V$23))+1,99))," ",""),"%%c","t"),"ø","t"),"φ","t"),"f","t"),"d","t")),$B$125)</f>
        <v/>
      </c>
      <c r="W70">
        <f>IFERROR(IF(ISNUMBER(MID(LOOKUP(2,1/ISNUMBER(FIND(";",$D$23:X$23)),$D$23:X$23),FIND(";",LOOKUP(2,1/ISNUMBER(FIND(";",$D$23:X$23)),$D$23:X$23))+1,99)*1),LEFT($B$125,FIND("t",$B$125))&amp;MID(LOOKUP(2,1/ISNUMBER(FIND(";",$D$23:X$23)),$D$23:X$23),FIND(";",LOOKUP(2,1/ISNUMBER(FIND(";",$D$23:X$23)),$D$23:X$23))+1,99),SUBSTITUTE(SUBSTITUTE(SUBSTITUTE(SUBSTITUTE(SUBSTITUTE(SUBSTITUTE(LOWER(MID(LOOKUP(2,1/ISNUMBER(FIND(";",$D$23:X$23)),$D$23:X$23),FIND(";",LOOKUP(2,1/ISNUMBER(FIND(";",$D$23:X$23)),$D$23:X$23))+1,99))," ",""),"%%c","t"),"ø","t"),"φ","t"),"f","t"),"d","t")),$B$125)</f>
        <v/>
      </c>
      <c r="X70">
        <f>IFERROR(IF(ISNUMBER(MID(LOOKUP(2,1/ISNUMBER(FIND(";",$D$23:X$23)),$D$23:X$23),FIND(";",LOOKUP(2,1/ISNUMBER(FIND(";",$D$23:X$23)),$D$23:X$23))+1,99)*1),LEFT($B$125,FIND("t",$B$125))&amp;MID(LOOKUP(2,1/ISNUMBER(FIND(";",$D$23:X$23)),$D$23:X$23),FIND(";",LOOKUP(2,1/ISNUMBER(FIND(";",$D$23:X$23)),$D$23:X$23))+1,99),SUBSTITUTE(SUBSTITUTE(SUBSTITUTE(SUBSTITUTE(SUBSTITUTE(SUBSTITUTE(LOWER(MID(LOOKUP(2,1/ISNUMBER(FIND(";",$D$23:X$23)),$D$23:X$23),FIND(";",LOOKUP(2,1/ISNUMBER(FIND(";",$D$23:X$23)),$D$23:X$23))+1,99))," ",""),"%%c","t"),"ø","t"),"φ","t"),"f","t"),"d","t")),$B$125)</f>
        <v/>
      </c>
      <c r="Y70">
        <f>IFERROR(IF(ISNUMBER(MID(LOOKUP(2,1/ISNUMBER(FIND(";",$D$23:Z$23)),$D$23:Z$23),FIND(";",LOOKUP(2,1/ISNUMBER(FIND(";",$D$23:Z$23)),$D$23:Z$23))+1,99)*1),LEFT($B$125,FIND("t",$B$125))&amp;MID(LOOKUP(2,1/ISNUMBER(FIND(";",$D$23:Z$23)),$D$23:Z$23),FIND(";",LOOKUP(2,1/ISNUMBER(FIND(";",$D$23:Z$23)),$D$23:Z$23))+1,99),SUBSTITUTE(SUBSTITUTE(SUBSTITUTE(SUBSTITUTE(SUBSTITUTE(SUBSTITUTE(LOWER(MID(LOOKUP(2,1/ISNUMBER(FIND(";",$D$23:Z$23)),$D$23:Z$23),FIND(";",LOOKUP(2,1/ISNUMBER(FIND(";",$D$23:Z$23)),$D$23:Z$23))+1,99))," ",""),"%%c","t"),"ø","t"),"φ","t"),"f","t"),"d","t")),$B$125)</f>
        <v/>
      </c>
      <c r="Z70">
        <f>IFERROR(IF(ISNUMBER(MID(LOOKUP(2,1/ISNUMBER(FIND(";",$D$23:Z$23)),$D$23:Z$23),FIND(";",LOOKUP(2,1/ISNUMBER(FIND(";",$D$23:Z$23)),$D$23:Z$23))+1,99)*1),LEFT($B$125,FIND("t",$B$125))&amp;MID(LOOKUP(2,1/ISNUMBER(FIND(";",$D$23:Z$23)),$D$23:Z$23),FIND(";",LOOKUP(2,1/ISNUMBER(FIND(";",$D$23:Z$23)),$D$23:Z$23))+1,99),SUBSTITUTE(SUBSTITUTE(SUBSTITUTE(SUBSTITUTE(SUBSTITUTE(SUBSTITUTE(LOWER(MID(LOOKUP(2,1/ISNUMBER(FIND(";",$D$23:Z$23)),$D$23:Z$23),FIND(";",LOOKUP(2,1/ISNUMBER(FIND(";",$D$23:Z$23)),$D$23:Z$23))+1,99))," ",""),"%%c","t"),"ø","t"),"φ","t"),"f","t"),"d","t")),$B$125)</f>
        <v/>
      </c>
      <c r="AA70">
        <f>IFERROR(IF(ISNUMBER(MID(LOOKUP(2,1/ISNUMBER(FIND(";",$D$23:AB$23)),$D$23:AB$23),FIND(";",LOOKUP(2,1/ISNUMBER(FIND(";",$D$23:AB$23)),$D$23:AB$23))+1,99)*1),LEFT($B$125,FIND("t",$B$125))&amp;MID(LOOKUP(2,1/ISNUMBER(FIND(";",$D$23:AB$23)),$D$23:AB$23),FIND(";",LOOKUP(2,1/ISNUMBER(FIND(";",$D$23:AB$23)),$D$23:AB$23))+1,99),SUBSTITUTE(SUBSTITUTE(SUBSTITUTE(SUBSTITUTE(SUBSTITUTE(SUBSTITUTE(LOWER(MID(LOOKUP(2,1/ISNUMBER(FIND(";",$D$23:AB$23)),$D$23:AB$23),FIND(";",LOOKUP(2,1/ISNUMBER(FIND(";",$D$23:AB$23)),$D$23:AB$23))+1,99))," ",""),"%%c","t"),"ø","t"),"φ","t"),"f","t"),"d","t")),$B$125)</f>
        <v/>
      </c>
      <c r="AB70">
        <f>IFERROR(IF(ISNUMBER(MID(LOOKUP(2,1/ISNUMBER(FIND(";",$D$23:AB$23)),$D$23:AB$23),FIND(";",LOOKUP(2,1/ISNUMBER(FIND(";",$D$23:AB$23)),$D$23:AB$23))+1,99)*1),LEFT($B$125,FIND("t",$B$125))&amp;MID(LOOKUP(2,1/ISNUMBER(FIND(";",$D$23:AB$23)),$D$23:AB$23),FIND(";",LOOKUP(2,1/ISNUMBER(FIND(";",$D$23:AB$23)),$D$23:AB$23))+1,99),SUBSTITUTE(SUBSTITUTE(SUBSTITUTE(SUBSTITUTE(SUBSTITUTE(SUBSTITUTE(LOWER(MID(LOOKUP(2,1/ISNUMBER(FIND(";",$D$23:AB$23)),$D$23:AB$23),FIND(";",LOOKUP(2,1/ISNUMBER(FIND(";",$D$23:AB$23)),$D$23:AB$23))+1,99))," ",""),"%%c","t"),"ø","t"),"φ","t"),"f","t"),"d","t")),$B$125)</f>
        <v/>
      </c>
      <c r="AC70">
        <f>IFERROR(IF(ISNUMBER(MID(LOOKUP(2,1/ISNUMBER(FIND(";",$D$23:AD$23)),$D$23:AD$23),FIND(";",LOOKUP(2,1/ISNUMBER(FIND(";",$D$23:AD$23)),$D$23:AD$23))+1,99)*1),LEFT($B$125,FIND("t",$B$125))&amp;MID(LOOKUP(2,1/ISNUMBER(FIND(";",$D$23:AD$23)),$D$23:AD$23),FIND(";",LOOKUP(2,1/ISNUMBER(FIND(";",$D$23:AD$23)),$D$23:AD$23))+1,99),SUBSTITUTE(SUBSTITUTE(SUBSTITUTE(SUBSTITUTE(SUBSTITUTE(SUBSTITUTE(LOWER(MID(LOOKUP(2,1/ISNUMBER(FIND(";",$D$23:AD$23)),$D$23:AD$23),FIND(";",LOOKUP(2,1/ISNUMBER(FIND(";",$D$23:AD$23)),$D$23:AD$23))+1,99))," ",""),"%%c","t"),"ø","t"),"φ","t"),"f","t"),"d","t")),$B$125)</f>
        <v/>
      </c>
      <c r="AD70">
        <f>IFERROR(IF(ISNUMBER(MID(LOOKUP(2,1/ISNUMBER(FIND(";",$D$23:AD$23)),$D$23:AD$23),FIND(";",LOOKUP(2,1/ISNUMBER(FIND(";",$D$23:AD$23)),$D$23:AD$23))+1,99)*1),LEFT($B$125,FIND("t",$B$125))&amp;MID(LOOKUP(2,1/ISNUMBER(FIND(";",$D$23:AD$23)),$D$23:AD$23),FIND(";",LOOKUP(2,1/ISNUMBER(FIND(";",$D$23:AD$23)),$D$23:AD$23))+1,99),SUBSTITUTE(SUBSTITUTE(SUBSTITUTE(SUBSTITUTE(SUBSTITUTE(SUBSTITUTE(LOWER(MID(LOOKUP(2,1/ISNUMBER(FIND(";",$D$23:AD$23)),$D$23:AD$23),FIND(";",LOOKUP(2,1/ISNUMBER(FIND(";",$D$23:AD$23)),$D$23:AD$23))+1,99))," ",""),"%%c","t"),"ø","t"),"φ","t"),"f","t"),"d","t")),$B$125)</f>
        <v/>
      </c>
      <c r="AE70">
        <f>IFERROR(IF(ISNUMBER(MID(LOOKUP(2,1/ISNUMBER(FIND(";",$D$23:AF$23)),$D$23:AF$23),FIND(";",LOOKUP(2,1/ISNUMBER(FIND(";",$D$23:AF$23)),$D$23:AF$23))+1,99)*1),LEFT($B$125,FIND("t",$B$125))&amp;MID(LOOKUP(2,1/ISNUMBER(FIND(";",$D$23:AF$23)),$D$23:AF$23),FIND(";",LOOKUP(2,1/ISNUMBER(FIND(";",$D$23:AF$23)),$D$23:AF$23))+1,99),SUBSTITUTE(SUBSTITUTE(SUBSTITUTE(SUBSTITUTE(SUBSTITUTE(SUBSTITUTE(LOWER(MID(LOOKUP(2,1/ISNUMBER(FIND(";",$D$23:AF$23)),$D$23:AF$23),FIND(";",LOOKUP(2,1/ISNUMBER(FIND(";",$D$23:AF$23)),$D$23:AF$23))+1,99))," ",""),"%%c","t"),"ø","t"),"φ","t"),"f","t"),"d","t")),$B$125)</f>
        <v/>
      </c>
      <c r="AF70">
        <f>IFERROR(IF(ISNUMBER(MID(LOOKUP(2,1/ISNUMBER(FIND(";",$D$23:AF$23)),$D$23:AF$23),FIND(";",LOOKUP(2,1/ISNUMBER(FIND(";",$D$23:AF$23)),$D$23:AF$23))+1,99)*1),LEFT($B$125,FIND("t",$B$125))&amp;MID(LOOKUP(2,1/ISNUMBER(FIND(";",$D$23:AF$23)),$D$23:AF$23),FIND(";",LOOKUP(2,1/ISNUMBER(FIND(";",$D$23:AF$23)),$D$23:AF$23))+1,99),SUBSTITUTE(SUBSTITUTE(SUBSTITUTE(SUBSTITUTE(SUBSTITUTE(SUBSTITUTE(LOWER(MID(LOOKUP(2,1/ISNUMBER(FIND(";",$D$23:AF$23)),$D$23:AF$23),FIND(";",LOOKUP(2,1/ISNUMBER(FIND(";",$D$23:AF$23)),$D$23:AF$23))+1,99))," ",""),"%%c","t"),"ø","t"),"φ","t"),"f","t"),"d","t")),$B$125)</f>
        <v/>
      </c>
      <c r="AG70">
        <f>IFERROR(IF(ISNUMBER(MID(LOOKUP(2,1/ISNUMBER(FIND(";",$D$23:AH$23)),$D$23:AH$23),FIND(";",LOOKUP(2,1/ISNUMBER(FIND(";",$D$23:AH$23)),$D$23:AH$23))+1,99)*1),LEFT($B$125,FIND("t",$B$125))&amp;MID(LOOKUP(2,1/ISNUMBER(FIND(";",$D$23:AH$23)),$D$23:AH$23),FIND(";",LOOKUP(2,1/ISNUMBER(FIND(";",$D$23:AH$23)),$D$23:AH$23))+1,99),SUBSTITUTE(SUBSTITUTE(SUBSTITUTE(SUBSTITUTE(SUBSTITUTE(SUBSTITUTE(LOWER(MID(LOOKUP(2,1/ISNUMBER(FIND(";",$D$23:AH$23)),$D$23:AH$23),FIND(";",LOOKUP(2,1/ISNUMBER(FIND(";",$D$23:AH$23)),$D$23:AH$23))+1,99))," ",""),"%%c","t"),"ø","t"),"φ","t"),"f","t"),"d","t")),$B$125)</f>
        <v/>
      </c>
    </row>
    <row r="71" hidden="1" outlineLevel="1">
      <c r="A71" s="60" t="inlineStr">
        <is>
          <t>(phụ trợ) A_T0R</t>
        </is>
      </c>
      <c r="C71">
        <f>IFERROR(LEFT(LEFT(C70,FIND("+",C70&amp;"+")-1),FIND("t",LEFT(C70,FIND("+",C70&amp;"+")-1))-1)*MID(LEFT(C70,FIND("+",C70&amp;"+")-1),FIND("t",LEFT(C70,FIND("+",C70&amp;"+")-1))+1,2)^2*PI()/400,0)+IFERROR(LEFT(MID(C70,FIND("+",C70&amp;"+")+1,99),FIND("t",MID(C70,FIND("+",C70&amp;"+")+1,99))-1)*MID(MID(C70,FIND("+",C70&amp;"+")+1,99),FIND("t",MID(C70,FIND("+",C70&amp;"+")+1,99))+1,2)^2*PI()/400,0)</f>
        <v/>
      </c>
      <c r="D71">
        <f>IFERROR(LEFT(LEFT(D70,FIND("+",D70&amp;"+")-1),FIND("t",LEFT(D70,FIND("+",D70&amp;"+")-1))-1)*MID(LEFT(D70,FIND("+",D70&amp;"+")-1),FIND("t",LEFT(D70,FIND("+",D70&amp;"+")-1))+1,2)^2*PI()/400,0)+IFERROR(LEFT(MID(D70,FIND("+",D70&amp;"+")+1,99),FIND("t",MID(D70,FIND("+",D70&amp;"+")+1,99))-1)*MID(MID(D70,FIND("+",D70&amp;"+")+1,99),FIND("t",MID(D70,FIND("+",D70&amp;"+")+1,99))+1,2)^2*PI()/400,0)</f>
        <v/>
      </c>
      <c r="E71">
        <f>IFERROR(LEFT(LEFT(E70,FIND("+",E70&amp;"+")-1),FIND("t",LEFT(E70,FIND("+",E70&amp;"+")-1))-1)*MID(LEFT(E70,FIND("+",E70&amp;"+")-1),FIND("t",LEFT(E70,FIND("+",E70&amp;"+")-1))+1,2)^2*PI()/400,0)+IFERROR(LEFT(MID(E70,FIND("+",E70&amp;"+")+1,99),FIND("t",MID(E70,FIND("+",E70&amp;"+")+1,99))-1)*MID(MID(E70,FIND("+",E70&amp;"+")+1,99),FIND("t",MID(E70,FIND("+",E70&amp;"+")+1,99))+1,2)^2*PI()/400,0)</f>
        <v/>
      </c>
      <c r="F71">
        <f>IFERROR(LEFT(LEFT(F70,FIND("+",F70&amp;"+")-1),FIND("t",LEFT(F70,FIND("+",F70&amp;"+")-1))-1)*MID(LEFT(F70,FIND("+",F70&amp;"+")-1),FIND("t",LEFT(F70,FIND("+",F70&amp;"+")-1))+1,2)^2*PI()/400,0)+IFERROR(LEFT(MID(F70,FIND("+",F70&amp;"+")+1,99),FIND("t",MID(F70,FIND("+",F70&amp;"+")+1,99))-1)*MID(MID(F70,FIND("+",F70&amp;"+")+1,99),FIND("t",MID(F70,FIND("+",F70&amp;"+")+1,99))+1,2)^2*PI()/400,0)</f>
        <v/>
      </c>
      <c r="G71">
        <f>IFERROR(LEFT(LEFT(G70,FIND("+",G70&amp;"+")-1),FIND("t",LEFT(G70,FIND("+",G70&amp;"+")-1))-1)*MID(LEFT(G70,FIND("+",G70&amp;"+")-1),FIND("t",LEFT(G70,FIND("+",G70&amp;"+")-1))+1,2)^2*PI()/400,0)+IFERROR(LEFT(MID(G70,FIND("+",G70&amp;"+")+1,99),FIND("t",MID(G70,FIND("+",G70&amp;"+")+1,99))-1)*MID(MID(G70,FIND("+",G70&amp;"+")+1,99),FIND("t",MID(G70,FIND("+",G70&amp;"+")+1,99))+1,2)^2*PI()/400,0)</f>
        <v/>
      </c>
      <c r="H71">
        <f>IFERROR(LEFT(LEFT(H70,FIND("+",H70&amp;"+")-1),FIND("t",LEFT(H70,FIND("+",H70&amp;"+")-1))-1)*MID(LEFT(H70,FIND("+",H70&amp;"+")-1),FIND("t",LEFT(H70,FIND("+",H70&amp;"+")-1))+1,2)^2*PI()/400,0)+IFERROR(LEFT(MID(H70,FIND("+",H70&amp;"+")+1,99),FIND("t",MID(H70,FIND("+",H70&amp;"+")+1,99))-1)*MID(MID(H70,FIND("+",H70&amp;"+")+1,99),FIND("t",MID(H70,FIND("+",H70&amp;"+")+1,99))+1,2)^2*PI()/400,0)</f>
        <v/>
      </c>
      <c r="I71">
        <f>IFERROR(LEFT(LEFT(I70,FIND("+",I70&amp;"+")-1),FIND("t",LEFT(I70,FIND("+",I70&amp;"+")-1))-1)*MID(LEFT(I70,FIND("+",I70&amp;"+")-1),FIND("t",LEFT(I70,FIND("+",I70&amp;"+")-1))+1,2)^2*PI()/400,0)+IFERROR(LEFT(MID(I70,FIND("+",I70&amp;"+")+1,99),FIND("t",MID(I70,FIND("+",I70&amp;"+")+1,99))-1)*MID(MID(I70,FIND("+",I70&amp;"+")+1,99),FIND("t",MID(I70,FIND("+",I70&amp;"+")+1,99))+1,2)^2*PI()/400,0)</f>
        <v/>
      </c>
      <c r="J71">
        <f>IFERROR(LEFT(LEFT(J70,FIND("+",J70&amp;"+")-1),FIND("t",LEFT(J70,FIND("+",J70&amp;"+")-1))-1)*MID(LEFT(J70,FIND("+",J70&amp;"+")-1),FIND("t",LEFT(J70,FIND("+",J70&amp;"+")-1))+1,2)^2*PI()/400,0)+IFERROR(LEFT(MID(J70,FIND("+",J70&amp;"+")+1,99),FIND("t",MID(J70,FIND("+",J70&amp;"+")+1,99))-1)*MID(MID(J70,FIND("+",J70&amp;"+")+1,99),FIND("t",MID(J70,FIND("+",J70&amp;"+")+1,99))+1,2)^2*PI()/400,0)</f>
        <v/>
      </c>
      <c r="K71">
        <f>IFERROR(LEFT(LEFT(K70,FIND("+",K70&amp;"+")-1),FIND("t",LEFT(K70,FIND("+",K70&amp;"+")-1))-1)*MID(LEFT(K70,FIND("+",K70&amp;"+")-1),FIND("t",LEFT(K70,FIND("+",K70&amp;"+")-1))+1,2)^2*PI()/400,0)+IFERROR(LEFT(MID(K70,FIND("+",K70&amp;"+")+1,99),FIND("t",MID(K70,FIND("+",K70&amp;"+")+1,99))-1)*MID(MID(K70,FIND("+",K70&amp;"+")+1,99),FIND("t",MID(K70,FIND("+",K70&amp;"+")+1,99))+1,2)^2*PI()/400,0)</f>
        <v/>
      </c>
      <c r="L71">
        <f>IFERROR(LEFT(LEFT(L70,FIND("+",L70&amp;"+")-1),FIND("t",LEFT(L70,FIND("+",L70&amp;"+")-1))-1)*MID(LEFT(L70,FIND("+",L70&amp;"+")-1),FIND("t",LEFT(L70,FIND("+",L70&amp;"+")-1))+1,2)^2*PI()/400,0)+IFERROR(LEFT(MID(L70,FIND("+",L70&amp;"+")+1,99),FIND("t",MID(L70,FIND("+",L70&amp;"+")+1,99))-1)*MID(MID(L70,FIND("+",L70&amp;"+")+1,99),FIND("t",MID(L70,FIND("+",L70&amp;"+")+1,99))+1,2)^2*PI()/400,0)</f>
        <v/>
      </c>
      <c r="M71">
        <f>IFERROR(LEFT(LEFT(M70,FIND("+",M70&amp;"+")-1),FIND("t",LEFT(M70,FIND("+",M70&amp;"+")-1))-1)*MID(LEFT(M70,FIND("+",M70&amp;"+")-1),FIND("t",LEFT(M70,FIND("+",M70&amp;"+")-1))+1,2)^2*PI()/400,0)+IFERROR(LEFT(MID(M70,FIND("+",M70&amp;"+")+1,99),FIND("t",MID(M70,FIND("+",M70&amp;"+")+1,99))-1)*MID(MID(M70,FIND("+",M70&amp;"+")+1,99),FIND("t",MID(M70,FIND("+",M70&amp;"+")+1,99))+1,2)^2*PI()/400,0)</f>
        <v/>
      </c>
      <c r="N71">
        <f>IFERROR(LEFT(LEFT(N70,FIND("+",N70&amp;"+")-1),FIND("t",LEFT(N70,FIND("+",N70&amp;"+")-1))-1)*MID(LEFT(N70,FIND("+",N70&amp;"+")-1),FIND("t",LEFT(N70,FIND("+",N70&amp;"+")-1))+1,2)^2*PI()/400,0)+IFERROR(LEFT(MID(N70,FIND("+",N70&amp;"+")+1,99),FIND("t",MID(N70,FIND("+",N70&amp;"+")+1,99))-1)*MID(MID(N70,FIND("+",N70&amp;"+")+1,99),FIND("t",MID(N70,FIND("+",N70&amp;"+")+1,99))+1,2)^2*PI()/400,0)</f>
        <v/>
      </c>
      <c r="O71">
        <f>IFERROR(LEFT(LEFT(O70,FIND("+",O70&amp;"+")-1),FIND("t",LEFT(O70,FIND("+",O70&amp;"+")-1))-1)*MID(LEFT(O70,FIND("+",O70&amp;"+")-1),FIND("t",LEFT(O70,FIND("+",O70&amp;"+")-1))+1,2)^2*PI()/400,0)+IFERROR(LEFT(MID(O70,FIND("+",O70&amp;"+")+1,99),FIND("t",MID(O70,FIND("+",O70&amp;"+")+1,99))-1)*MID(MID(O70,FIND("+",O70&amp;"+")+1,99),FIND("t",MID(O70,FIND("+",O70&amp;"+")+1,99))+1,2)^2*PI()/400,0)</f>
        <v/>
      </c>
      <c r="P71">
        <f>IFERROR(LEFT(LEFT(P70,FIND("+",P70&amp;"+")-1),FIND("t",LEFT(P70,FIND("+",P70&amp;"+")-1))-1)*MID(LEFT(P70,FIND("+",P70&amp;"+")-1),FIND("t",LEFT(P70,FIND("+",P70&amp;"+")-1))+1,2)^2*PI()/400,0)+IFERROR(LEFT(MID(P70,FIND("+",P70&amp;"+")+1,99),FIND("t",MID(P70,FIND("+",P70&amp;"+")+1,99))-1)*MID(MID(P70,FIND("+",P70&amp;"+")+1,99),FIND("t",MID(P70,FIND("+",P70&amp;"+")+1,99))+1,2)^2*PI()/400,0)</f>
        <v/>
      </c>
      <c r="Q71">
        <f>IFERROR(LEFT(LEFT(Q70,FIND("+",Q70&amp;"+")-1),FIND("t",LEFT(Q70,FIND("+",Q70&amp;"+")-1))-1)*MID(LEFT(Q70,FIND("+",Q70&amp;"+")-1),FIND("t",LEFT(Q70,FIND("+",Q70&amp;"+")-1))+1,2)^2*PI()/400,0)+IFERROR(LEFT(MID(Q70,FIND("+",Q70&amp;"+")+1,99),FIND("t",MID(Q70,FIND("+",Q70&amp;"+")+1,99))-1)*MID(MID(Q70,FIND("+",Q70&amp;"+")+1,99),FIND("t",MID(Q70,FIND("+",Q70&amp;"+")+1,99))+1,2)^2*PI()/400,0)</f>
        <v/>
      </c>
      <c r="R71">
        <f>IFERROR(LEFT(LEFT(R70,FIND("+",R70&amp;"+")-1),FIND("t",LEFT(R70,FIND("+",R70&amp;"+")-1))-1)*MID(LEFT(R70,FIND("+",R70&amp;"+")-1),FIND("t",LEFT(R70,FIND("+",R70&amp;"+")-1))+1,2)^2*PI()/400,0)+IFERROR(LEFT(MID(R70,FIND("+",R70&amp;"+")+1,99),FIND("t",MID(R70,FIND("+",R70&amp;"+")+1,99))-1)*MID(MID(R70,FIND("+",R70&amp;"+")+1,99),FIND("t",MID(R70,FIND("+",R70&amp;"+")+1,99))+1,2)^2*PI()/400,0)</f>
        <v/>
      </c>
      <c r="S71">
        <f>IFERROR(LEFT(LEFT(S70,FIND("+",S70&amp;"+")-1),FIND("t",LEFT(S70,FIND("+",S70&amp;"+")-1))-1)*MID(LEFT(S70,FIND("+",S70&amp;"+")-1),FIND("t",LEFT(S70,FIND("+",S70&amp;"+")-1))+1,2)^2*PI()/400,0)+IFERROR(LEFT(MID(S70,FIND("+",S70&amp;"+")+1,99),FIND("t",MID(S70,FIND("+",S70&amp;"+")+1,99))-1)*MID(MID(S70,FIND("+",S70&amp;"+")+1,99),FIND("t",MID(S70,FIND("+",S70&amp;"+")+1,99))+1,2)^2*PI()/400,0)</f>
        <v/>
      </c>
      <c r="T71">
        <f>IFERROR(LEFT(LEFT(T70,FIND("+",T70&amp;"+")-1),FIND("t",LEFT(T70,FIND("+",T70&amp;"+")-1))-1)*MID(LEFT(T70,FIND("+",T70&amp;"+")-1),FIND("t",LEFT(T70,FIND("+",T70&amp;"+")-1))+1,2)^2*PI()/400,0)+IFERROR(LEFT(MID(T70,FIND("+",T70&amp;"+")+1,99),FIND("t",MID(T70,FIND("+",T70&amp;"+")+1,99))-1)*MID(MID(T70,FIND("+",T70&amp;"+")+1,99),FIND("t",MID(T70,FIND("+",T70&amp;"+")+1,99))+1,2)^2*PI()/400,0)</f>
        <v/>
      </c>
      <c r="U71">
        <f>IFERROR(LEFT(LEFT(U70,FIND("+",U70&amp;"+")-1),FIND("t",LEFT(U70,FIND("+",U70&amp;"+")-1))-1)*MID(LEFT(U70,FIND("+",U70&amp;"+")-1),FIND("t",LEFT(U70,FIND("+",U70&amp;"+")-1))+1,2)^2*PI()/400,0)+IFERROR(LEFT(MID(U70,FIND("+",U70&amp;"+")+1,99),FIND("t",MID(U70,FIND("+",U70&amp;"+")+1,99))-1)*MID(MID(U70,FIND("+",U70&amp;"+")+1,99),FIND("t",MID(U70,FIND("+",U70&amp;"+")+1,99))+1,2)^2*PI()/400,0)</f>
        <v/>
      </c>
      <c r="V71">
        <f>IFERROR(LEFT(LEFT(V70,FIND("+",V70&amp;"+")-1),FIND("t",LEFT(V70,FIND("+",V70&amp;"+")-1))-1)*MID(LEFT(V70,FIND("+",V70&amp;"+")-1),FIND("t",LEFT(V70,FIND("+",V70&amp;"+")-1))+1,2)^2*PI()/400,0)+IFERROR(LEFT(MID(V70,FIND("+",V70&amp;"+")+1,99),FIND("t",MID(V70,FIND("+",V70&amp;"+")+1,99))-1)*MID(MID(V70,FIND("+",V70&amp;"+")+1,99),FIND("t",MID(V70,FIND("+",V70&amp;"+")+1,99))+1,2)^2*PI()/400,0)</f>
        <v/>
      </c>
      <c r="W71">
        <f>IFERROR(LEFT(LEFT(W70,FIND("+",W70&amp;"+")-1),FIND("t",LEFT(W70,FIND("+",W70&amp;"+")-1))-1)*MID(LEFT(W70,FIND("+",W70&amp;"+")-1),FIND("t",LEFT(W70,FIND("+",W70&amp;"+")-1))+1,2)^2*PI()/400,0)+IFERROR(LEFT(MID(W70,FIND("+",W70&amp;"+")+1,99),FIND("t",MID(W70,FIND("+",W70&amp;"+")+1,99))-1)*MID(MID(W70,FIND("+",W70&amp;"+")+1,99),FIND("t",MID(W70,FIND("+",W70&amp;"+")+1,99))+1,2)^2*PI()/400,0)</f>
        <v/>
      </c>
      <c r="X71">
        <f>IFERROR(LEFT(LEFT(X70,FIND("+",X70&amp;"+")-1),FIND("t",LEFT(X70,FIND("+",X70&amp;"+")-1))-1)*MID(LEFT(X70,FIND("+",X70&amp;"+")-1),FIND("t",LEFT(X70,FIND("+",X70&amp;"+")-1))+1,2)^2*PI()/400,0)+IFERROR(LEFT(MID(X70,FIND("+",X70&amp;"+")+1,99),FIND("t",MID(X70,FIND("+",X70&amp;"+")+1,99))-1)*MID(MID(X70,FIND("+",X70&amp;"+")+1,99),FIND("t",MID(X70,FIND("+",X70&amp;"+")+1,99))+1,2)^2*PI()/400,0)</f>
        <v/>
      </c>
      <c r="Y71">
        <f>IFERROR(LEFT(LEFT(Y70,FIND("+",Y70&amp;"+")-1),FIND("t",LEFT(Y70,FIND("+",Y70&amp;"+")-1))-1)*MID(LEFT(Y70,FIND("+",Y70&amp;"+")-1),FIND("t",LEFT(Y70,FIND("+",Y70&amp;"+")-1))+1,2)^2*PI()/400,0)+IFERROR(LEFT(MID(Y70,FIND("+",Y70&amp;"+")+1,99),FIND("t",MID(Y70,FIND("+",Y70&amp;"+")+1,99))-1)*MID(MID(Y70,FIND("+",Y70&amp;"+")+1,99),FIND("t",MID(Y70,FIND("+",Y70&amp;"+")+1,99))+1,2)^2*PI()/400,0)</f>
        <v/>
      </c>
      <c r="Z71">
        <f>IFERROR(LEFT(LEFT(Z70,FIND("+",Z70&amp;"+")-1),FIND("t",LEFT(Z70,FIND("+",Z70&amp;"+")-1))-1)*MID(LEFT(Z70,FIND("+",Z70&amp;"+")-1),FIND("t",LEFT(Z70,FIND("+",Z70&amp;"+")-1))+1,2)^2*PI()/400,0)+IFERROR(LEFT(MID(Z70,FIND("+",Z70&amp;"+")+1,99),FIND("t",MID(Z70,FIND("+",Z70&amp;"+")+1,99))-1)*MID(MID(Z70,FIND("+",Z70&amp;"+")+1,99),FIND("t",MID(Z70,FIND("+",Z70&amp;"+")+1,99))+1,2)^2*PI()/400,0)</f>
        <v/>
      </c>
      <c r="AA71">
        <f>IFERROR(LEFT(LEFT(AA70,FIND("+",AA70&amp;"+")-1),FIND("t",LEFT(AA70,FIND("+",AA70&amp;"+")-1))-1)*MID(LEFT(AA70,FIND("+",AA70&amp;"+")-1),FIND("t",LEFT(AA70,FIND("+",AA70&amp;"+")-1))+1,2)^2*PI()/400,0)+IFERROR(LEFT(MID(AA70,FIND("+",AA70&amp;"+")+1,99),FIND("t",MID(AA70,FIND("+",AA70&amp;"+")+1,99))-1)*MID(MID(AA70,FIND("+",AA70&amp;"+")+1,99),FIND("t",MID(AA70,FIND("+",AA70&amp;"+")+1,99))+1,2)^2*PI()/400,0)</f>
        <v/>
      </c>
      <c r="AB71">
        <f>IFERROR(LEFT(LEFT(AB70,FIND("+",AB70&amp;"+")-1),FIND("t",LEFT(AB70,FIND("+",AB70&amp;"+")-1))-1)*MID(LEFT(AB70,FIND("+",AB70&amp;"+")-1),FIND("t",LEFT(AB70,FIND("+",AB70&amp;"+")-1))+1,2)^2*PI()/400,0)+IFERROR(LEFT(MID(AB70,FIND("+",AB70&amp;"+")+1,99),FIND("t",MID(AB70,FIND("+",AB70&amp;"+")+1,99))-1)*MID(MID(AB70,FIND("+",AB70&amp;"+")+1,99),FIND("t",MID(AB70,FIND("+",AB70&amp;"+")+1,99))+1,2)^2*PI()/400,0)</f>
        <v/>
      </c>
      <c r="AC71">
        <f>IFERROR(LEFT(LEFT(AC70,FIND("+",AC70&amp;"+")-1),FIND("t",LEFT(AC70,FIND("+",AC70&amp;"+")-1))-1)*MID(LEFT(AC70,FIND("+",AC70&amp;"+")-1),FIND("t",LEFT(AC70,FIND("+",AC70&amp;"+")-1))+1,2)^2*PI()/400,0)+IFERROR(LEFT(MID(AC70,FIND("+",AC70&amp;"+")+1,99),FIND("t",MID(AC70,FIND("+",AC70&amp;"+")+1,99))-1)*MID(MID(AC70,FIND("+",AC70&amp;"+")+1,99),FIND("t",MID(AC70,FIND("+",AC70&amp;"+")+1,99))+1,2)^2*PI()/400,0)</f>
        <v/>
      </c>
      <c r="AD71">
        <f>IFERROR(LEFT(LEFT(AD70,FIND("+",AD70&amp;"+")-1),FIND("t",LEFT(AD70,FIND("+",AD70&amp;"+")-1))-1)*MID(LEFT(AD70,FIND("+",AD70&amp;"+")-1),FIND("t",LEFT(AD70,FIND("+",AD70&amp;"+")-1))+1,2)^2*PI()/400,0)+IFERROR(LEFT(MID(AD70,FIND("+",AD70&amp;"+")+1,99),FIND("t",MID(AD70,FIND("+",AD70&amp;"+")+1,99))-1)*MID(MID(AD70,FIND("+",AD70&amp;"+")+1,99),FIND("t",MID(AD70,FIND("+",AD70&amp;"+")+1,99))+1,2)^2*PI()/400,0)</f>
        <v/>
      </c>
      <c r="AE71">
        <f>IFERROR(LEFT(LEFT(AE70,FIND("+",AE70&amp;"+")-1),FIND("t",LEFT(AE70,FIND("+",AE70&amp;"+")-1))-1)*MID(LEFT(AE70,FIND("+",AE70&amp;"+")-1),FIND("t",LEFT(AE70,FIND("+",AE70&amp;"+")-1))+1,2)^2*PI()/400,0)+IFERROR(LEFT(MID(AE70,FIND("+",AE70&amp;"+")+1,99),FIND("t",MID(AE70,FIND("+",AE70&amp;"+")+1,99))-1)*MID(MID(AE70,FIND("+",AE70&amp;"+")+1,99),FIND("t",MID(AE70,FIND("+",AE70&amp;"+")+1,99))+1,2)^2*PI()/400,0)</f>
        <v/>
      </c>
      <c r="AF71">
        <f>IFERROR(LEFT(LEFT(AF70,FIND("+",AF70&amp;"+")-1),FIND("t",LEFT(AF70,FIND("+",AF70&amp;"+")-1))-1)*MID(LEFT(AF70,FIND("+",AF70&amp;"+")-1),FIND("t",LEFT(AF70,FIND("+",AF70&amp;"+")-1))+1,2)^2*PI()/400,0)+IFERROR(LEFT(MID(AF70,FIND("+",AF70&amp;"+")+1,99),FIND("t",MID(AF70,FIND("+",AF70&amp;"+")+1,99))-1)*MID(MID(AF70,FIND("+",AF70&amp;"+")+1,99),FIND("t",MID(AF70,FIND("+",AF70&amp;"+")+1,99))+1,2)^2*PI()/400,0)</f>
        <v/>
      </c>
      <c r="AG71">
        <f>IFERROR(LEFT(LEFT(AG70,FIND("+",AG70&amp;"+")-1),FIND("t",LEFT(AG70,FIND("+",AG70&amp;"+")-1))-1)*MID(LEFT(AG70,FIND("+",AG70&amp;"+")-1),FIND("t",LEFT(AG70,FIND("+",AG70&amp;"+")-1))+1,2)^2*PI()/400,0)+IFERROR(LEFT(MID(AG70,FIND("+",AG70&amp;"+")+1,99),FIND("t",MID(AG70,FIND("+",AG70&amp;"+")+1,99))-1)*MID(MID(AG70,FIND("+",AG70&amp;"+")+1,99),FIND("t",MID(AG70,FIND("+",AG70&amp;"+")+1,99))+1,2)^2*PI()/400,0)</f>
        <v/>
      </c>
    </row>
    <row r="72" hidden="1" outlineLevel="1">
      <c r="A72" s="60" t="inlineStr">
        <is>
          <t>(phụ trợ) N_T1L</t>
        </is>
      </c>
      <c r="C72">
        <f>SUBSTITUTE(SUBSTITUTE(SUBSTITUTE(SUBSTITUTE(SUBSTITUTE(SUBSTITUTE(LOWER(IF(ISNUMBER(FIND(";",C13)),LEFT(C13,FIND(";",C13)-1),C13))," ",""),"%%c","t"),"ø","t"),"φ","t"),"f","t"),"d","t")</f>
        <v/>
      </c>
      <c r="D72">
        <f>SUBSTITUTE(SUBSTITUTE(SUBSTITUTE(SUBSTITUTE(SUBSTITUTE(SUBSTITUTE(LOWER(IF(ISNUMBER(FIND(";",D13)),LEFT(D13,FIND(";",D13)-1),D13))," ",""),"%%c","t"),"ø","t"),"φ","t"),"f","t"),"d","t")</f>
        <v/>
      </c>
      <c r="E72">
        <f>SUBSTITUTE(SUBSTITUTE(SUBSTITUTE(SUBSTITUTE(SUBSTITUTE(SUBSTITUTE(LOWER(IF(ISNUMBER(FIND(";",E13)),LEFT(E13,FIND(";",E13)-1),E13))," ",""),"%%c","t"),"ø","t"),"φ","t"),"f","t"),"d","t")</f>
        <v/>
      </c>
      <c r="F72">
        <f>SUBSTITUTE(SUBSTITUTE(SUBSTITUTE(SUBSTITUTE(SUBSTITUTE(SUBSTITUTE(LOWER(IF(ISNUMBER(FIND(";",F13)),LEFT(F13,FIND(";",F13)-1),F13))," ",""),"%%c","t"),"ø","t"),"φ","t"),"f","t"),"d","t")</f>
        <v/>
      </c>
      <c r="G72">
        <f>SUBSTITUTE(SUBSTITUTE(SUBSTITUTE(SUBSTITUTE(SUBSTITUTE(SUBSTITUTE(LOWER(IF(ISNUMBER(FIND(";",G13)),LEFT(G13,FIND(";",G13)-1),G13))," ",""),"%%c","t"),"ø","t"),"φ","t"),"f","t"),"d","t")</f>
        <v/>
      </c>
      <c r="H72">
        <f>SUBSTITUTE(SUBSTITUTE(SUBSTITUTE(SUBSTITUTE(SUBSTITUTE(SUBSTITUTE(LOWER(IF(ISNUMBER(FIND(";",H13)),LEFT(H13,FIND(";",H13)-1),H13))," ",""),"%%c","t"),"ø","t"),"φ","t"),"f","t"),"d","t")</f>
        <v/>
      </c>
      <c r="I72">
        <f>SUBSTITUTE(SUBSTITUTE(SUBSTITUTE(SUBSTITUTE(SUBSTITUTE(SUBSTITUTE(LOWER(IF(ISNUMBER(FIND(";",I13)),LEFT(I13,FIND(";",I13)-1),I13))," ",""),"%%c","t"),"ø","t"),"φ","t"),"f","t"),"d","t")</f>
        <v/>
      </c>
      <c r="J72">
        <f>SUBSTITUTE(SUBSTITUTE(SUBSTITUTE(SUBSTITUTE(SUBSTITUTE(SUBSTITUTE(LOWER(IF(ISNUMBER(FIND(";",J13)),LEFT(J13,FIND(";",J13)-1),J13))," ",""),"%%c","t"),"ø","t"),"φ","t"),"f","t"),"d","t")</f>
        <v/>
      </c>
      <c r="K72">
        <f>SUBSTITUTE(SUBSTITUTE(SUBSTITUTE(SUBSTITUTE(SUBSTITUTE(SUBSTITUTE(LOWER(IF(ISNUMBER(FIND(";",K13)),LEFT(K13,FIND(";",K13)-1),K13))," ",""),"%%c","t"),"ø","t"),"φ","t"),"f","t"),"d","t")</f>
        <v/>
      </c>
      <c r="L72">
        <f>SUBSTITUTE(SUBSTITUTE(SUBSTITUTE(SUBSTITUTE(SUBSTITUTE(SUBSTITUTE(LOWER(IF(ISNUMBER(FIND(";",L13)),LEFT(L13,FIND(";",L13)-1),L13))," ",""),"%%c","t"),"ø","t"),"φ","t"),"f","t"),"d","t")</f>
        <v/>
      </c>
      <c r="M72">
        <f>SUBSTITUTE(SUBSTITUTE(SUBSTITUTE(SUBSTITUTE(SUBSTITUTE(SUBSTITUTE(LOWER(IF(ISNUMBER(FIND(";",M13)),LEFT(M13,FIND(";",M13)-1),M13))," ",""),"%%c","t"),"ø","t"),"φ","t"),"f","t"),"d","t")</f>
        <v/>
      </c>
      <c r="N72">
        <f>SUBSTITUTE(SUBSTITUTE(SUBSTITUTE(SUBSTITUTE(SUBSTITUTE(SUBSTITUTE(LOWER(IF(ISNUMBER(FIND(";",N13)),LEFT(N13,FIND(";",N13)-1),N13))," ",""),"%%c","t"),"ø","t"),"φ","t"),"f","t"),"d","t")</f>
        <v/>
      </c>
      <c r="O72">
        <f>SUBSTITUTE(SUBSTITUTE(SUBSTITUTE(SUBSTITUTE(SUBSTITUTE(SUBSTITUTE(LOWER(IF(ISNUMBER(FIND(";",O13)),LEFT(O13,FIND(";",O13)-1),O13))," ",""),"%%c","t"),"ø","t"),"φ","t"),"f","t"),"d","t")</f>
        <v/>
      </c>
      <c r="P72">
        <f>SUBSTITUTE(SUBSTITUTE(SUBSTITUTE(SUBSTITUTE(SUBSTITUTE(SUBSTITUTE(LOWER(IF(ISNUMBER(FIND(";",P13)),LEFT(P13,FIND(";",P13)-1),P13))," ",""),"%%c","t"),"ø","t"),"φ","t"),"f","t"),"d","t")</f>
        <v/>
      </c>
      <c r="Q72">
        <f>SUBSTITUTE(SUBSTITUTE(SUBSTITUTE(SUBSTITUTE(SUBSTITUTE(SUBSTITUTE(LOWER(IF(ISNUMBER(FIND(";",Q13)),LEFT(Q13,FIND(";",Q13)-1),Q13))," ",""),"%%c","t"),"ø","t"),"φ","t"),"f","t"),"d","t")</f>
        <v/>
      </c>
      <c r="R72">
        <f>SUBSTITUTE(SUBSTITUTE(SUBSTITUTE(SUBSTITUTE(SUBSTITUTE(SUBSTITUTE(LOWER(IF(ISNUMBER(FIND(";",R13)),LEFT(R13,FIND(";",R13)-1),R13))," ",""),"%%c","t"),"ø","t"),"φ","t"),"f","t"),"d","t")</f>
        <v/>
      </c>
      <c r="S72">
        <f>SUBSTITUTE(SUBSTITUTE(SUBSTITUTE(SUBSTITUTE(SUBSTITUTE(SUBSTITUTE(LOWER(IF(ISNUMBER(FIND(";",S13)),LEFT(S13,FIND(";",S13)-1),S13))," ",""),"%%c","t"),"ø","t"),"φ","t"),"f","t"),"d","t")</f>
        <v/>
      </c>
      <c r="T72">
        <f>SUBSTITUTE(SUBSTITUTE(SUBSTITUTE(SUBSTITUTE(SUBSTITUTE(SUBSTITUTE(LOWER(IF(ISNUMBER(FIND(";",T13)),LEFT(T13,FIND(";",T13)-1),T13))," ",""),"%%c","t"),"ø","t"),"φ","t"),"f","t"),"d","t")</f>
        <v/>
      </c>
      <c r="U72">
        <f>SUBSTITUTE(SUBSTITUTE(SUBSTITUTE(SUBSTITUTE(SUBSTITUTE(SUBSTITUTE(LOWER(IF(ISNUMBER(FIND(";",U13)),LEFT(U13,FIND(";",U13)-1),U13))," ",""),"%%c","t"),"ø","t"),"φ","t"),"f","t"),"d","t")</f>
        <v/>
      </c>
      <c r="V72">
        <f>SUBSTITUTE(SUBSTITUTE(SUBSTITUTE(SUBSTITUTE(SUBSTITUTE(SUBSTITUTE(LOWER(IF(ISNUMBER(FIND(";",V13)),LEFT(V13,FIND(";",V13)-1),V13))," ",""),"%%c","t"),"ø","t"),"φ","t"),"f","t"),"d","t")</f>
        <v/>
      </c>
      <c r="W72">
        <f>SUBSTITUTE(SUBSTITUTE(SUBSTITUTE(SUBSTITUTE(SUBSTITUTE(SUBSTITUTE(LOWER(IF(ISNUMBER(FIND(";",W13)),LEFT(W13,FIND(";",W13)-1),W13))," ",""),"%%c","t"),"ø","t"),"φ","t"),"f","t"),"d","t")</f>
        <v/>
      </c>
      <c r="X72">
        <f>SUBSTITUTE(SUBSTITUTE(SUBSTITUTE(SUBSTITUTE(SUBSTITUTE(SUBSTITUTE(LOWER(IF(ISNUMBER(FIND(";",X13)),LEFT(X13,FIND(";",X13)-1),X13))," ",""),"%%c","t"),"ø","t"),"φ","t"),"f","t"),"d","t")</f>
        <v/>
      </c>
      <c r="Y72">
        <f>SUBSTITUTE(SUBSTITUTE(SUBSTITUTE(SUBSTITUTE(SUBSTITUTE(SUBSTITUTE(LOWER(IF(ISNUMBER(FIND(";",Y13)),LEFT(Y13,FIND(";",Y13)-1),Y13))," ",""),"%%c","t"),"ø","t"),"φ","t"),"f","t"),"d","t")</f>
        <v/>
      </c>
      <c r="Z72">
        <f>SUBSTITUTE(SUBSTITUTE(SUBSTITUTE(SUBSTITUTE(SUBSTITUTE(SUBSTITUTE(LOWER(IF(ISNUMBER(FIND(";",Z13)),LEFT(Z13,FIND(";",Z13)-1),Z13))," ",""),"%%c","t"),"ø","t"),"φ","t"),"f","t"),"d","t")</f>
        <v/>
      </c>
      <c r="AA72">
        <f>SUBSTITUTE(SUBSTITUTE(SUBSTITUTE(SUBSTITUTE(SUBSTITUTE(SUBSTITUTE(LOWER(IF(ISNUMBER(FIND(";",AA13)),LEFT(AA13,FIND(";",AA13)-1),AA13))," ",""),"%%c","t"),"ø","t"),"φ","t"),"f","t"),"d","t")</f>
        <v/>
      </c>
      <c r="AB72">
        <f>SUBSTITUTE(SUBSTITUTE(SUBSTITUTE(SUBSTITUTE(SUBSTITUTE(SUBSTITUTE(LOWER(IF(ISNUMBER(FIND(";",AB13)),LEFT(AB13,FIND(";",AB13)-1),AB13))," ",""),"%%c","t"),"ø","t"),"φ","t"),"f","t"),"d","t")</f>
        <v/>
      </c>
      <c r="AC72">
        <f>SUBSTITUTE(SUBSTITUTE(SUBSTITUTE(SUBSTITUTE(SUBSTITUTE(SUBSTITUTE(LOWER(IF(ISNUMBER(FIND(";",AC13)),LEFT(AC13,FIND(";",AC13)-1),AC13))," ",""),"%%c","t"),"ø","t"),"φ","t"),"f","t"),"d","t")</f>
        <v/>
      </c>
      <c r="AD72">
        <f>SUBSTITUTE(SUBSTITUTE(SUBSTITUTE(SUBSTITUTE(SUBSTITUTE(SUBSTITUTE(LOWER(IF(ISNUMBER(FIND(";",AD13)),LEFT(AD13,FIND(";",AD13)-1),AD13))," ",""),"%%c","t"),"ø","t"),"φ","t"),"f","t"),"d","t")</f>
        <v/>
      </c>
      <c r="AE72">
        <f>SUBSTITUTE(SUBSTITUTE(SUBSTITUTE(SUBSTITUTE(SUBSTITUTE(SUBSTITUTE(LOWER(IF(ISNUMBER(FIND(";",AE13)),LEFT(AE13,FIND(";",AE13)-1),AE13))," ",""),"%%c","t"),"ø","t"),"φ","t"),"f","t"),"d","t")</f>
        <v/>
      </c>
      <c r="AF72">
        <f>SUBSTITUTE(SUBSTITUTE(SUBSTITUTE(SUBSTITUTE(SUBSTITUTE(SUBSTITUTE(LOWER(IF(ISNUMBER(FIND(";",AF13)),LEFT(AF13,FIND(";",AF13)-1),AF13))," ",""),"%%c","t"),"ø","t"),"φ","t"),"f","t"),"d","t")</f>
        <v/>
      </c>
      <c r="AG72">
        <f>SUBSTITUTE(SUBSTITUTE(SUBSTITUTE(SUBSTITUTE(SUBSTITUTE(SUBSTITUTE(LOWER(IF(ISNUMBER(FIND(";",AG13)),LEFT(AG13,FIND(";",AG13)-1),AG13))," ",""),"%%c","t"),"ø","t"),"φ","t"),"f","t"),"d","t")</f>
        <v/>
      </c>
    </row>
    <row r="73" hidden="1" outlineLevel="1">
      <c r="A73" s="60" t="inlineStr">
        <is>
          <t>(phụ trợ) A_T1L</t>
        </is>
      </c>
      <c r="C73">
        <f>IFERROR(LEFT(LEFT(C72,FIND("+",C72&amp;"+")-1),FIND("t",LEFT(C72,FIND("+",C72&amp;"+")-1))-1)*MID(LEFT(C72,FIND("+",C72&amp;"+")-1),FIND("t",LEFT(C72,FIND("+",C72&amp;"+")-1))+1,2)^2*PI()/400,0)+IFERROR(LEFT(MID(C72,FIND("+",C72&amp;"+")+1,99),FIND("t",MID(C72,FIND("+",C72&amp;"+")+1,99))-1)*MID(MID(C72,FIND("+",C72&amp;"+")+1,99),FIND("t",MID(C72,FIND("+",C72&amp;"+")+1,99))+1,2)^2*PI()/400,0)</f>
        <v/>
      </c>
      <c r="D73">
        <f>IFERROR(LEFT(LEFT(D72,FIND("+",D72&amp;"+")-1),FIND("t",LEFT(D72,FIND("+",D72&amp;"+")-1))-1)*MID(LEFT(D72,FIND("+",D72&amp;"+")-1),FIND("t",LEFT(D72,FIND("+",D72&amp;"+")-1))+1,2)^2*PI()/400,0)+IFERROR(LEFT(MID(D72,FIND("+",D72&amp;"+")+1,99),FIND("t",MID(D72,FIND("+",D72&amp;"+")+1,99))-1)*MID(MID(D72,FIND("+",D72&amp;"+")+1,99),FIND("t",MID(D72,FIND("+",D72&amp;"+")+1,99))+1,2)^2*PI()/400,0)</f>
        <v/>
      </c>
      <c r="E73">
        <f>IFERROR(LEFT(LEFT(E72,FIND("+",E72&amp;"+")-1),FIND("t",LEFT(E72,FIND("+",E72&amp;"+")-1))-1)*MID(LEFT(E72,FIND("+",E72&amp;"+")-1),FIND("t",LEFT(E72,FIND("+",E72&amp;"+")-1))+1,2)^2*PI()/400,0)+IFERROR(LEFT(MID(E72,FIND("+",E72&amp;"+")+1,99),FIND("t",MID(E72,FIND("+",E72&amp;"+")+1,99))-1)*MID(MID(E72,FIND("+",E72&amp;"+")+1,99),FIND("t",MID(E72,FIND("+",E72&amp;"+")+1,99))+1,2)^2*PI()/400,0)</f>
        <v/>
      </c>
      <c r="F73">
        <f>IFERROR(LEFT(LEFT(F72,FIND("+",F72&amp;"+")-1),FIND("t",LEFT(F72,FIND("+",F72&amp;"+")-1))-1)*MID(LEFT(F72,FIND("+",F72&amp;"+")-1),FIND("t",LEFT(F72,FIND("+",F72&amp;"+")-1))+1,2)^2*PI()/400,0)+IFERROR(LEFT(MID(F72,FIND("+",F72&amp;"+")+1,99),FIND("t",MID(F72,FIND("+",F72&amp;"+")+1,99))-1)*MID(MID(F72,FIND("+",F72&amp;"+")+1,99),FIND("t",MID(F72,FIND("+",F72&amp;"+")+1,99))+1,2)^2*PI()/400,0)</f>
        <v/>
      </c>
      <c r="G73">
        <f>IFERROR(LEFT(LEFT(G72,FIND("+",G72&amp;"+")-1),FIND("t",LEFT(G72,FIND("+",G72&amp;"+")-1))-1)*MID(LEFT(G72,FIND("+",G72&amp;"+")-1),FIND("t",LEFT(G72,FIND("+",G72&amp;"+")-1))+1,2)^2*PI()/400,0)+IFERROR(LEFT(MID(G72,FIND("+",G72&amp;"+")+1,99),FIND("t",MID(G72,FIND("+",G72&amp;"+")+1,99))-1)*MID(MID(G72,FIND("+",G72&amp;"+")+1,99),FIND("t",MID(G72,FIND("+",G72&amp;"+")+1,99))+1,2)^2*PI()/400,0)</f>
        <v/>
      </c>
      <c r="H73">
        <f>IFERROR(LEFT(LEFT(H72,FIND("+",H72&amp;"+")-1),FIND("t",LEFT(H72,FIND("+",H72&amp;"+")-1))-1)*MID(LEFT(H72,FIND("+",H72&amp;"+")-1),FIND("t",LEFT(H72,FIND("+",H72&amp;"+")-1))+1,2)^2*PI()/400,0)+IFERROR(LEFT(MID(H72,FIND("+",H72&amp;"+")+1,99),FIND("t",MID(H72,FIND("+",H72&amp;"+")+1,99))-1)*MID(MID(H72,FIND("+",H72&amp;"+")+1,99),FIND("t",MID(H72,FIND("+",H72&amp;"+")+1,99))+1,2)^2*PI()/400,0)</f>
        <v/>
      </c>
      <c r="I73">
        <f>IFERROR(LEFT(LEFT(I72,FIND("+",I72&amp;"+")-1),FIND("t",LEFT(I72,FIND("+",I72&amp;"+")-1))-1)*MID(LEFT(I72,FIND("+",I72&amp;"+")-1),FIND("t",LEFT(I72,FIND("+",I72&amp;"+")-1))+1,2)^2*PI()/400,0)+IFERROR(LEFT(MID(I72,FIND("+",I72&amp;"+")+1,99),FIND("t",MID(I72,FIND("+",I72&amp;"+")+1,99))-1)*MID(MID(I72,FIND("+",I72&amp;"+")+1,99),FIND("t",MID(I72,FIND("+",I72&amp;"+")+1,99))+1,2)^2*PI()/400,0)</f>
        <v/>
      </c>
      <c r="J73">
        <f>IFERROR(LEFT(LEFT(J72,FIND("+",J72&amp;"+")-1),FIND("t",LEFT(J72,FIND("+",J72&amp;"+")-1))-1)*MID(LEFT(J72,FIND("+",J72&amp;"+")-1),FIND("t",LEFT(J72,FIND("+",J72&amp;"+")-1))+1,2)^2*PI()/400,0)+IFERROR(LEFT(MID(J72,FIND("+",J72&amp;"+")+1,99),FIND("t",MID(J72,FIND("+",J72&amp;"+")+1,99))-1)*MID(MID(J72,FIND("+",J72&amp;"+")+1,99),FIND("t",MID(J72,FIND("+",J72&amp;"+")+1,99))+1,2)^2*PI()/400,0)</f>
        <v/>
      </c>
      <c r="K73">
        <f>IFERROR(LEFT(LEFT(K72,FIND("+",K72&amp;"+")-1),FIND("t",LEFT(K72,FIND("+",K72&amp;"+")-1))-1)*MID(LEFT(K72,FIND("+",K72&amp;"+")-1),FIND("t",LEFT(K72,FIND("+",K72&amp;"+")-1))+1,2)^2*PI()/400,0)+IFERROR(LEFT(MID(K72,FIND("+",K72&amp;"+")+1,99),FIND("t",MID(K72,FIND("+",K72&amp;"+")+1,99))-1)*MID(MID(K72,FIND("+",K72&amp;"+")+1,99),FIND("t",MID(K72,FIND("+",K72&amp;"+")+1,99))+1,2)^2*PI()/400,0)</f>
        <v/>
      </c>
      <c r="L73">
        <f>IFERROR(LEFT(LEFT(L72,FIND("+",L72&amp;"+")-1),FIND("t",LEFT(L72,FIND("+",L72&amp;"+")-1))-1)*MID(LEFT(L72,FIND("+",L72&amp;"+")-1),FIND("t",LEFT(L72,FIND("+",L72&amp;"+")-1))+1,2)^2*PI()/400,0)+IFERROR(LEFT(MID(L72,FIND("+",L72&amp;"+")+1,99),FIND("t",MID(L72,FIND("+",L72&amp;"+")+1,99))-1)*MID(MID(L72,FIND("+",L72&amp;"+")+1,99),FIND("t",MID(L72,FIND("+",L72&amp;"+")+1,99))+1,2)^2*PI()/400,0)</f>
        <v/>
      </c>
      <c r="M73">
        <f>IFERROR(LEFT(LEFT(M72,FIND("+",M72&amp;"+")-1),FIND("t",LEFT(M72,FIND("+",M72&amp;"+")-1))-1)*MID(LEFT(M72,FIND("+",M72&amp;"+")-1),FIND("t",LEFT(M72,FIND("+",M72&amp;"+")-1))+1,2)^2*PI()/400,0)+IFERROR(LEFT(MID(M72,FIND("+",M72&amp;"+")+1,99),FIND("t",MID(M72,FIND("+",M72&amp;"+")+1,99))-1)*MID(MID(M72,FIND("+",M72&amp;"+")+1,99),FIND("t",MID(M72,FIND("+",M72&amp;"+")+1,99))+1,2)^2*PI()/400,0)</f>
        <v/>
      </c>
      <c r="N73">
        <f>IFERROR(LEFT(LEFT(N72,FIND("+",N72&amp;"+")-1),FIND("t",LEFT(N72,FIND("+",N72&amp;"+")-1))-1)*MID(LEFT(N72,FIND("+",N72&amp;"+")-1),FIND("t",LEFT(N72,FIND("+",N72&amp;"+")-1))+1,2)^2*PI()/400,0)+IFERROR(LEFT(MID(N72,FIND("+",N72&amp;"+")+1,99),FIND("t",MID(N72,FIND("+",N72&amp;"+")+1,99))-1)*MID(MID(N72,FIND("+",N72&amp;"+")+1,99),FIND("t",MID(N72,FIND("+",N72&amp;"+")+1,99))+1,2)^2*PI()/400,0)</f>
        <v/>
      </c>
      <c r="O73">
        <f>IFERROR(LEFT(LEFT(O72,FIND("+",O72&amp;"+")-1),FIND("t",LEFT(O72,FIND("+",O72&amp;"+")-1))-1)*MID(LEFT(O72,FIND("+",O72&amp;"+")-1),FIND("t",LEFT(O72,FIND("+",O72&amp;"+")-1))+1,2)^2*PI()/400,0)+IFERROR(LEFT(MID(O72,FIND("+",O72&amp;"+")+1,99),FIND("t",MID(O72,FIND("+",O72&amp;"+")+1,99))-1)*MID(MID(O72,FIND("+",O72&amp;"+")+1,99),FIND("t",MID(O72,FIND("+",O72&amp;"+")+1,99))+1,2)^2*PI()/400,0)</f>
        <v/>
      </c>
      <c r="P73">
        <f>IFERROR(LEFT(LEFT(P72,FIND("+",P72&amp;"+")-1),FIND("t",LEFT(P72,FIND("+",P72&amp;"+")-1))-1)*MID(LEFT(P72,FIND("+",P72&amp;"+")-1),FIND("t",LEFT(P72,FIND("+",P72&amp;"+")-1))+1,2)^2*PI()/400,0)+IFERROR(LEFT(MID(P72,FIND("+",P72&amp;"+")+1,99),FIND("t",MID(P72,FIND("+",P72&amp;"+")+1,99))-1)*MID(MID(P72,FIND("+",P72&amp;"+")+1,99),FIND("t",MID(P72,FIND("+",P72&amp;"+")+1,99))+1,2)^2*PI()/400,0)</f>
        <v/>
      </c>
      <c r="Q73">
        <f>IFERROR(LEFT(LEFT(Q72,FIND("+",Q72&amp;"+")-1),FIND("t",LEFT(Q72,FIND("+",Q72&amp;"+")-1))-1)*MID(LEFT(Q72,FIND("+",Q72&amp;"+")-1),FIND("t",LEFT(Q72,FIND("+",Q72&amp;"+")-1))+1,2)^2*PI()/400,0)+IFERROR(LEFT(MID(Q72,FIND("+",Q72&amp;"+")+1,99),FIND("t",MID(Q72,FIND("+",Q72&amp;"+")+1,99))-1)*MID(MID(Q72,FIND("+",Q72&amp;"+")+1,99),FIND("t",MID(Q72,FIND("+",Q72&amp;"+")+1,99))+1,2)^2*PI()/400,0)</f>
        <v/>
      </c>
      <c r="R73">
        <f>IFERROR(LEFT(LEFT(R72,FIND("+",R72&amp;"+")-1),FIND("t",LEFT(R72,FIND("+",R72&amp;"+")-1))-1)*MID(LEFT(R72,FIND("+",R72&amp;"+")-1),FIND("t",LEFT(R72,FIND("+",R72&amp;"+")-1))+1,2)^2*PI()/400,0)+IFERROR(LEFT(MID(R72,FIND("+",R72&amp;"+")+1,99),FIND("t",MID(R72,FIND("+",R72&amp;"+")+1,99))-1)*MID(MID(R72,FIND("+",R72&amp;"+")+1,99),FIND("t",MID(R72,FIND("+",R72&amp;"+")+1,99))+1,2)^2*PI()/400,0)</f>
        <v/>
      </c>
      <c r="S73">
        <f>IFERROR(LEFT(LEFT(S72,FIND("+",S72&amp;"+")-1),FIND("t",LEFT(S72,FIND("+",S72&amp;"+")-1))-1)*MID(LEFT(S72,FIND("+",S72&amp;"+")-1),FIND("t",LEFT(S72,FIND("+",S72&amp;"+")-1))+1,2)^2*PI()/400,0)+IFERROR(LEFT(MID(S72,FIND("+",S72&amp;"+")+1,99),FIND("t",MID(S72,FIND("+",S72&amp;"+")+1,99))-1)*MID(MID(S72,FIND("+",S72&amp;"+")+1,99),FIND("t",MID(S72,FIND("+",S72&amp;"+")+1,99))+1,2)^2*PI()/400,0)</f>
        <v/>
      </c>
      <c r="T73">
        <f>IFERROR(LEFT(LEFT(T72,FIND("+",T72&amp;"+")-1),FIND("t",LEFT(T72,FIND("+",T72&amp;"+")-1))-1)*MID(LEFT(T72,FIND("+",T72&amp;"+")-1),FIND("t",LEFT(T72,FIND("+",T72&amp;"+")-1))+1,2)^2*PI()/400,0)+IFERROR(LEFT(MID(T72,FIND("+",T72&amp;"+")+1,99),FIND("t",MID(T72,FIND("+",T72&amp;"+")+1,99))-1)*MID(MID(T72,FIND("+",T72&amp;"+")+1,99),FIND("t",MID(T72,FIND("+",T72&amp;"+")+1,99))+1,2)^2*PI()/400,0)</f>
        <v/>
      </c>
      <c r="U73">
        <f>IFERROR(LEFT(LEFT(U72,FIND("+",U72&amp;"+")-1),FIND("t",LEFT(U72,FIND("+",U72&amp;"+")-1))-1)*MID(LEFT(U72,FIND("+",U72&amp;"+")-1),FIND("t",LEFT(U72,FIND("+",U72&amp;"+")-1))+1,2)^2*PI()/400,0)+IFERROR(LEFT(MID(U72,FIND("+",U72&amp;"+")+1,99),FIND("t",MID(U72,FIND("+",U72&amp;"+")+1,99))-1)*MID(MID(U72,FIND("+",U72&amp;"+")+1,99),FIND("t",MID(U72,FIND("+",U72&amp;"+")+1,99))+1,2)^2*PI()/400,0)</f>
        <v/>
      </c>
      <c r="V73">
        <f>IFERROR(LEFT(LEFT(V72,FIND("+",V72&amp;"+")-1),FIND("t",LEFT(V72,FIND("+",V72&amp;"+")-1))-1)*MID(LEFT(V72,FIND("+",V72&amp;"+")-1),FIND("t",LEFT(V72,FIND("+",V72&amp;"+")-1))+1,2)^2*PI()/400,0)+IFERROR(LEFT(MID(V72,FIND("+",V72&amp;"+")+1,99),FIND("t",MID(V72,FIND("+",V72&amp;"+")+1,99))-1)*MID(MID(V72,FIND("+",V72&amp;"+")+1,99),FIND("t",MID(V72,FIND("+",V72&amp;"+")+1,99))+1,2)^2*PI()/400,0)</f>
        <v/>
      </c>
      <c r="W73">
        <f>IFERROR(LEFT(LEFT(W72,FIND("+",W72&amp;"+")-1),FIND("t",LEFT(W72,FIND("+",W72&amp;"+")-1))-1)*MID(LEFT(W72,FIND("+",W72&amp;"+")-1),FIND("t",LEFT(W72,FIND("+",W72&amp;"+")-1))+1,2)^2*PI()/400,0)+IFERROR(LEFT(MID(W72,FIND("+",W72&amp;"+")+1,99),FIND("t",MID(W72,FIND("+",W72&amp;"+")+1,99))-1)*MID(MID(W72,FIND("+",W72&amp;"+")+1,99),FIND("t",MID(W72,FIND("+",W72&amp;"+")+1,99))+1,2)^2*PI()/400,0)</f>
        <v/>
      </c>
      <c r="X73">
        <f>IFERROR(LEFT(LEFT(X72,FIND("+",X72&amp;"+")-1),FIND("t",LEFT(X72,FIND("+",X72&amp;"+")-1))-1)*MID(LEFT(X72,FIND("+",X72&amp;"+")-1),FIND("t",LEFT(X72,FIND("+",X72&amp;"+")-1))+1,2)^2*PI()/400,0)+IFERROR(LEFT(MID(X72,FIND("+",X72&amp;"+")+1,99),FIND("t",MID(X72,FIND("+",X72&amp;"+")+1,99))-1)*MID(MID(X72,FIND("+",X72&amp;"+")+1,99),FIND("t",MID(X72,FIND("+",X72&amp;"+")+1,99))+1,2)^2*PI()/400,0)</f>
        <v/>
      </c>
      <c r="Y73">
        <f>IFERROR(LEFT(LEFT(Y72,FIND("+",Y72&amp;"+")-1),FIND("t",LEFT(Y72,FIND("+",Y72&amp;"+")-1))-1)*MID(LEFT(Y72,FIND("+",Y72&amp;"+")-1),FIND("t",LEFT(Y72,FIND("+",Y72&amp;"+")-1))+1,2)^2*PI()/400,0)+IFERROR(LEFT(MID(Y72,FIND("+",Y72&amp;"+")+1,99),FIND("t",MID(Y72,FIND("+",Y72&amp;"+")+1,99))-1)*MID(MID(Y72,FIND("+",Y72&amp;"+")+1,99),FIND("t",MID(Y72,FIND("+",Y72&amp;"+")+1,99))+1,2)^2*PI()/400,0)</f>
        <v/>
      </c>
      <c r="Z73">
        <f>IFERROR(LEFT(LEFT(Z72,FIND("+",Z72&amp;"+")-1),FIND("t",LEFT(Z72,FIND("+",Z72&amp;"+")-1))-1)*MID(LEFT(Z72,FIND("+",Z72&amp;"+")-1),FIND("t",LEFT(Z72,FIND("+",Z72&amp;"+")-1))+1,2)^2*PI()/400,0)+IFERROR(LEFT(MID(Z72,FIND("+",Z72&amp;"+")+1,99),FIND("t",MID(Z72,FIND("+",Z72&amp;"+")+1,99))-1)*MID(MID(Z72,FIND("+",Z72&amp;"+")+1,99),FIND("t",MID(Z72,FIND("+",Z72&amp;"+")+1,99))+1,2)^2*PI()/400,0)</f>
        <v/>
      </c>
      <c r="AA73">
        <f>IFERROR(LEFT(LEFT(AA72,FIND("+",AA72&amp;"+")-1),FIND("t",LEFT(AA72,FIND("+",AA72&amp;"+")-1))-1)*MID(LEFT(AA72,FIND("+",AA72&amp;"+")-1),FIND("t",LEFT(AA72,FIND("+",AA72&amp;"+")-1))+1,2)^2*PI()/400,0)+IFERROR(LEFT(MID(AA72,FIND("+",AA72&amp;"+")+1,99),FIND("t",MID(AA72,FIND("+",AA72&amp;"+")+1,99))-1)*MID(MID(AA72,FIND("+",AA72&amp;"+")+1,99),FIND("t",MID(AA72,FIND("+",AA72&amp;"+")+1,99))+1,2)^2*PI()/400,0)</f>
        <v/>
      </c>
      <c r="AB73">
        <f>IFERROR(LEFT(LEFT(AB72,FIND("+",AB72&amp;"+")-1),FIND("t",LEFT(AB72,FIND("+",AB72&amp;"+")-1))-1)*MID(LEFT(AB72,FIND("+",AB72&amp;"+")-1),FIND("t",LEFT(AB72,FIND("+",AB72&amp;"+")-1))+1,2)^2*PI()/400,0)+IFERROR(LEFT(MID(AB72,FIND("+",AB72&amp;"+")+1,99),FIND("t",MID(AB72,FIND("+",AB72&amp;"+")+1,99))-1)*MID(MID(AB72,FIND("+",AB72&amp;"+")+1,99),FIND("t",MID(AB72,FIND("+",AB72&amp;"+")+1,99))+1,2)^2*PI()/400,0)</f>
        <v/>
      </c>
      <c r="AC73">
        <f>IFERROR(LEFT(LEFT(AC72,FIND("+",AC72&amp;"+")-1),FIND("t",LEFT(AC72,FIND("+",AC72&amp;"+")-1))-1)*MID(LEFT(AC72,FIND("+",AC72&amp;"+")-1),FIND("t",LEFT(AC72,FIND("+",AC72&amp;"+")-1))+1,2)^2*PI()/400,0)+IFERROR(LEFT(MID(AC72,FIND("+",AC72&amp;"+")+1,99),FIND("t",MID(AC72,FIND("+",AC72&amp;"+")+1,99))-1)*MID(MID(AC72,FIND("+",AC72&amp;"+")+1,99),FIND("t",MID(AC72,FIND("+",AC72&amp;"+")+1,99))+1,2)^2*PI()/400,0)</f>
        <v/>
      </c>
      <c r="AD73">
        <f>IFERROR(LEFT(LEFT(AD72,FIND("+",AD72&amp;"+")-1),FIND("t",LEFT(AD72,FIND("+",AD72&amp;"+")-1))-1)*MID(LEFT(AD72,FIND("+",AD72&amp;"+")-1),FIND("t",LEFT(AD72,FIND("+",AD72&amp;"+")-1))+1,2)^2*PI()/400,0)+IFERROR(LEFT(MID(AD72,FIND("+",AD72&amp;"+")+1,99),FIND("t",MID(AD72,FIND("+",AD72&amp;"+")+1,99))-1)*MID(MID(AD72,FIND("+",AD72&amp;"+")+1,99),FIND("t",MID(AD72,FIND("+",AD72&amp;"+")+1,99))+1,2)^2*PI()/400,0)</f>
        <v/>
      </c>
      <c r="AE73">
        <f>IFERROR(LEFT(LEFT(AE72,FIND("+",AE72&amp;"+")-1),FIND("t",LEFT(AE72,FIND("+",AE72&amp;"+")-1))-1)*MID(LEFT(AE72,FIND("+",AE72&amp;"+")-1),FIND("t",LEFT(AE72,FIND("+",AE72&amp;"+")-1))+1,2)^2*PI()/400,0)+IFERROR(LEFT(MID(AE72,FIND("+",AE72&amp;"+")+1,99),FIND("t",MID(AE72,FIND("+",AE72&amp;"+")+1,99))-1)*MID(MID(AE72,FIND("+",AE72&amp;"+")+1,99),FIND("t",MID(AE72,FIND("+",AE72&amp;"+")+1,99))+1,2)^2*PI()/400,0)</f>
        <v/>
      </c>
      <c r="AF73">
        <f>IFERROR(LEFT(LEFT(AF72,FIND("+",AF72&amp;"+")-1),FIND("t",LEFT(AF72,FIND("+",AF72&amp;"+")-1))-1)*MID(LEFT(AF72,FIND("+",AF72&amp;"+")-1),FIND("t",LEFT(AF72,FIND("+",AF72&amp;"+")-1))+1,2)^2*PI()/400,0)+IFERROR(LEFT(MID(AF72,FIND("+",AF72&amp;"+")+1,99),FIND("t",MID(AF72,FIND("+",AF72&amp;"+")+1,99))-1)*MID(MID(AF72,FIND("+",AF72&amp;"+")+1,99),FIND("t",MID(AF72,FIND("+",AF72&amp;"+")+1,99))+1,2)^2*PI()/400,0)</f>
        <v/>
      </c>
      <c r="AG73">
        <f>IFERROR(LEFT(LEFT(AG72,FIND("+",AG72&amp;"+")-1),FIND("t",LEFT(AG72,FIND("+",AG72&amp;"+")-1))-1)*MID(LEFT(AG72,FIND("+",AG72&amp;"+")-1),FIND("t",LEFT(AG72,FIND("+",AG72&amp;"+")-1))+1,2)^2*PI()/400,0)+IFERROR(LEFT(MID(AG72,FIND("+",AG72&amp;"+")+1,99),FIND("t",MID(AG72,FIND("+",AG72&amp;"+")+1,99))-1)*MID(MID(AG72,FIND("+",AG72&amp;"+")+1,99),FIND("t",MID(AG72,FIND("+",AG72&amp;"+")+1,99))+1,2)^2*PI()/400,0)</f>
        <v/>
      </c>
    </row>
    <row r="74" hidden="1" outlineLevel="1">
      <c r="A74" s="60" t="inlineStr">
        <is>
          <t>(phụ trợ) N_T1R</t>
        </is>
      </c>
      <c r="C74">
        <f>SUBSTITUTE(SUBSTITUTE(SUBSTITUTE(SUBSTITUTE(SUBSTITUTE(SUBSTITUTE(LOWER(IF(ISNUMBER(FIND(";",C13)),MID(C13,FIND(";",C13)+1,99),C13))," ",""),"%%c","t"),"ø","t"),"φ","t"),"f","t"),"d","t")</f>
        <v/>
      </c>
      <c r="D74">
        <f>SUBSTITUTE(SUBSTITUTE(SUBSTITUTE(SUBSTITUTE(SUBSTITUTE(SUBSTITUTE(LOWER(IF(ISNUMBER(FIND(";",D13)),MID(D13,FIND(";",D13)+1,99),D13))," ",""),"%%c","t"),"ø","t"),"φ","t"),"f","t"),"d","t")</f>
        <v/>
      </c>
      <c r="E74">
        <f>SUBSTITUTE(SUBSTITUTE(SUBSTITUTE(SUBSTITUTE(SUBSTITUTE(SUBSTITUTE(LOWER(IF(ISNUMBER(FIND(";",E13)),MID(E13,FIND(";",E13)+1,99),E13))," ",""),"%%c","t"),"ø","t"),"φ","t"),"f","t"),"d","t")</f>
        <v/>
      </c>
      <c r="F74">
        <f>SUBSTITUTE(SUBSTITUTE(SUBSTITUTE(SUBSTITUTE(SUBSTITUTE(SUBSTITUTE(LOWER(IF(ISNUMBER(FIND(";",F13)),MID(F13,FIND(";",F13)+1,99),F13))," ",""),"%%c","t"),"ø","t"),"φ","t"),"f","t"),"d","t")</f>
        <v/>
      </c>
      <c r="G74">
        <f>SUBSTITUTE(SUBSTITUTE(SUBSTITUTE(SUBSTITUTE(SUBSTITUTE(SUBSTITUTE(LOWER(IF(ISNUMBER(FIND(";",G13)),MID(G13,FIND(";",G13)+1,99),G13))," ",""),"%%c","t"),"ø","t"),"φ","t"),"f","t"),"d","t")</f>
        <v/>
      </c>
      <c r="H74">
        <f>SUBSTITUTE(SUBSTITUTE(SUBSTITUTE(SUBSTITUTE(SUBSTITUTE(SUBSTITUTE(LOWER(IF(ISNUMBER(FIND(";",H13)),MID(H13,FIND(";",H13)+1,99),H13))," ",""),"%%c","t"),"ø","t"),"φ","t"),"f","t"),"d","t")</f>
        <v/>
      </c>
      <c r="I74">
        <f>SUBSTITUTE(SUBSTITUTE(SUBSTITUTE(SUBSTITUTE(SUBSTITUTE(SUBSTITUTE(LOWER(IF(ISNUMBER(FIND(";",I13)),MID(I13,FIND(";",I13)+1,99),I13))," ",""),"%%c","t"),"ø","t"),"φ","t"),"f","t"),"d","t")</f>
        <v/>
      </c>
      <c r="J74">
        <f>SUBSTITUTE(SUBSTITUTE(SUBSTITUTE(SUBSTITUTE(SUBSTITUTE(SUBSTITUTE(LOWER(IF(ISNUMBER(FIND(";",J13)),MID(J13,FIND(";",J13)+1,99),J13))," ",""),"%%c","t"),"ø","t"),"φ","t"),"f","t"),"d","t")</f>
        <v/>
      </c>
      <c r="K74">
        <f>SUBSTITUTE(SUBSTITUTE(SUBSTITUTE(SUBSTITUTE(SUBSTITUTE(SUBSTITUTE(LOWER(IF(ISNUMBER(FIND(";",K13)),MID(K13,FIND(";",K13)+1,99),K13))," ",""),"%%c","t"),"ø","t"),"φ","t"),"f","t"),"d","t")</f>
        <v/>
      </c>
      <c r="L74">
        <f>SUBSTITUTE(SUBSTITUTE(SUBSTITUTE(SUBSTITUTE(SUBSTITUTE(SUBSTITUTE(LOWER(IF(ISNUMBER(FIND(";",L13)),MID(L13,FIND(";",L13)+1,99),L13))," ",""),"%%c","t"),"ø","t"),"φ","t"),"f","t"),"d","t")</f>
        <v/>
      </c>
      <c r="M74">
        <f>SUBSTITUTE(SUBSTITUTE(SUBSTITUTE(SUBSTITUTE(SUBSTITUTE(SUBSTITUTE(LOWER(IF(ISNUMBER(FIND(";",M13)),MID(M13,FIND(";",M13)+1,99),M13))," ",""),"%%c","t"),"ø","t"),"φ","t"),"f","t"),"d","t")</f>
        <v/>
      </c>
      <c r="N74">
        <f>SUBSTITUTE(SUBSTITUTE(SUBSTITUTE(SUBSTITUTE(SUBSTITUTE(SUBSTITUTE(LOWER(IF(ISNUMBER(FIND(";",N13)),MID(N13,FIND(";",N13)+1,99),N13))," ",""),"%%c","t"),"ø","t"),"φ","t"),"f","t"),"d","t")</f>
        <v/>
      </c>
      <c r="O74">
        <f>SUBSTITUTE(SUBSTITUTE(SUBSTITUTE(SUBSTITUTE(SUBSTITUTE(SUBSTITUTE(LOWER(IF(ISNUMBER(FIND(";",O13)),MID(O13,FIND(";",O13)+1,99),O13))," ",""),"%%c","t"),"ø","t"),"φ","t"),"f","t"),"d","t")</f>
        <v/>
      </c>
      <c r="P74">
        <f>SUBSTITUTE(SUBSTITUTE(SUBSTITUTE(SUBSTITUTE(SUBSTITUTE(SUBSTITUTE(LOWER(IF(ISNUMBER(FIND(";",P13)),MID(P13,FIND(";",P13)+1,99),P13))," ",""),"%%c","t"),"ø","t"),"φ","t"),"f","t"),"d","t")</f>
        <v/>
      </c>
      <c r="Q74">
        <f>SUBSTITUTE(SUBSTITUTE(SUBSTITUTE(SUBSTITUTE(SUBSTITUTE(SUBSTITUTE(LOWER(IF(ISNUMBER(FIND(";",Q13)),MID(Q13,FIND(";",Q13)+1,99),Q13))," ",""),"%%c","t"),"ø","t"),"φ","t"),"f","t"),"d","t")</f>
        <v/>
      </c>
      <c r="R74">
        <f>SUBSTITUTE(SUBSTITUTE(SUBSTITUTE(SUBSTITUTE(SUBSTITUTE(SUBSTITUTE(LOWER(IF(ISNUMBER(FIND(";",R13)),MID(R13,FIND(";",R13)+1,99),R13))," ",""),"%%c","t"),"ø","t"),"φ","t"),"f","t"),"d","t")</f>
        <v/>
      </c>
      <c r="S74">
        <f>SUBSTITUTE(SUBSTITUTE(SUBSTITUTE(SUBSTITUTE(SUBSTITUTE(SUBSTITUTE(LOWER(IF(ISNUMBER(FIND(";",S13)),MID(S13,FIND(";",S13)+1,99),S13))," ",""),"%%c","t"),"ø","t"),"φ","t"),"f","t"),"d","t")</f>
        <v/>
      </c>
      <c r="T74">
        <f>SUBSTITUTE(SUBSTITUTE(SUBSTITUTE(SUBSTITUTE(SUBSTITUTE(SUBSTITUTE(LOWER(IF(ISNUMBER(FIND(";",T13)),MID(T13,FIND(";",T13)+1,99),T13))," ",""),"%%c","t"),"ø","t"),"φ","t"),"f","t"),"d","t")</f>
        <v/>
      </c>
      <c r="U74">
        <f>SUBSTITUTE(SUBSTITUTE(SUBSTITUTE(SUBSTITUTE(SUBSTITUTE(SUBSTITUTE(LOWER(IF(ISNUMBER(FIND(";",U13)),MID(U13,FIND(";",U13)+1,99),U13))," ",""),"%%c","t"),"ø","t"),"φ","t"),"f","t"),"d","t")</f>
        <v/>
      </c>
      <c r="V74">
        <f>SUBSTITUTE(SUBSTITUTE(SUBSTITUTE(SUBSTITUTE(SUBSTITUTE(SUBSTITUTE(LOWER(IF(ISNUMBER(FIND(";",V13)),MID(V13,FIND(";",V13)+1,99),V13))," ",""),"%%c","t"),"ø","t"),"φ","t"),"f","t"),"d","t")</f>
        <v/>
      </c>
      <c r="W74">
        <f>SUBSTITUTE(SUBSTITUTE(SUBSTITUTE(SUBSTITUTE(SUBSTITUTE(SUBSTITUTE(LOWER(IF(ISNUMBER(FIND(";",W13)),MID(W13,FIND(";",W13)+1,99),W13))," ",""),"%%c","t"),"ø","t"),"φ","t"),"f","t"),"d","t")</f>
        <v/>
      </c>
      <c r="X74">
        <f>SUBSTITUTE(SUBSTITUTE(SUBSTITUTE(SUBSTITUTE(SUBSTITUTE(SUBSTITUTE(LOWER(IF(ISNUMBER(FIND(";",X13)),MID(X13,FIND(";",X13)+1,99),X13))," ",""),"%%c","t"),"ø","t"),"φ","t"),"f","t"),"d","t")</f>
        <v/>
      </c>
      <c r="Y74">
        <f>SUBSTITUTE(SUBSTITUTE(SUBSTITUTE(SUBSTITUTE(SUBSTITUTE(SUBSTITUTE(LOWER(IF(ISNUMBER(FIND(";",Y13)),MID(Y13,FIND(";",Y13)+1,99),Y13))," ",""),"%%c","t"),"ø","t"),"φ","t"),"f","t"),"d","t")</f>
        <v/>
      </c>
      <c r="Z74">
        <f>SUBSTITUTE(SUBSTITUTE(SUBSTITUTE(SUBSTITUTE(SUBSTITUTE(SUBSTITUTE(LOWER(IF(ISNUMBER(FIND(";",Z13)),MID(Z13,FIND(";",Z13)+1,99),Z13))," ",""),"%%c","t"),"ø","t"),"φ","t"),"f","t"),"d","t")</f>
        <v/>
      </c>
      <c r="AA74">
        <f>SUBSTITUTE(SUBSTITUTE(SUBSTITUTE(SUBSTITUTE(SUBSTITUTE(SUBSTITUTE(LOWER(IF(ISNUMBER(FIND(";",AA13)),MID(AA13,FIND(";",AA13)+1,99),AA13))," ",""),"%%c","t"),"ø","t"),"φ","t"),"f","t"),"d","t")</f>
        <v/>
      </c>
      <c r="AB74">
        <f>SUBSTITUTE(SUBSTITUTE(SUBSTITUTE(SUBSTITUTE(SUBSTITUTE(SUBSTITUTE(LOWER(IF(ISNUMBER(FIND(";",AB13)),MID(AB13,FIND(";",AB13)+1,99),AB13))," ",""),"%%c","t"),"ø","t"),"φ","t"),"f","t"),"d","t")</f>
        <v/>
      </c>
      <c r="AC74">
        <f>SUBSTITUTE(SUBSTITUTE(SUBSTITUTE(SUBSTITUTE(SUBSTITUTE(SUBSTITUTE(LOWER(IF(ISNUMBER(FIND(";",AC13)),MID(AC13,FIND(";",AC13)+1,99),AC13))," ",""),"%%c","t"),"ø","t"),"φ","t"),"f","t"),"d","t")</f>
        <v/>
      </c>
      <c r="AD74">
        <f>SUBSTITUTE(SUBSTITUTE(SUBSTITUTE(SUBSTITUTE(SUBSTITUTE(SUBSTITUTE(LOWER(IF(ISNUMBER(FIND(";",AD13)),MID(AD13,FIND(";",AD13)+1,99),AD13))," ",""),"%%c","t"),"ø","t"),"φ","t"),"f","t"),"d","t")</f>
        <v/>
      </c>
      <c r="AE74">
        <f>SUBSTITUTE(SUBSTITUTE(SUBSTITUTE(SUBSTITUTE(SUBSTITUTE(SUBSTITUTE(LOWER(IF(ISNUMBER(FIND(";",AE13)),MID(AE13,FIND(";",AE13)+1,99),AE13))," ",""),"%%c","t"),"ø","t"),"φ","t"),"f","t"),"d","t")</f>
        <v/>
      </c>
      <c r="AF74">
        <f>SUBSTITUTE(SUBSTITUTE(SUBSTITUTE(SUBSTITUTE(SUBSTITUTE(SUBSTITUTE(LOWER(IF(ISNUMBER(FIND(";",AF13)),MID(AF13,FIND(";",AF13)+1,99),AF13))," ",""),"%%c","t"),"ø","t"),"φ","t"),"f","t"),"d","t")</f>
        <v/>
      </c>
      <c r="AG74">
        <f>SUBSTITUTE(SUBSTITUTE(SUBSTITUTE(SUBSTITUTE(SUBSTITUTE(SUBSTITUTE(LOWER(IF(ISNUMBER(FIND(";",AG13)),MID(AG13,FIND(";",AG13)+1,99),AG13))," ",""),"%%c","t"),"ø","t"),"φ","t"),"f","t"),"d","t")</f>
        <v/>
      </c>
    </row>
    <row r="75" hidden="1" outlineLevel="1">
      <c r="A75" s="60" t="inlineStr">
        <is>
          <t>(phụ trợ) A_T1R</t>
        </is>
      </c>
      <c r="C75">
        <f>IFERROR(LEFT(LEFT(C74,FIND("+",C74&amp;"+")-1),FIND("t",LEFT(C74,FIND("+",C74&amp;"+")-1))-1)*MID(LEFT(C74,FIND("+",C74&amp;"+")-1),FIND("t",LEFT(C74,FIND("+",C74&amp;"+")-1))+1,2)^2*PI()/400,0)+IFERROR(LEFT(MID(C74,FIND("+",C74&amp;"+")+1,99),FIND("t",MID(C74,FIND("+",C74&amp;"+")+1,99))-1)*MID(MID(C74,FIND("+",C74&amp;"+")+1,99),FIND("t",MID(C74,FIND("+",C74&amp;"+")+1,99))+1,2)^2*PI()/400,0)</f>
        <v/>
      </c>
      <c r="D75">
        <f>IFERROR(LEFT(LEFT(D74,FIND("+",D74&amp;"+")-1),FIND("t",LEFT(D74,FIND("+",D74&amp;"+")-1))-1)*MID(LEFT(D74,FIND("+",D74&amp;"+")-1),FIND("t",LEFT(D74,FIND("+",D74&amp;"+")-1))+1,2)^2*PI()/400,0)+IFERROR(LEFT(MID(D74,FIND("+",D74&amp;"+")+1,99),FIND("t",MID(D74,FIND("+",D74&amp;"+")+1,99))-1)*MID(MID(D74,FIND("+",D74&amp;"+")+1,99),FIND("t",MID(D74,FIND("+",D74&amp;"+")+1,99))+1,2)^2*PI()/400,0)</f>
        <v/>
      </c>
      <c r="E75">
        <f>IFERROR(LEFT(LEFT(E74,FIND("+",E74&amp;"+")-1),FIND("t",LEFT(E74,FIND("+",E74&amp;"+")-1))-1)*MID(LEFT(E74,FIND("+",E74&amp;"+")-1),FIND("t",LEFT(E74,FIND("+",E74&amp;"+")-1))+1,2)^2*PI()/400,0)+IFERROR(LEFT(MID(E74,FIND("+",E74&amp;"+")+1,99),FIND("t",MID(E74,FIND("+",E74&amp;"+")+1,99))-1)*MID(MID(E74,FIND("+",E74&amp;"+")+1,99),FIND("t",MID(E74,FIND("+",E74&amp;"+")+1,99))+1,2)^2*PI()/400,0)</f>
        <v/>
      </c>
      <c r="F75">
        <f>IFERROR(LEFT(LEFT(F74,FIND("+",F74&amp;"+")-1),FIND("t",LEFT(F74,FIND("+",F74&amp;"+")-1))-1)*MID(LEFT(F74,FIND("+",F74&amp;"+")-1),FIND("t",LEFT(F74,FIND("+",F74&amp;"+")-1))+1,2)^2*PI()/400,0)+IFERROR(LEFT(MID(F74,FIND("+",F74&amp;"+")+1,99),FIND("t",MID(F74,FIND("+",F74&amp;"+")+1,99))-1)*MID(MID(F74,FIND("+",F74&amp;"+")+1,99),FIND("t",MID(F74,FIND("+",F74&amp;"+")+1,99))+1,2)^2*PI()/400,0)</f>
        <v/>
      </c>
      <c r="G75">
        <f>IFERROR(LEFT(LEFT(G74,FIND("+",G74&amp;"+")-1),FIND("t",LEFT(G74,FIND("+",G74&amp;"+")-1))-1)*MID(LEFT(G74,FIND("+",G74&amp;"+")-1),FIND("t",LEFT(G74,FIND("+",G74&amp;"+")-1))+1,2)^2*PI()/400,0)+IFERROR(LEFT(MID(G74,FIND("+",G74&amp;"+")+1,99),FIND("t",MID(G74,FIND("+",G74&amp;"+")+1,99))-1)*MID(MID(G74,FIND("+",G74&amp;"+")+1,99),FIND("t",MID(G74,FIND("+",G74&amp;"+")+1,99))+1,2)^2*PI()/400,0)</f>
        <v/>
      </c>
      <c r="H75">
        <f>IFERROR(LEFT(LEFT(H74,FIND("+",H74&amp;"+")-1),FIND("t",LEFT(H74,FIND("+",H74&amp;"+")-1))-1)*MID(LEFT(H74,FIND("+",H74&amp;"+")-1),FIND("t",LEFT(H74,FIND("+",H74&amp;"+")-1))+1,2)^2*PI()/400,0)+IFERROR(LEFT(MID(H74,FIND("+",H74&amp;"+")+1,99),FIND("t",MID(H74,FIND("+",H74&amp;"+")+1,99))-1)*MID(MID(H74,FIND("+",H74&amp;"+")+1,99),FIND("t",MID(H74,FIND("+",H74&amp;"+")+1,99))+1,2)^2*PI()/400,0)</f>
        <v/>
      </c>
      <c r="I75">
        <f>IFERROR(LEFT(LEFT(I74,FIND("+",I74&amp;"+")-1),FIND("t",LEFT(I74,FIND("+",I74&amp;"+")-1))-1)*MID(LEFT(I74,FIND("+",I74&amp;"+")-1),FIND("t",LEFT(I74,FIND("+",I74&amp;"+")-1))+1,2)^2*PI()/400,0)+IFERROR(LEFT(MID(I74,FIND("+",I74&amp;"+")+1,99),FIND("t",MID(I74,FIND("+",I74&amp;"+")+1,99))-1)*MID(MID(I74,FIND("+",I74&amp;"+")+1,99),FIND("t",MID(I74,FIND("+",I74&amp;"+")+1,99))+1,2)^2*PI()/400,0)</f>
        <v/>
      </c>
      <c r="J75">
        <f>IFERROR(LEFT(LEFT(J74,FIND("+",J74&amp;"+")-1),FIND("t",LEFT(J74,FIND("+",J74&amp;"+")-1))-1)*MID(LEFT(J74,FIND("+",J74&amp;"+")-1),FIND("t",LEFT(J74,FIND("+",J74&amp;"+")-1))+1,2)^2*PI()/400,0)+IFERROR(LEFT(MID(J74,FIND("+",J74&amp;"+")+1,99),FIND("t",MID(J74,FIND("+",J74&amp;"+")+1,99))-1)*MID(MID(J74,FIND("+",J74&amp;"+")+1,99),FIND("t",MID(J74,FIND("+",J74&amp;"+")+1,99))+1,2)^2*PI()/400,0)</f>
        <v/>
      </c>
      <c r="K75">
        <f>IFERROR(LEFT(LEFT(K74,FIND("+",K74&amp;"+")-1),FIND("t",LEFT(K74,FIND("+",K74&amp;"+")-1))-1)*MID(LEFT(K74,FIND("+",K74&amp;"+")-1),FIND("t",LEFT(K74,FIND("+",K74&amp;"+")-1))+1,2)^2*PI()/400,0)+IFERROR(LEFT(MID(K74,FIND("+",K74&amp;"+")+1,99),FIND("t",MID(K74,FIND("+",K74&amp;"+")+1,99))-1)*MID(MID(K74,FIND("+",K74&amp;"+")+1,99),FIND("t",MID(K74,FIND("+",K74&amp;"+")+1,99))+1,2)^2*PI()/400,0)</f>
        <v/>
      </c>
      <c r="L75">
        <f>IFERROR(LEFT(LEFT(L74,FIND("+",L74&amp;"+")-1),FIND("t",LEFT(L74,FIND("+",L74&amp;"+")-1))-1)*MID(LEFT(L74,FIND("+",L74&amp;"+")-1),FIND("t",LEFT(L74,FIND("+",L74&amp;"+")-1))+1,2)^2*PI()/400,0)+IFERROR(LEFT(MID(L74,FIND("+",L74&amp;"+")+1,99),FIND("t",MID(L74,FIND("+",L74&amp;"+")+1,99))-1)*MID(MID(L74,FIND("+",L74&amp;"+")+1,99),FIND("t",MID(L74,FIND("+",L74&amp;"+")+1,99))+1,2)^2*PI()/400,0)</f>
        <v/>
      </c>
      <c r="M75">
        <f>IFERROR(LEFT(LEFT(M74,FIND("+",M74&amp;"+")-1),FIND("t",LEFT(M74,FIND("+",M74&amp;"+")-1))-1)*MID(LEFT(M74,FIND("+",M74&amp;"+")-1),FIND("t",LEFT(M74,FIND("+",M74&amp;"+")-1))+1,2)^2*PI()/400,0)+IFERROR(LEFT(MID(M74,FIND("+",M74&amp;"+")+1,99),FIND("t",MID(M74,FIND("+",M74&amp;"+")+1,99))-1)*MID(MID(M74,FIND("+",M74&amp;"+")+1,99),FIND("t",MID(M74,FIND("+",M74&amp;"+")+1,99))+1,2)^2*PI()/400,0)</f>
        <v/>
      </c>
      <c r="N75">
        <f>IFERROR(LEFT(LEFT(N74,FIND("+",N74&amp;"+")-1),FIND("t",LEFT(N74,FIND("+",N74&amp;"+")-1))-1)*MID(LEFT(N74,FIND("+",N74&amp;"+")-1),FIND("t",LEFT(N74,FIND("+",N74&amp;"+")-1))+1,2)^2*PI()/400,0)+IFERROR(LEFT(MID(N74,FIND("+",N74&amp;"+")+1,99),FIND("t",MID(N74,FIND("+",N74&amp;"+")+1,99))-1)*MID(MID(N74,FIND("+",N74&amp;"+")+1,99),FIND("t",MID(N74,FIND("+",N74&amp;"+")+1,99))+1,2)^2*PI()/400,0)</f>
        <v/>
      </c>
      <c r="O75">
        <f>IFERROR(LEFT(LEFT(O74,FIND("+",O74&amp;"+")-1),FIND("t",LEFT(O74,FIND("+",O74&amp;"+")-1))-1)*MID(LEFT(O74,FIND("+",O74&amp;"+")-1),FIND("t",LEFT(O74,FIND("+",O74&amp;"+")-1))+1,2)^2*PI()/400,0)+IFERROR(LEFT(MID(O74,FIND("+",O74&amp;"+")+1,99),FIND("t",MID(O74,FIND("+",O74&amp;"+")+1,99))-1)*MID(MID(O74,FIND("+",O74&amp;"+")+1,99),FIND("t",MID(O74,FIND("+",O74&amp;"+")+1,99))+1,2)^2*PI()/400,0)</f>
        <v/>
      </c>
      <c r="P75">
        <f>IFERROR(LEFT(LEFT(P74,FIND("+",P74&amp;"+")-1),FIND("t",LEFT(P74,FIND("+",P74&amp;"+")-1))-1)*MID(LEFT(P74,FIND("+",P74&amp;"+")-1),FIND("t",LEFT(P74,FIND("+",P74&amp;"+")-1))+1,2)^2*PI()/400,0)+IFERROR(LEFT(MID(P74,FIND("+",P74&amp;"+")+1,99),FIND("t",MID(P74,FIND("+",P74&amp;"+")+1,99))-1)*MID(MID(P74,FIND("+",P74&amp;"+")+1,99),FIND("t",MID(P74,FIND("+",P74&amp;"+")+1,99))+1,2)^2*PI()/400,0)</f>
        <v/>
      </c>
      <c r="Q75">
        <f>IFERROR(LEFT(LEFT(Q74,FIND("+",Q74&amp;"+")-1),FIND("t",LEFT(Q74,FIND("+",Q74&amp;"+")-1))-1)*MID(LEFT(Q74,FIND("+",Q74&amp;"+")-1),FIND("t",LEFT(Q74,FIND("+",Q74&amp;"+")-1))+1,2)^2*PI()/400,0)+IFERROR(LEFT(MID(Q74,FIND("+",Q74&amp;"+")+1,99),FIND("t",MID(Q74,FIND("+",Q74&amp;"+")+1,99))-1)*MID(MID(Q74,FIND("+",Q74&amp;"+")+1,99),FIND("t",MID(Q74,FIND("+",Q74&amp;"+")+1,99))+1,2)^2*PI()/400,0)</f>
        <v/>
      </c>
      <c r="R75">
        <f>IFERROR(LEFT(LEFT(R74,FIND("+",R74&amp;"+")-1),FIND("t",LEFT(R74,FIND("+",R74&amp;"+")-1))-1)*MID(LEFT(R74,FIND("+",R74&amp;"+")-1),FIND("t",LEFT(R74,FIND("+",R74&amp;"+")-1))+1,2)^2*PI()/400,0)+IFERROR(LEFT(MID(R74,FIND("+",R74&amp;"+")+1,99),FIND("t",MID(R74,FIND("+",R74&amp;"+")+1,99))-1)*MID(MID(R74,FIND("+",R74&amp;"+")+1,99),FIND("t",MID(R74,FIND("+",R74&amp;"+")+1,99))+1,2)^2*PI()/400,0)</f>
        <v/>
      </c>
      <c r="S75">
        <f>IFERROR(LEFT(LEFT(S74,FIND("+",S74&amp;"+")-1),FIND("t",LEFT(S74,FIND("+",S74&amp;"+")-1))-1)*MID(LEFT(S74,FIND("+",S74&amp;"+")-1),FIND("t",LEFT(S74,FIND("+",S74&amp;"+")-1))+1,2)^2*PI()/400,0)+IFERROR(LEFT(MID(S74,FIND("+",S74&amp;"+")+1,99),FIND("t",MID(S74,FIND("+",S74&amp;"+")+1,99))-1)*MID(MID(S74,FIND("+",S74&amp;"+")+1,99),FIND("t",MID(S74,FIND("+",S74&amp;"+")+1,99))+1,2)^2*PI()/400,0)</f>
        <v/>
      </c>
      <c r="T75">
        <f>IFERROR(LEFT(LEFT(T74,FIND("+",T74&amp;"+")-1),FIND("t",LEFT(T74,FIND("+",T74&amp;"+")-1))-1)*MID(LEFT(T74,FIND("+",T74&amp;"+")-1),FIND("t",LEFT(T74,FIND("+",T74&amp;"+")-1))+1,2)^2*PI()/400,0)+IFERROR(LEFT(MID(T74,FIND("+",T74&amp;"+")+1,99),FIND("t",MID(T74,FIND("+",T74&amp;"+")+1,99))-1)*MID(MID(T74,FIND("+",T74&amp;"+")+1,99),FIND("t",MID(T74,FIND("+",T74&amp;"+")+1,99))+1,2)^2*PI()/400,0)</f>
        <v/>
      </c>
      <c r="U75">
        <f>IFERROR(LEFT(LEFT(U74,FIND("+",U74&amp;"+")-1),FIND("t",LEFT(U74,FIND("+",U74&amp;"+")-1))-1)*MID(LEFT(U74,FIND("+",U74&amp;"+")-1),FIND("t",LEFT(U74,FIND("+",U74&amp;"+")-1))+1,2)^2*PI()/400,0)+IFERROR(LEFT(MID(U74,FIND("+",U74&amp;"+")+1,99),FIND("t",MID(U74,FIND("+",U74&amp;"+")+1,99))-1)*MID(MID(U74,FIND("+",U74&amp;"+")+1,99),FIND("t",MID(U74,FIND("+",U74&amp;"+")+1,99))+1,2)^2*PI()/400,0)</f>
        <v/>
      </c>
      <c r="V75">
        <f>IFERROR(LEFT(LEFT(V74,FIND("+",V74&amp;"+")-1),FIND("t",LEFT(V74,FIND("+",V74&amp;"+")-1))-1)*MID(LEFT(V74,FIND("+",V74&amp;"+")-1),FIND("t",LEFT(V74,FIND("+",V74&amp;"+")-1))+1,2)^2*PI()/400,0)+IFERROR(LEFT(MID(V74,FIND("+",V74&amp;"+")+1,99),FIND("t",MID(V74,FIND("+",V74&amp;"+")+1,99))-1)*MID(MID(V74,FIND("+",V74&amp;"+")+1,99),FIND("t",MID(V74,FIND("+",V74&amp;"+")+1,99))+1,2)^2*PI()/400,0)</f>
        <v/>
      </c>
      <c r="W75">
        <f>IFERROR(LEFT(LEFT(W74,FIND("+",W74&amp;"+")-1),FIND("t",LEFT(W74,FIND("+",W74&amp;"+")-1))-1)*MID(LEFT(W74,FIND("+",W74&amp;"+")-1),FIND("t",LEFT(W74,FIND("+",W74&amp;"+")-1))+1,2)^2*PI()/400,0)+IFERROR(LEFT(MID(W74,FIND("+",W74&amp;"+")+1,99),FIND("t",MID(W74,FIND("+",W74&amp;"+")+1,99))-1)*MID(MID(W74,FIND("+",W74&amp;"+")+1,99),FIND("t",MID(W74,FIND("+",W74&amp;"+")+1,99))+1,2)^2*PI()/400,0)</f>
        <v/>
      </c>
      <c r="X75">
        <f>IFERROR(LEFT(LEFT(X74,FIND("+",X74&amp;"+")-1),FIND("t",LEFT(X74,FIND("+",X74&amp;"+")-1))-1)*MID(LEFT(X74,FIND("+",X74&amp;"+")-1),FIND("t",LEFT(X74,FIND("+",X74&amp;"+")-1))+1,2)^2*PI()/400,0)+IFERROR(LEFT(MID(X74,FIND("+",X74&amp;"+")+1,99),FIND("t",MID(X74,FIND("+",X74&amp;"+")+1,99))-1)*MID(MID(X74,FIND("+",X74&amp;"+")+1,99),FIND("t",MID(X74,FIND("+",X74&amp;"+")+1,99))+1,2)^2*PI()/400,0)</f>
        <v/>
      </c>
      <c r="Y75">
        <f>IFERROR(LEFT(LEFT(Y74,FIND("+",Y74&amp;"+")-1),FIND("t",LEFT(Y74,FIND("+",Y74&amp;"+")-1))-1)*MID(LEFT(Y74,FIND("+",Y74&amp;"+")-1),FIND("t",LEFT(Y74,FIND("+",Y74&amp;"+")-1))+1,2)^2*PI()/400,0)+IFERROR(LEFT(MID(Y74,FIND("+",Y74&amp;"+")+1,99),FIND("t",MID(Y74,FIND("+",Y74&amp;"+")+1,99))-1)*MID(MID(Y74,FIND("+",Y74&amp;"+")+1,99),FIND("t",MID(Y74,FIND("+",Y74&amp;"+")+1,99))+1,2)^2*PI()/400,0)</f>
        <v/>
      </c>
      <c r="Z75">
        <f>IFERROR(LEFT(LEFT(Z74,FIND("+",Z74&amp;"+")-1),FIND("t",LEFT(Z74,FIND("+",Z74&amp;"+")-1))-1)*MID(LEFT(Z74,FIND("+",Z74&amp;"+")-1),FIND("t",LEFT(Z74,FIND("+",Z74&amp;"+")-1))+1,2)^2*PI()/400,0)+IFERROR(LEFT(MID(Z74,FIND("+",Z74&amp;"+")+1,99),FIND("t",MID(Z74,FIND("+",Z74&amp;"+")+1,99))-1)*MID(MID(Z74,FIND("+",Z74&amp;"+")+1,99),FIND("t",MID(Z74,FIND("+",Z74&amp;"+")+1,99))+1,2)^2*PI()/400,0)</f>
        <v/>
      </c>
      <c r="AA75">
        <f>IFERROR(LEFT(LEFT(AA74,FIND("+",AA74&amp;"+")-1),FIND("t",LEFT(AA74,FIND("+",AA74&amp;"+")-1))-1)*MID(LEFT(AA74,FIND("+",AA74&amp;"+")-1),FIND("t",LEFT(AA74,FIND("+",AA74&amp;"+")-1))+1,2)^2*PI()/400,0)+IFERROR(LEFT(MID(AA74,FIND("+",AA74&amp;"+")+1,99),FIND("t",MID(AA74,FIND("+",AA74&amp;"+")+1,99))-1)*MID(MID(AA74,FIND("+",AA74&amp;"+")+1,99),FIND("t",MID(AA74,FIND("+",AA74&amp;"+")+1,99))+1,2)^2*PI()/400,0)</f>
        <v/>
      </c>
      <c r="AB75">
        <f>IFERROR(LEFT(LEFT(AB74,FIND("+",AB74&amp;"+")-1),FIND("t",LEFT(AB74,FIND("+",AB74&amp;"+")-1))-1)*MID(LEFT(AB74,FIND("+",AB74&amp;"+")-1),FIND("t",LEFT(AB74,FIND("+",AB74&amp;"+")-1))+1,2)^2*PI()/400,0)+IFERROR(LEFT(MID(AB74,FIND("+",AB74&amp;"+")+1,99),FIND("t",MID(AB74,FIND("+",AB74&amp;"+")+1,99))-1)*MID(MID(AB74,FIND("+",AB74&amp;"+")+1,99),FIND("t",MID(AB74,FIND("+",AB74&amp;"+")+1,99))+1,2)^2*PI()/400,0)</f>
        <v/>
      </c>
      <c r="AC75">
        <f>IFERROR(LEFT(LEFT(AC74,FIND("+",AC74&amp;"+")-1),FIND("t",LEFT(AC74,FIND("+",AC74&amp;"+")-1))-1)*MID(LEFT(AC74,FIND("+",AC74&amp;"+")-1),FIND("t",LEFT(AC74,FIND("+",AC74&amp;"+")-1))+1,2)^2*PI()/400,0)+IFERROR(LEFT(MID(AC74,FIND("+",AC74&amp;"+")+1,99),FIND("t",MID(AC74,FIND("+",AC74&amp;"+")+1,99))-1)*MID(MID(AC74,FIND("+",AC74&amp;"+")+1,99),FIND("t",MID(AC74,FIND("+",AC74&amp;"+")+1,99))+1,2)^2*PI()/400,0)</f>
        <v/>
      </c>
      <c r="AD75">
        <f>IFERROR(LEFT(LEFT(AD74,FIND("+",AD74&amp;"+")-1),FIND("t",LEFT(AD74,FIND("+",AD74&amp;"+")-1))-1)*MID(LEFT(AD74,FIND("+",AD74&amp;"+")-1),FIND("t",LEFT(AD74,FIND("+",AD74&amp;"+")-1))+1,2)^2*PI()/400,0)+IFERROR(LEFT(MID(AD74,FIND("+",AD74&amp;"+")+1,99),FIND("t",MID(AD74,FIND("+",AD74&amp;"+")+1,99))-1)*MID(MID(AD74,FIND("+",AD74&amp;"+")+1,99),FIND("t",MID(AD74,FIND("+",AD74&amp;"+")+1,99))+1,2)^2*PI()/400,0)</f>
        <v/>
      </c>
      <c r="AE75">
        <f>IFERROR(LEFT(LEFT(AE74,FIND("+",AE74&amp;"+")-1),FIND("t",LEFT(AE74,FIND("+",AE74&amp;"+")-1))-1)*MID(LEFT(AE74,FIND("+",AE74&amp;"+")-1),FIND("t",LEFT(AE74,FIND("+",AE74&amp;"+")-1))+1,2)^2*PI()/400,0)+IFERROR(LEFT(MID(AE74,FIND("+",AE74&amp;"+")+1,99),FIND("t",MID(AE74,FIND("+",AE74&amp;"+")+1,99))-1)*MID(MID(AE74,FIND("+",AE74&amp;"+")+1,99),FIND("t",MID(AE74,FIND("+",AE74&amp;"+")+1,99))+1,2)^2*PI()/400,0)</f>
        <v/>
      </c>
      <c r="AF75">
        <f>IFERROR(LEFT(LEFT(AF74,FIND("+",AF74&amp;"+")-1),FIND("t",LEFT(AF74,FIND("+",AF74&amp;"+")-1))-1)*MID(LEFT(AF74,FIND("+",AF74&amp;"+")-1),FIND("t",LEFT(AF74,FIND("+",AF74&amp;"+")-1))+1,2)^2*PI()/400,0)+IFERROR(LEFT(MID(AF74,FIND("+",AF74&amp;"+")+1,99),FIND("t",MID(AF74,FIND("+",AF74&amp;"+")+1,99))-1)*MID(MID(AF74,FIND("+",AF74&amp;"+")+1,99),FIND("t",MID(AF74,FIND("+",AF74&amp;"+")+1,99))+1,2)^2*PI()/400,0)</f>
        <v/>
      </c>
      <c r="AG75">
        <f>IFERROR(LEFT(LEFT(AG74,FIND("+",AG74&amp;"+")-1),FIND("t",LEFT(AG74,FIND("+",AG74&amp;"+")-1))-1)*MID(LEFT(AG74,FIND("+",AG74&amp;"+")-1),FIND("t",LEFT(AG74,FIND("+",AG74&amp;"+")-1))+1,2)^2*PI()/400,0)+IFERROR(LEFT(MID(AG74,FIND("+",AG74&amp;"+")+1,99),FIND("t",MID(AG74,FIND("+",AG74&amp;"+")+1,99))-1)*MID(MID(AG74,FIND("+",AG74&amp;"+")+1,99),FIND("t",MID(AG74,FIND("+",AG74&amp;"+")+1,99))+1,2)^2*PI()/400,0)</f>
        <v/>
      </c>
    </row>
    <row r="76" hidden="1" outlineLevel="1">
      <c r="A76" s="60" t="inlineStr">
        <is>
          <t>(phụ trợ) N_T2L</t>
        </is>
      </c>
      <c r="C76">
        <f>SUBSTITUTE(SUBSTITUTE(SUBSTITUTE(SUBSTITUTE(SUBSTITUTE(SUBSTITUTE(LOWER(IF(ISNUMBER(FIND(";",C14)),LEFT(C14,FIND(";",C14)-1),C14))," ",""),"%%c","t"),"ø","t"),"φ","t"),"f","t"),"d","t")</f>
        <v/>
      </c>
      <c r="D76">
        <f>SUBSTITUTE(SUBSTITUTE(SUBSTITUTE(SUBSTITUTE(SUBSTITUTE(SUBSTITUTE(LOWER(IF(ISNUMBER(FIND(";",D14)),LEFT(D14,FIND(";",D14)-1),D14))," ",""),"%%c","t"),"ø","t"),"φ","t"),"f","t"),"d","t")</f>
        <v/>
      </c>
      <c r="E76">
        <f>SUBSTITUTE(SUBSTITUTE(SUBSTITUTE(SUBSTITUTE(SUBSTITUTE(SUBSTITUTE(LOWER(IF(ISNUMBER(FIND(";",E14)),LEFT(E14,FIND(";",E14)-1),E14))," ",""),"%%c","t"),"ø","t"),"φ","t"),"f","t"),"d","t")</f>
        <v/>
      </c>
      <c r="F76">
        <f>SUBSTITUTE(SUBSTITUTE(SUBSTITUTE(SUBSTITUTE(SUBSTITUTE(SUBSTITUTE(LOWER(IF(ISNUMBER(FIND(";",F14)),LEFT(F14,FIND(";",F14)-1),F14))," ",""),"%%c","t"),"ø","t"),"φ","t"),"f","t"),"d","t")</f>
        <v/>
      </c>
      <c r="G76">
        <f>SUBSTITUTE(SUBSTITUTE(SUBSTITUTE(SUBSTITUTE(SUBSTITUTE(SUBSTITUTE(LOWER(IF(ISNUMBER(FIND(";",G14)),LEFT(G14,FIND(";",G14)-1),G14))," ",""),"%%c","t"),"ø","t"),"φ","t"),"f","t"),"d","t")</f>
        <v/>
      </c>
      <c r="H76">
        <f>SUBSTITUTE(SUBSTITUTE(SUBSTITUTE(SUBSTITUTE(SUBSTITUTE(SUBSTITUTE(LOWER(IF(ISNUMBER(FIND(";",H14)),LEFT(H14,FIND(";",H14)-1),H14))," ",""),"%%c","t"),"ø","t"),"φ","t"),"f","t"),"d","t")</f>
        <v/>
      </c>
      <c r="I76">
        <f>SUBSTITUTE(SUBSTITUTE(SUBSTITUTE(SUBSTITUTE(SUBSTITUTE(SUBSTITUTE(LOWER(IF(ISNUMBER(FIND(";",I14)),LEFT(I14,FIND(";",I14)-1),I14))," ",""),"%%c","t"),"ø","t"),"φ","t"),"f","t"),"d","t")</f>
        <v/>
      </c>
      <c r="J76">
        <f>SUBSTITUTE(SUBSTITUTE(SUBSTITUTE(SUBSTITUTE(SUBSTITUTE(SUBSTITUTE(LOWER(IF(ISNUMBER(FIND(";",J14)),LEFT(J14,FIND(";",J14)-1),J14))," ",""),"%%c","t"),"ø","t"),"φ","t"),"f","t"),"d","t")</f>
        <v/>
      </c>
      <c r="K76">
        <f>SUBSTITUTE(SUBSTITUTE(SUBSTITUTE(SUBSTITUTE(SUBSTITUTE(SUBSTITUTE(LOWER(IF(ISNUMBER(FIND(";",K14)),LEFT(K14,FIND(";",K14)-1),K14))," ",""),"%%c","t"),"ø","t"),"φ","t"),"f","t"),"d","t")</f>
        <v/>
      </c>
      <c r="L76">
        <f>SUBSTITUTE(SUBSTITUTE(SUBSTITUTE(SUBSTITUTE(SUBSTITUTE(SUBSTITUTE(LOWER(IF(ISNUMBER(FIND(";",L14)),LEFT(L14,FIND(";",L14)-1),L14))," ",""),"%%c","t"),"ø","t"),"φ","t"),"f","t"),"d","t")</f>
        <v/>
      </c>
      <c r="M76">
        <f>SUBSTITUTE(SUBSTITUTE(SUBSTITUTE(SUBSTITUTE(SUBSTITUTE(SUBSTITUTE(LOWER(IF(ISNUMBER(FIND(";",M14)),LEFT(M14,FIND(";",M14)-1),M14))," ",""),"%%c","t"),"ø","t"),"φ","t"),"f","t"),"d","t")</f>
        <v/>
      </c>
      <c r="N76">
        <f>SUBSTITUTE(SUBSTITUTE(SUBSTITUTE(SUBSTITUTE(SUBSTITUTE(SUBSTITUTE(LOWER(IF(ISNUMBER(FIND(";",N14)),LEFT(N14,FIND(";",N14)-1),N14))," ",""),"%%c","t"),"ø","t"),"φ","t"),"f","t"),"d","t")</f>
        <v/>
      </c>
      <c r="O76">
        <f>SUBSTITUTE(SUBSTITUTE(SUBSTITUTE(SUBSTITUTE(SUBSTITUTE(SUBSTITUTE(LOWER(IF(ISNUMBER(FIND(";",O14)),LEFT(O14,FIND(";",O14)-1),O14))," ",""),"%%c","t"),"ø","t"),"φ","t"),"f","t"),"d","t")</f>
        <v/>
      </c>
      <c r="P76">
        <f>SUBSTITUTE(SUBSTITUTE(SUBSTITUTE(SUBSTITUTE(SUBSTITUTE(SUBSTITUTE(LOWER(IF(ISNUMBER(FIND(";",P14)),LEFT(P14,FIND(";",P14)-1),P14))," ",""),"%%c","t"),"ø","t"),"φ","t"),"f","t"),"d","t")</f>
        <v/>
      </c>
      <c r="Q76">
        <f>SUBSTITUTE(SUBSTITUTE(SUBSTITUTE(SUBSTITUTE(SUBSTITUTE(SUBSTITUTE(LOWER(IF(ISNUMBER(FIND(";",Q14)),LEFT(Q14,FIND(";",Q14)-1),Q14))," ",""),"%%c","t"),"ø","t"),"φ","t"),"f","t"),"d","t")</f>
        <v/>
      </c>
      <c r="R76">
        <f>SUBSTITUTE(SUBSTITUTE(SUBSTITUTE(SUBSTITUTE(SUBSTITUTE(SUBSTITUTE(LOWER(IF(ISNUMBER(FIND(";",R14)),LEFT(R14,FIND(";",R14)-1),R14))," ",""),"%%c","t"),"ø","t"),"φ","t"),"f","t"),"d","t")</f>
        <v/>
      </c>
      <c r="S76">
        <f>SUBSTITUTE(SUBSTITUTE(SUBSTITUTE(SUBSTITUTE(SUBSTITUTE(SUBSTITUTE(LOWER(IF(ISNUMBER(FIND(";",S14)),LEFT(S14,FIND(";",S14)-1),S14))," ",""),"%%c","t"),"ø","t"),"φ","t"),"f","t"),"d","t")</f>
        <v/>
      </c>
      <c r="T76">
        <f>SUBSTITUTE(SUBSTITUTE(SUBSTITUTE(SUBSTITUTE(SUBSTITUTE(SUBSTITUTE(LOWER(IF(ISNUMBER(FIND(";",T14)),LEFT(T14,FIND(";",T14)-1),T14))," ",""),"%%c","t"),"ø","t"),"φ","t"),"f","t"),"d","t")</f>
        <v/>
      </c>
      <c r="U76">
        <f>SUBSTITUTE(SUBSTITUTE(SUBSTITUTE(SUBSTITUTE(SUBSTITUTE(SUBSTITUTE(LOWER(IF(ISNUMBER(FIND(";",U14)),LEFT(U14,FIND(";",U14)-1),U14))," ",""),"%%c","t"),"ø","t"),"φ","t"),"f","t"),"d","t")</f>
        <v/>
      </c>
      <c r="V76">
        <f>SUBSTITUTE(SUBSTITUTE(SUBSTITUTE(SUBSTITUTE(SUBSTITUTE(SUBSTITUTE(LOWER(IF(ISNUMBER(FIND(";",V14)),LEFT(V14,FIND(";",V14)-1),V14))," ",""),"%%c","t"),"ø","t"),"φ","t"),"f","t"),"d","t")</f>
        <v/>
      </c>
      <c r="W76">
        <f>SUBSTITUTE(SUBSTITUTE(SUBSTITUTE(SUBSTITUTE(SUBSTITUTE(SUBSTITUTE(LOWER(IF(ISNUMBER(FIND(";",W14)),LEFT(W14,FIND(";",W14)-1),W14))," ",""),"%%c","t"),"ø","t"),"φ","t"),"f","t"),"d","t")</f>
        <v/>
      </c>
      <c r="X76">
        <f>SUBSTITUTE(SUBSTITUTE(SUBSTITUTE(SUBSTITUTE(SUBSTITUTE(SUBSTITUTE(LOWER(IF(ISNUMBER(FIND(";",X14)),LEFT(X14,FIND(";",X14)-1),X14))," ",""),"%%c","t"),"ø","t"),"φ","t"),"f","t"),"d","t")</f>
        <v/>
      </c>
      <c r="Y76">
        <f>SUBSTITUTE(SUBSTITUTE(SUBSTITUTE(SUBSTITUTE(SUBSTITUTE(SUBSTITUTE(LOWER(IF(ISNUMBER(FIND(";",Y14)),LEFT(Y14,FIND(";",Y14)-1),Y14))," ",""),"%%c","t"),"ø","t"),"φ","t"),"f","t"),"d","t")</f>
        <v/>
      </c>
      <c r="Z76">
        <f>SUBSTITUTE(SUBSTITUTE(SUBSTITUTE(SUBSTITUTE(SUBSTITUTE(SUBSTITUTE(LOWER(IF(ISNUMBER(FIND(";",Z14)),LEFT(Z14,FIND(";",Z14)-1),Z14))," ",""),"%%c","t"),"ø","t"),"φ","t"),"f","t"),"d","t")</f>
        <v/>
      </c>
      <c r="AA76">
        <f>SUBSTITUTE(SUBSTITUTE(SUBSTITUTE(SUBSTITUTE(SUBSTITUTE(SUBSTITUTE(LOWER(IF(ISNUMBER(FIND(";",AA14)),LEFT(AA14,FIND(";",AA14)-1),AA14))," ",""),"%%c","t"),"ø","t"),"φ","t"),"f","t"),"d","t")</f>
        <v/>
      </c>
      <c r="AB76">
        <f>SUBSTITUTE(SUBSTITUTE(SUBSTITUTE(SUBSTITUTE(SUBSTITUTE(SUBSTITUTE(LOWER(IF(ISNUMBER(FIND(";",AB14)),LEFT(AB14,FIND(";",AB14)-1),AB14))," ",""),"%%c","t"),"ø","t"),"φ","t"),"f","t"),"d","t")</f>
        <v/>
      </c>
      <c r="AC76">
        <f>SUBSTITUTE(SUBSTITUTE(SUBSTITUTE(SUBSTITUTE(SUBSTITUTE(SUBSTITUTE(LOWER(IF(ISNUMBER(FIND(";",AC14)),LEFT(AC14,FIND(";",AC14)-1),AC14))," ",""),"%%c","t"),"ø","t"),"φ","t"),"f","t"),"d","t")</f>
        <v/>
      </c>
      <c r="AD76">
        <f>SUBSTITUTE(SUBSTITUTE(SUBSTITUTE(SUBSTITUTE(SUBSTITUTE(SUBSTITUTE(LOWER(IF(ISNUMBER(FIND(";",AD14)),LEFT(AD14,FIND(";",AD14)-1),AD14))," ",""),"%%c","t"),"ø","t"),"φ","t"),"f","t"),"d","t")</f>
        <v/>
      </c>
      <c r="AE76">
        <f>SUBSTITUTE(SUBSTITUTE(SUBSTITUTE(SUBSTITUTE(SUBSTITUTE(SUBSTITUTE(LOWER(IF(ISNUMBER(FIND(";",AE14)),LEFT(AE14,FIND(";",AE14)-1),AE14))," ",""),"%%c","t"),"ø","t"),"φ","t"),"f","t"),"d","t")</f>
        <v/>
      </c>
      <c r="AF76">
        <f>SUBSTITUTE(SUBSTITUTE(SUBSTITUTE(SUBSTITUTE(SUBSTITUTE(SUBSTITUTE(LOWER(IF(ISNUMBER(FIND(";",AF14)),LEFT(AF14,FIND(";",AF14)-1),AF14))," ",""),"%%c","t"),"ø","t"),"φ","t"),"f","t"),"d","t")</f>
        <v/>
      </c>
      <c r="AG76">
        <f>SUBSTITUTE(SUBSTITUTE(SUBSTITUTE(SUBSTITUTE(SUBSTITUTE(SUBSTITUTE(LOWER(IF(ISNUMBER(FIND(";",AG14)),LEFT(AG14,FIND(";",AG14)-1),AG14))," ",""),"%%c","t"),"ø","t"),"φ","t"),"f","t"),"d","t")</f>
        <v/>
      </c>
    </row>
    <row r="77" hidden="1" outlineLevel="1">
      <c r="A77" s="60" t="inlineStr">
        <is>
          <t>(phụ trợ) A_T2L</t>
        </is>
      </c>
      <c r="C77">
        <f>IFERROR(LEFT(LEFT(C76,FIND("+",C76&amp;"+")-1),FIND("t",LEFT(C76,FIND("+",C76&amp;"+")-1))-1)*MID(LEFT(C76,FIND("+",C76&amp;"+")-1),FIND("t",LEFT(C76,FIND("+",C76&amp;"+")-1))+1,2)^2*PI()/400,0)+IFERROR(LEFT(MID(C76,FIND("+",C76&amp;"+")+1,99),FIND("t",MID(C76,FIND("+",C76&amp;"+")+1,99))-1)*MID(MID(C76,FIND("+",C76&amp;"+")+1,99),FIND("t",MID(C76,FIND("+",C76&amp;"+")+1,99))+1,2)^2*PI()/400,0)</f>
        <v/>
      </c>
      <c r="D77">
        <f>IFERROR(LEFT(LEFT(D76,FIND("+",D76&amp;"+")-1),FIND("t",LEFT(D76,FIND("+",D76&amp;"+")-1))-1)*MID(LEFT(D76,FIND("+",D76&amp;"+")-1),FIND("t",LEFT(D76,FIND("+",D76&amp;"+")-1))+1,2)^2*PI()/400,0)+IFERROR(LEFT(MID(D76,FIND("+",D76&amp;"+")+1,99),FIND("t",MID(D76,FIND("+",D76&amp;"+")+1,99))-1)*MID(MID(D76,FIND("+",D76&amp;"+")+1,99),FIND("t",MID(D76,FIND("+",D76&amp;"+")+1,99))+1,2)^2*PI()/400,0)</f>
        <v/>
      </c>
      <c r="E77">
        <f>IFERROR(LEFT(LEFT(E76,FIND("+",E76&amp;"+")-1),FIND("t",LEFT(E76,FIND("+",E76&amp;"+")-1))-1)*MID(LEFT(E76,FIND("+",E76&amp;"+")-1),FIND("t",LEFT(E76,FIND("+",E76&amp;"+")-1))+1,2)^2*PI()/400,0)+IFERROR(LEFT(MID(E76,FIND("+",E76&amp;"+")+1,99),FIND("t",MID(E76,FIND("+",E76&amp;"+")+1,99))-1)*MID(MID(E76,FIND("+",E76&amp;"+")+1,99),FIND("t",MID(E76,FIND("+",E76&amp;"+")+1,99))+1,2)^2*PI()/400,0)</f>
        <v/>
      </c>
      <c r="F77">
        <f>IFERROR(LEFT(LEFT(F76,FIND("+",F76&amp;"+")-1),FIND("t",LEFT(F76,FIND("+",F76&amp;"+")-1))-1)*MID(LEFT(F76,FIND("+",F76&amp;"+")-1),FIND("t",LEFT(F76,FIND("+",F76&amp;"+")-1))+1,2)^2*PI()/400,0)+IFERROR(LEFT(MID(F76,FIND("+",F76&amp;"+")+1,99),FIND("t",MID(F76,FIND("+",F76&amp;"+")+1,99))-1)*MID(MID(F76,FIND("+",F76&amp;"+")+1,99),FIND("t",MID(F76,FIND("+",F76&amp;"+")+1,99))+1,2)^2*PI()/400,0)</f>
        <v/>
      </c>
      <c r="G77">
        <f>IFERROR(LEFT(LEFT(G76,FIND("+",G76&amp;"+")-1),FIND("t",LEFT(G76,FIND("+",G76&amp;"+")-1))-1)*MID(LEFT(G76,FIND("+",G76&amp;"+")-1),FIND("t",LEFT(G76,FIND("+",G76&amp;"+")-1))+1,2)^2*PI()/400,0)+IFERROR(LEFT(MID(G76,FIND("+",G76&amp;"+")+1,99),FIND("t",MID(G76,FIND("+",G76&amp;"+")+1,99))-1)*MID(MID(G76,FIND("+",G76&amp;"+")+1,99),FIND("t",MID(G76,FIND("+",G76&amp;"+")+1,99))+1,2)^2*PI()/400,0)</f>
        <v/>
      </c>
      <c r="H77">
        <f>IFERROR(LEFT(LEFT(H76,FIND("+",H76&amp;"+")-1),FIND("t",LEFT(H76,FIND("+",H76&amp;"+")-1))-1)*MID(LEFT(H76,FIND("+",H76&amp;"+")-1),FIND("t",LEFT(H76,FIND("+",H76&amp;"+")-1))+1,2)^2*PI()/400,0)+IFERROR(LEFT(MID(H76,FIND("+",H76&amp;"+")+1,99),FIND("t",MID(H76,FIND("+",H76&amp;"+")+1,99))-1)*MID(MID(H76,FIND("+",H76&amp;"+")+1,99),FIND("t",MID(H76,FIND("+",H76&amp;"+")+1,99))+1,2)^2*PI()/400,0)</f>
        <v/>
      </c>
      <c r="I77">
        <f>IFERROR(LEFT(LEFT(I76,FIND("+",I76&amp;"+")-1),FIND("t",LEFT(I76,FIND("+",I76&amp;"+")-1))-1)*MID(LEFT(I76,FIND("+",I76&amp;"+")-1),FIND("t",LEFT(I76,FIND("+",I76&amp;"+")-1))+1,2)^2*PI()/400,0)+IFERROR(LEFT(MID(I76,FIND("+",I76&amp;"+")+1,99),FIND("t",MID(I76,FIND("+",I76&amp;"+")+1,99))-1)*MID(MID(I76,FIND("+",I76&amp;"+")+1,99),FIND("t",MID(I76,FIND("+",I76&amp;"+")+1,99))+1,2)^2*PI()/400,0)</f>
        <v/>
      </c>
      <c r="J77">
        <f>IFERROR(LEFT(LEFT(J76,FIND("+",J76&amp;"+")-1),FIND("t",LEFT(J76,FIND("+",J76&amp;"+")-1))-1)*MID(LEFT(J76,FIND("+",J76&amp;"+")-1),FIND("t",LEFT(J76,FIND("+",J76&amp;"+")-1))+1,2)^2*PI()/400,0)+IFERROR(LEFT(MID(J76,FIND("+",J76&amp;"+")+1,99),FIND("t",MID(J76,FIND("+",J76&amp;"+")+1,99))-1)*MID(MID(J76,FIND("+",J76&amp;"+")+1,99),FIND("t",MID(J76,FIND("+",J76&amp;"+")+1,99))+1,2)^2*PI()/400,0)</f>
        <v/>
      </c>
      <c r="K77">
        <f>IFERROR(LEFT(LEFT(K76,FIND("+",K76&amp;"+")-1),FIND("t",LEFT(K76,FIND("+",K76&amp;"+")-1))-1)*MID(LEFT(K76,FIND("+",K76&amp;"+")-1),FIND("t",LEFT(K76,FIND("+",K76&amp;"+")-1))+1,2)^2*PI()/400,0)+IFERROR(LEFT(MID(K76,FIND("+",K76&amp;"+")+1,99),FIND("t",MID(K76,FIND("+",K76&amp;"+")+1,99))-1)*MID(MID(K76,FIND("+",K76&amp;"+")+1,99),FIND("t",MID(K76,FIND("+",K76&amp;"+")+1,99))+1,2)^2*PI()/400,0)</f>
        <v/>
      </c>
      <c r="L77">
        <f>IFERROR(LEFT(LEFT(L76,FIND("+",L76&amp;"+")-1),FIND("t",LEFT(L76,FIND("+",L76&amp;"+")-1))-1)*MID(LEFT(L76,FIND("+",L76&amp;"+")-1),FIND("t",LEFT(L76,FIND("+",L76&amp;"+")-1))+1,2)^2*PI()/400,0)+IFERROR(LEFT(MID(L76,FIND("+",L76&amp;"+")+1,99),FIND("t",MID(L76,FIND("+",L76&amp;"+")+1,99))-1)*MID(MID(L76,FIND("+",L76&amp;"+")+1,99),FIND("t",MID(L76,FIND("+",L76&amp;"+")+1,99))+1,2)^2*PI()/400,0)</f>
        <v/>
      </c>
      <c r="M77">
        <f>IFERROR(LEFT(LEFT(M76,FIND("+",M76&amp;"+")-1),FIND("t",LEFT(M76,FIND("+",M76&amp;"+")-1))-1)*MID(LEFT(M76,FIND("+",M76&amp;"+")-1),FIND("t",LEFT(M76,FIND("+",M76&amp;"+")-1))+1,2)^2*PI()/400,0)+IFERROR(LEFT(MID(M76,FIND("+",M76&amp;"+")+1,99),FIND("t",MID(M76,FIND("+",M76&amp;"+")+1,99))-1)*MID(MID(M76,FIND("+",M76&amp;"+")+1,99),FIND("t",MID(M76,FIND("+",M76&amp;"+")+1,99))+1,2)^2*PI()/400,0)</f>
        <v/>
      </c>
      <c r="N77">
        <f>IFERROR(LEFT(LEFT(N76,FIND("+",N76&amp;"+")-1),FIND("t",LEFT(N76,FIND("+",N76&amp;"+")-1))-1)*MID(LEFT(N76,FIND("+",N76&amp;"+")-1),FIND("t",LEFT(N76,FIND("+",N76&amp;"+")-1))+1,2)^2*PI()/400,0)+IFERROR(LEFT(MID(N76,FIND("+",N76&amp;"+")+1,99),FIND("t",MID(N76,FIND("+",N76&amp;"+")+1,99))-1)*MID(MID(N76,FIND("+",N76&amp;"+")+1,99),FIND("t",MID(N76,FIND("+",N76&amp;"+")+1,99))+1,2)^2*PI()/400,0)</f>
        <v/>
      </c>
      <c r="O77">
        <f>IFERROR(LEFT(LEFT(O76,FIND("+",O76&amp;"+")-1),FIND("t",LEFT(O76,FIND("+",O76&amp;"+")-1))-1)*MID(LEFT(O76,FIND("+",O76&amp;"+")-1),FIND("t",LEFT(O76,FIND("+",O76&amp;"+")-1))+1,2)^2*PI()/400,0)+IFERROR(LEFT(MID(O76,FIND("+",O76&amp;"+")+1,99),FIND("t",MID(O76,FIND("+",O76&amp;"+")+1,99))-1)*MID(MID(O76,FIND("+",O76&amp;"+")+1,99),FIND("t",MID(O76,FIND("+",O76&amp;"+")+1,99))+1,2)^2*PI()/400,0)</f>
        <v/>
      </c>
      <c r="P77">
        <f>IFERROR(LEFT(LEFT(P76,FIND("+",P76&amp;"+")-1),FIND("t",LEFT(P76,FIND("+",P76&amp;"+")-1))-1)*MID(LEFT(P76,FIND("+",P76&amp;"+")-1),FIND("t",LEFT(P76,FIND("+",P76&amp;"+")-1))+1,2)^2*PI()/400,0)+IFERROR(LEFT(MID(P76,FIND("+",P76&amp;"+")+1,99),FIND("t",MID(P76,FIND("+",P76&amp;"+")+1,99))-1)*MID(MID(P76,FIND("+",P76&amp;"+")+1,99),FIND("t",MID(P76,FIND("+",P76&amp;"+")+1,99))+1,2)^2*PI()/400,0)</f>
        <v/>
      </c>
      <c r="Q77">
        <f>IFERROR(LEFT(LEFT(Q76,FIND("+",Q76&amp;"+")-1),FIND("t",LEFT(Q76,FIND("+",Q76&amp;"+")-1))-1)*MID(LEFT(Q76,FIND("+",Q76&amp;"+")-1),FIND("t",LEFT(Q76,FIND("+",Q76&amp;"+")-1))+1,2)^2*PI()/400,0)+IFERROR(LEFT(MID(Q76,FIND("+",Q76&amp;"+")+1,99),FIND("t",MID(Q76,FIND("+",Q76&amp;"+")+1,99))-1)*MID(MID(Q76,FIND("+",Q76&amp;"+")+1,99),FIND("t",MID(Q76,FIND("+",Q76&amp;"+")+1,99))+1,2)^2*PI()/400,0)</f>
        <v/>
      </c>
      <c r="R77">
        <f>IFERROR(LEFT(LEFT(R76,FIND("+",R76&amp;"+")-1),FIND("t",LEFT(R76,FIND("+",R76&amp;"+")-1))-1)*MID(LEFT(R76,FIND("+",R76&amp;"+")-1),FIND("t",LEFT(R76,FIND("+",R76&amp;"+")-1))+1,2)^2*PI()/400,0)+IFERROR(LEFT(MID(R76,FIND("+",R76&amp;"+")+1,99),FIND("t",MID(R76,FIND("+",R76&amp;"+")+1,99))-1)*MID(MID(R76,FIND("+",R76&amp;"+")+1,99),FIND("t",MID(R76,FIND("+",R76&amp;"+")+1,99))+1,2)^2*PI()/400,0)</f>
        <v/>
      </c>
      <c r="S77">
        <f>IFERROR(LEFT(LEFT(S76,FIND("+",S76&amp;"+")-1),FIND("t",LEFT(S76,FIND("+",S76&amp;"+")-1))-1)*MID(LEFT(S76,FIND("+",S76&amp;"+")-1),FIND("t",LEFT(S76,FIND("+",S76&amp;"+")-1))+1,2)^2*PI()/400,0)+IFERROR(LEFT(MID(S76,FIND("+",S76&amp;"+")+1,99),FIND("t",MID(S76,FIND("+",S76&amp;"+")+1,99))-1)*MID(MID(S76,FIND("+",S76&amp;"+")+1,99),FIND("t",MID(S76,FIND("+",S76&amp;"+")+1,99))+1,2)^2*PI()/400,0)</f>
        <v/>
      </c>
      <c r="T77">
        <f>IFERROR(LEFT(LEFT(T76,FIND("+",T76&amp;"+")-1),FIND("t",LEFT(T76,FIND("+",T76&amp;"+")-1))-1)*MID(LEFT(T76,FIND("+",T76&amp;"+")-1),FIND("t",LEFT(T76,FIND("+",T76&amp;"+")-1))+1,2)^2*PI()/400,0)+IFERROR(LEFT(MID(T76,FIND("+",T76&amp;"+")+1,99),FIND("t",MID(T76,FIND("+",T76&amp;"+")+1,99))-1)*MID(MID(T76,FIND("+",T76&amp;"+")+1,99),FIND("t",MID(T76,FIND("+",T76&amp;"+")+1,99))+1,2)^2*PI()/400,0)</f>
        <v/>
      </c>
      <c r="U77">
        <f>IFERROR(LEFT(LEFT(U76,FIND("+",U76&amp;"+")-1),FIND("t",LEFT(U76,FIND("+",U76&amp;"+")-1))-1)*MID(LEFT(U76,FIND("+",U76&amp;"+")-1),FIND("t",LEFT(U76,FIND("+",U76&amp;"+")-1))+1,2)^2*PI()/400,0)+IFERROR(LEFT(MID(U76,FIND("+",U76&amp;"+")+1,99),FIND("t",MID(U76,FIND("+",U76&amp;"+")+1,99))-1)*MID(MID(U76,FIND("+",U76&amp;"+")+1,99),FIND("t",MID(U76,FIND("+",U76&amp;"+")+1,99))+1,2)^2*PI()/400,0)</f>
        <v/>
      </c>
      <c r="V77">
        <f>IFERROR(LEFT(LEFT(V76,FIND("+",V76&amp;"+")-1),FIND("t",LEFT(V76,FIND("+",V76&amp;"+")-1))-1)*MID(LEFT(V76,FIND("+",V76&amp;"+")-1),FIND("t",LEFT(V76,FIND("+",V76&amp;"+")-1))+1,2)^2*PI()/400,0)+IFERROR(LEFT(MID(V76,FIND("+",V76&amp;"+")+1,99),FIND("t",MID(V76,FIND("+",V76&amp;"+")+1,99))-1)*MID(MID(V76,FIND("+",V76&amp;"+")+1,99),FIND("t",MID(V76,FIND("+",V76&amp;"+")+1,99))+1,2)^2*PI()/400,0)</f>
        <v/>
      </c>
      <c r="W77">
        <f>IFERROR(LEFT(LEFT(W76,FIND("+",W76&amp;"+")-1),FIND("t",LEFT(W76,FIND("+",W76&amp;"+")-1))-1)*MID(LEFT(W76,FIND("+",W76&amp;"+")-1),FIND("t",LEFT(W76,FIND("+",W76&amp;"+")-1))+1,2)^2*PI()/400,0)+IFERROR(LEFT(MID(W76,FIND("+",W76&amp;"+")+1,99),FIND("t",MID(W76,FIND("+",W76&amp;"+")+1,99))-1)*MID(MID(W76,FIND("+",W76&amp;"+")+1,99),FIND("t",MID(W76,FIND("+",W76&amp;"+")+1,99))+1,2)^2*PI()/400,0)</f>
        <v/>
      </c>
      <c r="X77">
        <f>IFERROR(LEFT(LEFT(X76,FIND("+",X76&amp;"+")-1),FIND("t",LEFT(X76,FIND("+",X76&amp;"+")-1))-1)*MID(LEFT(X76,FIND("+",X76&amp;"+")-1),FIND("t",LEFT(X76,FIND("+",X76&amp;"+")-1))+1,2)^2*PI()/400,0)+IFERROR(LEFT(MID(X76,FIND("+",X76&amp;"+")+1,99),FIND("t",MID(X76,FIND("+",X76&amp;"+")+1,99))-1)*MID(MID(X76,FIND("+",X76&amp;"+")+1,99),FIND("t",MID(X76,FIND("+",X76&amp;"+")+1,99))+1,2)^2*PI()/400,0)</f>
        <v/>
      </c>
      <c r="Y77">
        <f>IFERROR(LEFT(LEFT(Y76,FIND("+",Y76&amp;"+")-1),FIND("t",LEFT(Y76,FIND("+",Y76&amp;"+")-1))-1)*MID(LEFT(Y76,FIND("+",Y76&amp;"+")-1),FIND("t",LEFT(Y76,FIND("+",Y76&amp;"+")-1))+1,2)^2*PI()/400,0)+IFERROR(LEFT(MID(Y76,FIND("+",Y76&amp;"+")+1,99),FIND("t",MID(Y76,FIND("+",Y76&amp;"+")+1,99))-1)*MID(MID(Y76,FIND("+",Y76&amp;"+")+1,99),FIND("t",MID(Y76,FIND("+",Y76&amp;"+")+1,99))+1,2)^2*PI()/400,0)</f>
        <v/>
      </c>
      <c r="Z77">
        <f>IFERROR(LEFT(LEFT(Z76,FIND("+",Z76&amp;"+")-1),FIND("t",LEFT(Z76,FIND("+",Z76&amp;"+")-1))-1)*MID(LEFT(Z76,FIND("+",Z76&amp;"+")-1),FIND("t",LEFT(Z76,FIND("+",Z76&amp;"+")-1))+1,2)^2*PI()/400,0)+IFERROR(LEFT(MID(Z76,FIND("+",Z76&amp;"+")+1,99),FIND("t",MID(Z76,FIND("+",Z76&amp;"+")+1,99))-1)*MID(MID(Z76,FIND("+",Z76&amp;"+")+1,99),FIND("t",MID(Z76,FIND("+",Z76&amp;"+")+1,99))+1,2)^2*PI()/400,0)</f>
        <v/>
      </c>
      <c r="AA77">
        <f>IFERROR(LEFT(LEFT(AA76,FIND("+",AA76&amp;"+")-1),FIND("t",LEFT(AA76,FIND("+",AA76&amp;"+")-1))-1)*MID(LEFT(AA76,FIND("+",AA76&amp;"+")-1),FIND("t",LEFT(AA76,FIND("+",AA76&amp;"+")-1))+1,2)^2*PI()/400,0)+IFERROR(LEFT(MID(AA76,FIND("+",AA76&amp;"+")+1,99),FIND("t",MID(AA76,FIND("+",AA76&amp;"+")+1,99))-1)*MID(MID(AA76,FIND("+",AA76&amp;"+")+1,99),FIND("t",MID(AA76,FIND("+",AA76&amp;"+")+1,99))+1,2)^2*PI()/400,0)</f>
        <v/>
      </c>
      <c r="AB77">
        <f>IFERROR(LEFT(LEFT(AB76,FIND("+",AB76&amp;"+")-1),FIND("t",LEFT(AB76,FIND("+",AB76&amp;"+")-1))-1)*MID(LEFT(AB76,FIND("+",AB76&amp;"+")-1),FIND("t",LEFT(AB76,FIND("+",AB76&amp;"+")-1))+1,2)^2*PI()/400,0)+IFERROR(LEFT(MID(AB76,FIND("+",AB76&amp;"+")+1,99),FIND("t",MID(AB76,FIND("+",AB76&amp;"+")+1,99))-1)*MID(MID(AB76,FIND("+",AB76&amp;"+")+1,99),FIND("t",MID(AB76,FIND("+",AB76&amp;"+")+1,99))+1,2)^2*PI()/400,0)</f>
        <v/>
      </c>
      <c r="AC77">
        <f>IFERROR(LEFT(LEFT(AC76,FIND("+",AC76&amp;"+")-1),FIND("t",LEFT(AC76,FIND("+",AC76&amp;"+")-1))-1)*MID(LEFT(AC76,FIND("+",AC76&amp;"+")-1),FIND("t",LEFT(AC76,FIND("+",AC76&amp;"+")-1))+1,2)^2*PI()/400,0)+IFERROR(LEFT(MID(AC76,FIND("+",AC76&amp;"+")+1,99),FIND("t",MID(AC76,FIND("+",AC76&amp;"+")+1,99))-1)*MID(MID(AC76,FIND("+",AC76&amp;"+")+1,99),FIND("t",MID(AC76,FIND("+",AC76&amp;"+")+1,99))+1,2)^2*PI()/400,0)</f>
        <v/>
      </c>
      <c r="AD77">
        <f>IFERROR(LEFT(LEFT(AD76,FIND("+",AD76&amp;"+")-1),FIND("t",LEFT(AD76,FIND("+",AD76&amp;"+")-1))-1)*MID(LEFT(AD76,FIND("+",AD76&amp;"+")-1),FIND("t",LEFT(AD76,FIND("+",AD76&amp;"+")-1))+1,2)^2*PI()/400,0)+IFERROR(LEFT(MID(AD76,FIND("+",AD76&amp;"+")+1,99),FIND("t",MID(AD76,FIND("+",AD76&amp;"+")+1,99))-1)*MID(MID(AD76,FIND("+",AD76&amp;"+")+1,99),FIND("t",MID(AD76,FIND("+",AD76&amp;"+")+1,99))+1,2)^2*PI()/400,0)</f>
        <v/>
      </c>
      <c r="AE77">
        <f>IFERROR(LEFT(LEFT(AE76,FIND("+",AE76&amp;"+")-1),FIND("t",LEFT(AE76,FIND("+",AE76&amp;"+")-1))-1)*MID(LEFT(AE76,FIND("+",AE76&amp;"+")-1),FIND("t",LEFT(AE76,FIND("+",AE76&amp;"+")-1))+1,2)^2*PI()/400,0)+IFERROR(LEFT(MID(AE76,FIND("+",AE76&amp;"+")+1,99),FIND("t",MID(AE76,FIND("+",AE76&amp;"+")+1,99))-1)*MID(MID(AE76,FIND("+",AE76&amp;"+")+1,99),FIND("t",MID(AE76,FIND("+",AE76&amp;"+")+1,99))+1,2)^2*PI()/400,0)</f>
        <v/>
      </c>
      <c r="AF77">
        <f>IFERROR(LEFT(LEFT(AF76,FIND("+",AF76&amp;"+")-1),FIND("t",LEFT(AF76,FIND("+",AF76&amp;"+")-1))-1)*MID(LEFT(AF76,FIND("+",AF76&amp;"+")-1),FIND("t",LEFT(AF76,FIND("+",AF76&amp;"+")-1))+1,2)^2*PI()/400,0)+IFERROR(LEFT(MID(AF76,FIND("+",AF76&amp;"+")+1,99),FIND("t",MID(AF76,FIND("+",AF76&amp;"+")+1,99))-1)*MID(MID(AF76,FIND("+",AF76&amp;"+")+1,99),FIND("t",MID(AF76,FIND("+",AF76&amp;"+")+1,99))+1,2)^2*PI()/400,0)</f>
        <v/>
      </c>
      <c r="AG77">
        <f>IFERROR(LEFT(LEFT(AG76,FIND("+",AG76&amp;"+")-1),FIND("t",LEFT(AG76,FIND("+",AG76&amp;"+")-1))-1)*MID(LEFT(AG76,FIND("+",AG76&amp;"+")-1),FIND("t",LEFT(AG76,FIND("+",AG76&amp;"+")-1))+1,2)^2*PI()/400,0)+IFERROR(LEFT(MID(AG76,FIND("+",AG76&amp;"+")+1,99),FIND("t",MID(AG76,FIND("+",AG76&amp;"+")+1,99))-1)*MID(MID(AG76,FIND("+",AG76&amp;"+")+1,99),FIND("t",MID(AG76,FIND("+",AG76&amp;"+")+1,99))+1,2)^2*PI()/400,0)</f>
        <v/>
      </c>
    </row>
    <row r="78" hidden="1" outlineLevel="1">
      <c r="A78" s="60" t="inlineStr">
        <is>
          <t>(phụ trợ) N_T2R</t>
        </is>
      </c>
      <c r="C78">
        <f>SUBSTITUTE(SUBSTITUTE(SUBSTITUTE(SUBSTITUTE(SUBSTITUTE(SUBSTITUTE(LOWER(IF(ISNUMBER(FIND(";",C14)),MID(C14,FIND(";",C14)+1,99),C14))," ",""),"%%c","t"),"ø","t"),"φ","t"),"f","t"),"d","t")</f>
        <v/>
      </c>
      <c r="D78">
        <f>SUBSTITUTE(SUBSTITUTE(SUBSTITUTE(SUBSTITUTE(SUBSTITUTE(SUBSTITUTE(LOWER(IF(ISNUMBER(FIND(";",D14)),MID(D14,FIND(";",D14)+1,99),D14))," ",""),"%%c","t"),"ø","t"),"φ","t"),"f","t"),"d","t")</f>
        <v/>
      </c>
      <c r="E78">
        <f>SUBSTITUTE(SUBSTITUTE(SUBSTITUTE(SUBSTITUTE(SUBSTITUTE(SUBSTITUTE(LOWER(IF(ISNUMBER(FIND(";",E14)),MID(E14,FIND(";",E14)+1,99),E14))," ",""),"%%c","t"),"ø","t"),"φ","t"),"f","t"),"d","t")</f>
        <v/>
      </c>
      <c r="F78">
        <f>SUBSTITUTE(SUBSTITUTE(SUBSTITUTE(SUBSTITUTE(SUBSTITUTE(SUBSTITUTE(LOWER(IF(ISNUMBER(FIND(";",F14)),MID(F14,FIND(";",F14)+1,99),F14))," ",""),"%%c","t"),"ø","t"),"φ","t"),"f","t"),"d","t")</f>
        <v/>
      </c>
      <c r="G78">
        <f>SUBSTITUTE(SUBSTITUTE(SUBSTITUTE(SUBSTITUTE(SUBSTITUTE(SUBSTITUTE(LOWER(IF(ISNUMBER(FIND(";",G14)),MID(G14,FIND(";",G14)+1,99),G14))," ",""),"%%c","t"),"ø","t"),"φ","t"),"f","t"),"d","t")</f>
        <v/>
      </c>
      <c r="H78">
        <f>SUBSTITUTE(SUBSTITUTE(SUBSTITUTE(SUBSTITUTE(SUBSTITUTE(SUBSTITUTE(LOWER(IF(ISNUMBER(FIND(";",H14)),MID(H14,FIND(";",H14)+1,99),H14))," ",""),"%%c","t"),"ø","t"),"φ","t"),"f","t"),"d","t")</f>
        <v/>
      </c>
      <c r="I78">
        <f>SUBSTITUTE(SUBSTITUTE(SUBSTITUTE(SUBSTITUTE(SUBSTITUTE(SUBSTITUTE(LOWER(IF(ISNUMBER(FIND(";",I14)),MID(I14,FIND(";",I14)+1,99),I14))," ",""),"%%c","t"),"ø","t"),"φ","t"),"f","t"),"d","t")</f>
        <v/>
      </c>
      <c r="J78">
        <f>SUBSTITUTE(SUBSTITUTE(SUBSTITUTE(SUBSTITUTE(SUBSTITUTE(SUBSTITUTE(LOWER(IF(ISNUMBER(FIND(";",J14)),MID(J14,FIND(";",J14)+1,99),J14))," ",""),"%%c","t"),"ø","t"),"φ","t"),"f","t"),"d","t")</f>
        <v/>
      </c>
      <c r="K78">
        <f>SUBSTITUTE(SUBSTITUTE(SUBSTITUTE(SUBSTITUTE(SUBSTITUTE(SUBSTITUTE(LOWER(IF(ISNUMBER(FIND(";",K14)),MID(K14,FIND(";",K14)+1,99),K14))," ",""),"%%c","t"),"ø","t"),"φ","t"),"f","t"),"d","t")</f>
        <v/>
      </c>
      <c r="L78">
        <f>SUBSTITUTE(SUBSTITUTE(SUBSTITUTE(SUBSTITUTE(SUBSTITUTE(SUBSTITUTE(LOWER(IF(ISNUMBER(FIND(";",L14)),MID(L14,FIND(";",L14)+1,99),L14))," ",""),"%%c","t"),"ø","t"),"φ","t"),"f","t"),"d","t")</f>
        <v/>
      </c>
      <c r="M78">
        <f>SUBSTITUTE(SUBSTITUTE(SUBSTITUTE(SUBSTITUTE(SUBSTITUTE(SUBSTITUTE(LOWER(IF(ISNUMBER(FIND(";",M14)),MID(M14,FIND(";",M14)+1,99),M14))," ",""),"%%c","t"),"ø","t"),"φ","t"),"f","t"),"d","t")</f>
        <v/>
      </c>
      <c r="N78">
        <f>SUBSTITUTE(SUBSTITUTE(SUBSTITUTE(SUBSTITUTE(SUBSTITUTE(SUBSTITUTE(LOWER(IF(ISNUMBER(FIND(";",N14)),MID(N14,FIND(";",N14)+1,99),N14))," ",""),"%%c","t"),"ø","t"),"φ","t"),"f","t"),"d","t")</f>
        <v/>
      </c>
      <c r="O78">
        <f>SUBSTITUTE(SUBSTITUTE(SUBSTITUTE(SUBSTITUTE(SUBSTITUTE(SUBSTITUTE(LOWER(IF(ISNUMBER(FIND(";",O14)),MID(O14,FIND(";",O14)+1,99),O14))," ",""),"%%c","t"),"ø","t"),"φ","t"),"f","t"),"d","t")</f>
        <v/>
      </c>
      <c r="P78">
        <f>SUBSTITUTE(SUBSTITUTE(SUBSTITUTE(SUBSTITUTE(SUBSTITUTE(SUBSTITUTE(LOWER(IF(ISNUMBER(FIND(";",P14)),MID(P14,FIND(";",P14)+1,99),P14))," ",""),"%%c","t"),"ø","t"),"φ","t"),"f","t"),"d","t")</f>
        <v/>
      </c>
      <c r="Q78">
        <f>SUBSTITUTE(SUBSTITUTE(SUBSTITUTE(SUBSTITUTE(SUBSTITUTE(SUBSTITUTE(LOWER(IF(ISNUMBER(FIND(";",Q14)),MID(Q14,FIND(";",Q14)+1,99),Q14))," ",""),"%%c","t"),"ø","t"),"φ","t"),"f","t"),"d","t")</f>
        <v/>
      </c>
      <c r="R78">
        <f>SUBSTITUTE(SUBSTITUTE(SUBSTITUTE(SUBSTITUTE(SUBSTITUTE(SUBSTITUTE(LOWER(IF(ISNUMBER(FIND(";",R14)),MID(R14,FIND(";",R14)+1,99),R14))," ",""),"%%c","t"),"ø","t"),"φ","t"),"f","t"),"d","t")</f>
        <v/>
      </c>
      <c r="S78">
        <f>SUBSTITUTE(SUBSTITUTE(SUBSTITUTE(SUBSTITUTE(SUBSTITUTE(SUBSTITUTE(LOWER(IF(ISNUMBER(FIND(";",S14)),MID(S14,FIND(";",S14)+1,99),S14))," ",""),"%%c","t"),"ø","t"),"φ","t"),"f","t"),"d","t")</f>
        <v/>
      </c>
      <c r="T78">
        <f>SUBSTITUTE(SUBSTITUTE(SUBSTITUTE(SUBSTITUTE(SUBSTITUTE(SUBSTITUTE(LOWER(IF(ISNUMBER(FIND(";",T14)),MID(T14,FIND(";",T14)+1,99),T14))," ",""),"%%c","t"),"ø","t"),"φ","t"),"f","t"),"d","t")</f>
        <v/>
      </c>
      <c r="U78">
        <f>SUBSTITUTE(SUBSTITUTE(SUBSTITUTE(SUBSTITUTE(SUBSTITUTE(SUBSTITUTE(LOWER(IF(ISNUMBER(FIND(";",U14)),MID(U14,FIND(";",U14)+1,99),U14))," ",""),"%%c","t"),"ø","t"),"φ","t"),"f","t"),"d","t")</f>
        <v/>
      </c>
      <c r="V78">
        <f>SUBSTITUTE(SUBSTITUTE(SUBSTITUTE(SUBSTITUTE(SUBSTITUTE(SUBSTITUTE(LOWER(IF(ISNUMBER(FIND(";",V14)),MID(V14,FIND(";",V14)+1,99),V14))," ",""),"%%c","t"),"ø","t"),"φ","t"),"f","t"),"d","t")</f>
        <v/>
      </c>
      <c r="W78">
        <f>SUBSTITUTE(SUBSTITUTE(SUBSTITUTE(SUBSTITUTE(SUBSTITUTE(SUBSTITUTE(LOWER(IF(ISNUMBER(FIND(";",W14)),MID(W14,FIND(";",W14)+1,99),W14))," ",""),"%%c","t"),"ø","t"),"φ","t"),"f","t"),"d","t")</f>
        <v/>
      </c>
      <c r="X78">
        <f>SUBSTITUTE(SUBSTITUTE(SUBSTITUTE(SUBSTITUTE(SUBSTITUTE(SUBSTITUTE(LOWER(IF(ISNUMBER(FIND(";",X14)),MID(X14,FIND(";",X14)+1,99),X14))," ",""),"%%c","t"),"ø","t"),"φ","t"),"f","t"),"d","t")</f>
        <v/>
      </c>
      <c r="Y78">
        <f>SUBSTITUTE(SUBSTITUTE(SUBSTITUTE(SUBSTITUTE(SUBSTITUTE(SUBSTITUTE(LOWER(IF(ISNUMBER(FIND(";",Y14)),MID(Y14,FIND(";",Y14)+1,99),Y14))," ",""),"%%c","t"),"ø","t"),"φ","t"),"f","t"),"d","t")</f>
        <v/>
      </c>
      <c r="Z78">
        <f>SUBSTITUTE(SUBSTITUTE(SUBSTITUTE(SUBSTITUTE(SUBSTITUTE(SUBSTITUTE(LOWER(IF(ISNUMBER(FIND(";",Z14)),MID(Z14,FIND(";",Z14)+1,99),Z14))," ",""),"%%c","t"),"ø","t"),"φ","t"),"f","t"),"d","t")</f>
        <v/>
      </c>
      <c r="AA78">
        <f>SUBSTITUTE(SUBSTITUTE(SUBSTITUTE(SUBSTITUTE(SUBSTITUTE(SUBSTITUTE(LOWER(IF(ISNUMBER(FIND(";",AA14)),MID(AA14,FIND(";",AA14)+1,99),AA14))," ",""),"%%c","t"),"ø","t"),"φ","t"),"f","t"),"d","t")</f>
        <v/>
      </c>
      <c r="AB78">
        <f>SUBSTITUTE(SUBSTITUTE(SUBSTITUTE(SUBSTITUTE(SUBSTITUTE(SUBSTITUTE(LOWER(IF(ISNUMBER(FIND(";",AB14)),MID(AB14,FIND(";",AB14)+1,99),AB14))," ",""),"%%c","t"),"ø","t"),"φ","t"),"f","t"),"d","t")</f>
        <v/>
      </c>
      <c r="AC78">
        <f>SUBSTITUTE(SUBSTITUTE(SUBSTITUTE(SUBSTITUTE(SUBSTITUTE(SUBSTITUTE(LOWER(IF(ISNUMBER(FIND(";",AC14)),MID(AC14,FIND(";",AC14)+1,99),AC14))," ",""),"%%c","t"),"ø","t"),"φ","t"),"f","t"),"d","t")</f>
        <v/>
      </c>
      <c r="AD78">
        <f>SUBSTITUTE(SUBSTITUTE(SUBSTITUTE(SUBSTITUTE(SUBSTITUTE(SUBSTITUTE(LOWER(IF(ISNUMBER(FIND(";",AD14)),MID(AD14,FIND(";",AD14)+1,99),AD14))," ",""),"%%c","t"),"ø","t"),"φ","t"),"f","t"),"d","t")</f>
        <v/>
      </c>
      <c r="AE78">
        <f>SUBSTITUTE(SUBSTITUTE(SUBSTITUTE(SUBSTITUTE(SUBSTITUTE(SUBSTITUTE(LOWER(IF(ISNUMBER(FIND(";",AE14)),MID(AE14,FIND(";",AE14)+1,99),AE14))," ",""),"%%c","t"),"ø","t"),"φ","t"),"f","t"),"d","t")</f>
        <v/>
      </c>
      <c r="AF78">
        <f>SUBSTITUTE(SUBSTITUTE(SUBSTITUTE(SUBSTITUTE(SUBSTITUTE(SUBSTITUTE(LOWER(IF(ISNUMBER(FIND(";",AF14)),MID(AF14,FIND(";",AF14)+1,99),AF14))," ",""),"%%c","t"),"ø","t"),"φ","t"),"f","t"),"d","t")</f>
        <v/>
      </c>
      <c r="AG78">
        <f>SUBSTITUTE(SUBSTITUTE(SUBSTITUTE(SUBSTITUTE(SUBSTITUTE(SUBSTITUTE(LOWER(IF(ISNUMBER(FIND(";",AG14)),MID(AG14,FIND(";",AG14)+1,99),AG14))," ",""),"%%c","t"),"ø","t"),"φ","t"),"f","t"),"d","t")</f>
        <v/>
      </c>
    </row>
    <row r="79" hidden="1" outlineLevel="1">
      <c r="A79" s="60" t="inlineStr">
        <is>
          <t>(phụ trợ) A_T2R</t>
        </is>
      </c>
      <c r="C79">
        <f>IFERROR(LEFT(LEFT(C78,FIND("+",C78&amp;"+")-1),FIND("t",LEFT(C78,FIND("+",C78&amp;"+")-1))-1)*MID(LEFT(C78,FIND("+",C78&amp;"+")-1),FIND("t",LEFT(C78,FIND("+",C78&amp;"+")-1))+1,2)^2*PI()/400,0)+IFERROR(LEFT(MID(C78,FIND("+",C78&amp;"+")+1,99),FIND("t",MID(C78,FIND("+",C78&amp;"+")+1,99))-1)*MID(MID(C78,FIND("+",C78&amp;"+")+1,99),FIND("t",MID(C78,FIND("+",C78&amp;"+")+1,99))+1,2)^2*PI()/400,0)</f>
        <v/>
      </c>
      <c r="D79">
        <f>IFERROR(LEFT(LEFT(D78,FIND("+",D78&amp;"+")-1),FIND("t",LEFT(D78,FIND("+",D78&amp;"+")-1))-1)*MID(LEFT(D78,FIND("+",D78&amp;"+")-1),FIND("t",LEFT(D78,FIND("+",D78&amp;"+")-1))+1,2)^2*PI()/400,0)+IFERROR(LEFT(MID(D78,FIND("+",D78&amp;"+")+1,99),FIND("t",MID(D78,FIND("+",D78&amp;"+")+1,99))-1)*MID(MID(D78,FIND("+",D78&amp;"+")+1,99),FIND("t",MID(D78,FIND("+",D78&amp;"+")+1,99))+1,2)^2*PI()/400,0)</f>
        <v/>
      </c>
      <c r="E79">
        <f>IFERROR(LEFT(LEFT(E78,FIND("+",E78&amp;"+")-1),FIND("t",LEFT(E78,FIND("+",E78&amp;"+")-1))-1)*MID(LEFT(E78,FIND("+",E78&amp;"+")-1),FIND("t",LEFT(E78,FIND("+",E78&amp;"+")-1))+1,2)^2*PI()/400,0)+IFERROR(LEFT(MID(E78,FIND("+",E78&amp;"+")+1,99),FIND("t",MID(E78,FIND("+",E78&amp;"+")+1,99))-1)*MID(MID(E78,FIND("+",E78&amp;"+")+1,99),FIND("t",MID(E78,FIND("+",E78&amp;"+")+1,99))+1,2)^2*PI()/400,0)</f>
        <v/>
      </c>
      <c r="F79">
        <f>IFERROR(LEFT(LEFT(F78,FIND("+",F78&amp;"+")-1),FIND("t",LEFT(F78,FIND("+",F78&amp;"+")-1))-1)*MID(LEFT(F78,FIND("+",F78&amp;"+")-1),FIND("t",LEFT(F78,FIND("+",F78&amp;"+")-1))+1,2)^2*PI()/400,0)+IFERROR(LEFT(MID(F78,FIND("+",F78&amp;"+")+1,99),FIND("t",MID(F78,FIND("+",F78&amp;"+")+1,99))-1)*MID(MID(F78,FIND("+",F78&amp;"+")+1,99),FIND("t",MID(F78,FIND("+",F78&amp;"+")+1,99))+1,2)^2*PI()/400,0)</f>
        <v/>
      </c>
      <c r="G79">
        <f>IFERROR(LEFT(LEFT(G78,FIND("+",G78&amp;"+")-1),FIND("t",LEFT(G78,FIND("+",G78&amp;"+")-1))-1)*MID(LEFT(G78,FIND("+",G78&amp;"+")-1),FIND("t",LEFT(G78,FIND("+",G78&amp;"+")-1))+1,2)^2*PI()/400,0)+IFERROR(LEFT(MID(G78,FIND("+",G78&amp;"+")+1,99),FIND("t",MID(G78,FIND("+",G78&amp;"+")+1,99))-1)*MID(MID(G78,FIND("+",G78&amp;"+")+1,99),FIND("t",MID(G78,FIND("+",G78&amp;"+")+1,99))+1,2)^2*PI()/400,0)</f>
        <v/>
      </c>
      <c r="H79">
        <f>IFERROR(LEFT(LEFT(H78,FIND("+",H78&amp;"+")-1),FIND("t",LEFT(H78,FIND("+",H78&amp;"+")-1))-1)*MID(LEFT(H78,FIND("+",H78&amp;"+")-1),FIND("t",LEFT(H78,FIND("+",H78&amp;"+")-1))+1,2)^2*PI()/400,0)+IFERROR(LEFT(MID(H78,FIND("+",H78&amp;"+")+1,99),FIND("t",MID(H78,FIND("+",H78&amp;"+")+1,99))-1)*MID(MID(H78,FIND("+",H78&amp;"+")+1,99),FIND("t",MID(H78,FIND("+",H78&amp;"+")+1,99))+1,2)^2*PI()/400,0)</f>
        <v/>
      </c>
      <c r="I79">
        <f>IFERROR(LEFT(LEFT(I78,FIND("+",I78&amp;"+")-1),FIND("t",LEFT(I78,FIND("+",I78&amp;"+")-1))-1)*MID(LEFT(I78,FIND("+",I78&amp;"+")-1),FIND("t",LEFT(I78,FIND("+",I78&amp;"+")-1))+1,2)^2*PI()/400,0)+IFERROR(LEFT(MID(I78,FIND("+",I78&amp;"+")+1,99),FIND("t",MID(I78,FIND("+",I78&amp;"+")+1,99))-1)*MID(MID(I78,FIND("+",I78&amp;"+")+1,99),FIND("t",MID(I78,FIND("+",I78&amp;"+")+1,99))+1,2)^2*PI()/400,0)</f>
        <v/>
      </c>
      <c r="J79">
        <f>IFERROR(LEFT(LEFT(J78,FIND("+",J78&amp;"+")-1),FIND("t",LEFT(J78,FIND("+",J78&amp;"+")-1))-1)*MID(LEFT(J78,FIND("+",J78&amp;"+")-1),FIND("t",LEFT(J78,FIND("+",J78&amp;"+")-1))+1,2)^2*PI()/400,0)+IFERROR(LEFT(MID(J78,FIND("+",J78&amp;"+")+1,99),FIND("t",MID(J78,FIND("+",J78&amp;"+")+1,99))-1)*MID(MID(J78,FIND("+",J78&amp;"+")+1,99),FIND("t",MID(J78,FIND("+",J78&amp;"+")+1,99))+1,2)^2*PI()/400,0)</f>
        <v/>
      </c>
      <c r="K79">
        <f>IFERROR(LEFT(LEFT(K78,FIND("+",K78&amp;"+")-1),FIND("t",LEFT(K78,FIND("+",K78&amp;"+")-1))-1)*MID(LEFT(K78,FIND("+",K78&amp;"+")-1),FIND("t",LEFT(K78,FIND("+",K78&amp;"+")-1))+1,2)^2*PI()/400,0)+IFERROR(LEFT(MID(K78,FIND("+",K78&amp;"+")+1,99),FIND("t",MID(K78,FIND("+",K78&amp;"+")+1,99))-1)*MID(MID(K78,FIND("+",K78&amp;"+")+1,99),FIND("t",MID(K78,FIND("+",K78&amp;"+")+1,99))+1,2)^2*PI()/400,0)</f>
        <v/>
      </c>
      <c r="L79">
        <f>IFERROR(LEFT(LEFT(L78,FIND("+",L78&amp;"+")-1),FIND("t",LEFT(L78,FIND("+",L78&amp;"+")-1))-1)*MID(LEFT(L78,FIND("+",L78&amp;"+")-1),FIND("t",LEFT(L78,FIND("+",L78&amp;"+")-1))+1,2)^2*PI()/400,0)+IFERROR(LEFT(MID(L78,FIND("+",L78&amp;"+")+1,99),FIND("t",MID(L78,FIND("+",L78&amp;"+")+1,99))-1)*MID(MID(L78,FIND("+",L78&amp;"+")+1,99),FIND("t",MID(L78,FIND("+",L78&amp;"+")+1,99))+1,2)^2*PI()/400,0)</f>
        <v/>
      </c>
      <c r="M79">
        <f>IFERROR(LEFT(LEFT(M78,FIND("+",M78&amp;"+")-1),FIND("t",LEFT(M78,FIND("+",M78&amp;"+")-1))-1)*MID(LEFT(M78,FIND("+",M78&amp;"+")-1),FIND("t",LEFT(M78,FIND("+",M78&amp;"+")-1))+1,2)^2*PI()/400,0)+IFERROR(LEFT(MID(M78,FIND("+",M78&amp;"+")+1,99),FIND("t",MID(M78,FIND("+",M78&amp;"+")+1,99))-1)*MID(MID(M78,FIND("+",M78&amp;"+")+1,99),FIND("t",MID(M78,FIND("+",M78&amp;"+")+1,99))+1,2)^2*PI()/400,0)</f>
        <v/>
      </c>
      <c r="N79">
        <f>IFERROR(LEFT(LEFT(N78,FIND("+",N78&amp;"+")-1),FIND("t",LEFT(N78,FIND("+",N78&amp;"+")-1))-1)*MID(LEFT(N78,FIND("+",N78&amp;"+")-1),FIND("t",LEFT(N78,FIND("+",N78&amp;"+")-1))+1,2)^2*PI()/400,0)+IFERROR(LEFT(MID(N78,FIND("+",N78&amp;"+")+1,99),FIND("t",MID(N78,FIND("+",N78&amp;"+")+1,99))-1)*MID(MID(N78,FIND("+",N78&amp;"+")+1,99),FIND("t",MID(N78,FIND("+",N78&amp;"+")+1,99))+1,2)^2*PI()/400,0)</f>
        <v/>
      </c>
      <c r="O79">
        <f>IFERROR(LEFT(LEFT(O78,FIND("+",O78&amp;"+")-1),FIND("t",LEFT(O78,FIND("+",O78&amp;"+")-1))-1)*MID(LEFT(O78,FIND("+",O78&amp;"+")-1),FIND("t",LEFT(O78,FIND("+",O78&amp;"+")-1))+1,2)^2*PI()/400,0)+IFERROR(LEFT(MID(O78,FIND("+",O78&amp;"+")+1,99),FIND("t",MID(O78,FIND("+",O78&amp;"+")+1,99))-1)*MID(MID(O78,FIND("+",O78&amp;"+")+1,99),FIND("t",MID(O78,FIND("+",O78&amp;"+")+1,99))+1,2)^2*PI()/400,0)</f>
        <v/>
      </c>
      <c r="P79">
        <f>IFERROR(LEFT(LEFT(P78,FIND("+",P78&amp;"+")-1),FIND("t",LEFT(P78,FIND("+",P78&amp;"+")-1))-1)*MID(LEFT(P78,FIND("+",P78&amp;"+")-1),FIND("t",LEFT(P78,FIND("+",P78&amp;"+")-1))+1,2)^2*PI()/400,0)+IFERROR(LEFT(MID(P78,FIND("+",P78&amp;"+")+1,99),FIND("t",MID(P78,FIND("+",P78&amp;"+")+1,99))-1)*MID(MID(P78,FIND("+",P78&amp;"+")+1,99),FIND("t",MID(P78,FIND("+",P78&amp;"+")+1,99))+1,2)^2*PI()/400,0)</f>
        <v/>
      </c>
      <c r="Q79">
        <f>IFERROR(LEFT(LEFT(Q78,FIND("+",Q78&amp;"+")-1),FIND("t",LEFT(Q78,FIND("+",Q78&amp;"+")-1))-1)*MID(LEFT(Q78,FIND("+",Q78&amp;"+")-1),FIND("t",LEFT(Q78,FIND("+",Q78&amp;"+")-1))+1,2)^2*PI()/400,0)+IFERROR(LEFT(MID(Q78,FIND("+",Q78&amp;"+")+1,99),FIND("t",MID(Q78,FIND("+",Q78&amp;"+")+1,99))-1)*MID(MID(Q78,FIND("+",Q78&amp;"+")+1,99),FIND("t",MID(Q78,FIND("+",Q78&amp;"+")+1,99))+1,2)^2*PI()/400,0)</f>
        <v/>
      </c>
      <c r="R79">
        <f>IFERROR(LEFT(LEFT(R78,FIND("+",R78&amp;"+")-1),FIND("t",LEFT(R78,FIND("+",R78&amp;"+")-1))-1)*MID(LEFT(R78,FIND("+",R78&amp;"+")-1),FIND("t",LEFT(R78,FIND("+",R78&amp;"+")-1))+1,2)^2*PI()/400,0)+IFERROR(LEFT(MID(R78,FIND("+",R78&amp;"+")+1,99),FIND("t",MID(R78,FIND("+",R78&amp;"+")+1,99))-1)*MID(MID(R78,FIND("+",R78&amp;"+")+1,99),FIND("t",MID(R78,FIND("+",R78&amp;"+")+1,99))+1,2)^2*PI()/400,0)</f>
        <v/>
      </c>
      <c r="S79">
        <f>IFERROR(LEFT(LEFT(S78,FIND("+",S78&amp;"+")-1),FIND("t",LEFT(S78,FIND("+",S78&amp;"+")-1))-1)*MID(LEFT(S78,FIND("+",S78&amp;"+")-1),FIND("t",LEFT(S78,FIND("+",S78&amp;"+")-1))+1,2)^2*PI()/400,0)+IFERROR(LEFT(MID(S78,FIND("+",S78&amp;"+")+1,99),FIND("t",MID(S78,FIND("+",S78&amp;"+")+1,99))-1)*MID(MID(S78,FIND("+",S78&amp;"+")+1,99),FIND("t",MID(S78,FIND("+",S78&amp;"+")+1,99))+1,2)^2*PI()/400,0)</f>
        <v/>
      </c>
      <c r="T79">
        <f>IFERROR(LEFT(LEFT(T78,FIND("+",T78&amp;"+")-1),FIND("t",LEFT(T78,FIND("+",T78&amp;"+")-1))-1)*MID(LEFT(T78,FIND("+",T78&amp;"+")-1),FIND("t",LEFT(T78,FIND("+",T78&amp;"+")-1))+1,2)^2*PI()/400,0)+IFERROR(LEFT(MID(T78,FIND("+",T78&amp;"+")+1,99),FIND("t",MID(T78,FIND("+",T78&amp;"+")+1,99))-1)*MID(MID(T78,FIND("+",T78&amp;"+")+1,99),FIND("t",MID(T78,FIND("+",T78&amp;"+")+1,99))+1,2)^2*PI()/400,0)</f>
        <v/>
      </c>
      <c r="U79">
        <f>IFERROR(LEFT(LEFT(U78,FIND("+",U78&amp;"+")-1),FIND("t",LEFT(U78,FIND("+",U78&amp;"+")-1))-1)*MID(LEFT(U78,FIND("+",U78&amp;"+")-1),FIND("t",LEFT(U78,FIND("+",U78&amp;"+")-1))+1,2)^2*PI()/400,0)+IFERROR(LEFT(MID(U78,FIND("+",U78&amp;"+")+1,99),FIND("t",MID(U78,FIND("+",U78&amp;"+")+1,99))-1)*MID(MID(U78,FIND("+",U78&amp;"+")+1,99),FIND("t",MID(U78,FIND("+",U78&amp;"+")+1,99))+1,2)^2*PI()/400,0)</f>
        <v/>
      </c>
      <c r="V79">
        <f>IFERROR(LEFT(LEFT(V78,FIND("+",V78&amp;"+")-1),FIND("t",LEFT(V78,FIND("+",V78&amp;"+")-1))-1)*MID(LEFT(V78,FIND("+",V78&amp;"+")-1),FIND("t",LEFT(V78,FIND("+",V78&amp;"+")-1))+1,2)^2*PI()/400,0)+IFERROR(LEFT(MID(V78,FIND("+",V78&amp;"+")+1,99),FIND("t",MID(V78,FIND("+",V78&amp;"+")+1,99))-1)*MID(MID(V78,FIND("+",V78&amp;"+")+1,99),FIND("t",MID(V78,FIND("+",V78&amp;"+")+1,99))+1,2)^2*PI()/400,0)</f>
        <v/>
      </c>
      <c r="W79">
        <f>IFERROR(LEFT(LEFT(W78,FIND("+",W78&amp;"+")-1),FIND("t",LEFT(W78,FIND("+",W78&amp;"+")-1))-1)*MID(LEFT(W78,FIND("+",W78&amp;"+")-1),FIND("t",LEFT(W78,FIND("+",W78&amp;"+")-1))+1,2)^2*PI()/400,0)+IFERROR(LEFT(MID(W78,FIND("+",W78&amp;"+")+1,99),FIND("t",MID(W78,FIND("+",W78&amp;"+")+1,99))-1)*MID(MID(W78,FIND("+",W78&amp;"+")+1,99),FIND("t",MID(W78,FIND("+",W78&amp;"+")+1,99))+1,2)^2*PI()/400,0)</f>
        <v/>
      </c>
      <c r="X79">
        <f>IFERROR(LEFT(LEFT(X78,FIND("+",X78&amp;"+")-1),FIND("t",LEFT(X78,FIND("+",X78&amp;"+")-1))-1)*MID(LEFT(X78,FIND("+",X78&amp;"+")-1),FIND("t",LEFT(X78,FIND("+",X78&amp;"+")-1))+1,2)^2*PI()/400,0)+IFERROR(LEFT(MID(X78,FIND("+",X78&amp;"+")+1,99),FIND("t",MID(X78,FIND("+",X78&amp;"+")+1,99))-1)*MID(MID(X78,FIND("+",X78&amp;"+")+1,99),FIND("t",MID(X78,FIND("+",X78&amp;"+")+1,99))+1,2)^2*PI()/400,0)</f>
        <v/>
      </c>
      <c r="Y79">
        <f>IFERROR(LEFT(LEFT(Y78,FIND("+",Y78&amp;"+")-1),FIND("t",LEFT(Y78,FIND("+",Y78&amp;"+")-1))-1)*MID(LEFT(Y78,FIND("+",Y78&amp;"+")-1),FIND("t",LEFT(Y78,FIND("+",Y78&amp;"+")-1))+1,2)^2*PI()/400,0)+IFERROR(LEFT(MID(Y78,FIND("+",Y78&amp;"+")+1,99),FIND("t",MID(Y78,FIND("+",Y78&amp;"+")+1,99))-1)*MID(MID(Y78,FIND("+",Y78&amp;"+")+1,99),FIND("t",MID(Y78,FIND("+",Y78&amp;"+")+1,99))+1,2)^2*PI()/400,0)</f>
        <v/>
      </c>
      <c r="Z79">
        <f>IFERROR(LEFT(LEFT(Z78,FIND("+",Z78&amp;"+")-1),FIND("t",LEFT(Z78,FIND("+",Z78&amp;"+")-1))-1)*MID(LEFT(Z78,FIND("+",Z78&amp;"+")-1),FIND("t",LEFT(Z78,FIND("+",Z78&amp;"+")-1))+1,2)^2*PI()/400,0)+IFERROR(LEFT(MID(Z78,FIND("+",Z78&amp;"+")+1,99),FIND("t",MID(Z78,FIND("+",Z78&amp;"+")+1,99))-1)*MID(MID(Z78,FIND("+",Z78&amp;"+")+1,99),FIND("t",MID(Z78,FIND("+",Z78&amp;"+")+1,99))+1,2)^2*PI()/400,0)</f>
        <v/>
      </c>
      <c r="AA79">
        <f>IFERROR(LEFT(LEFT(AA78,FIND("+",AA78&amp;"+")-1),FIND("t",LEFT(AA78,FIND("+",AA78&amp;"+")-1))-1)*MID(LEFT(AA78,FIND("+",AA78&amp;"+")-1),FIND("t",LEFT(AA78,FIND("+",AA78&amp;"+")-1))+1,2)^2*PI()/400,0)+IFERROR(LEFT(MID(AA78,FIND("+",AA78&amp;"+")+1,99),FIND("t",MID(AA78,FIND("+",AA78&amp;"+")+1,99))-1)*MID(MID(AA78,FIND("+",AA78&amp;"+")+1,99),FIND("t",MID(AA78,FIND("+",AA78&amp;"+")+1,99))+1,2)^2*PI()/400,0)</f>
        <v/>
      </c>
      <c r="AB79">
        <f>IFERROR(LEFT(LEFT(AB78,FIND("+",AB78&amp;"+")-1),FIND("t",LEFT(AB78,FIND("+",AB78&amp;"+")-1))-1)*MID(LEFT(AB78,FIND("+",AB78&amp;"+")-1),FIND("t",LEFT(AB78,FIND("+",AB78&amp;"+")-1))+1,2)^2*PI()/400,0)+IFERROR(LEFT(MID(AB78,FIND("+",AB78&amp;"+")+1,99),FIND("t",MID(AB78,FIND("+",AB78&amp;"+")+1,99))-1)*MID(MID(AB78,FIND("+",AB78&amp;"+")+1,99),FIND("t",MID(AB78,FIND("+",AB78&amp;"+")+1,99))+1,2)^2*PI()/400,0)</f>
        <v/>
      </c>
      <c r="AC79">
        <f>IFERROR(LEFT(LEFT(AC78,FIND("+",AC78&amp;"+")-1),FIND("t",LEFT(AC78,FIND("+",AC78&amp;"+")-1))-1)*MID(LEFT(AC78,FIND("+",AC78&amp;"+")-1),FIND("t",LEFT(AC78,FIND("+",AC78&amp;"+")-1))+1,2)^2*PI()/400,0)+IFERROR(LEFT(MID(AC78,FIND("+",AC78&amp;"+")+1,99),FIND("t",MID(AC78,FIND("+",AC78&amp;"+")+1,99))-1)*MID(MID(AC78,FIND("+",AC78&amp;"+")+1,99),FIND("t",MID(AC78,FIND("+",AC78&amp;"+")+1,99))+1,2)^2*PI()/400,0)</f>
        <v/>
      </c>
      <c r="AD79">
        <f>IFERROR(LEFT(LEFT(AD78,FIND("+",AD78&amp;"+")-1),FIND("t",LEFT(AD78,FIND("+",AD78&amp;"+")-1))-1)*MID(LEFT(AD78,FIND("+",AD78&amp;"+")-1),FIND("t",LEFT(AD78,FIND("+",AD78&amp;"+")-1))+1,2)^2*PI()/400,0)+IFERROR(LEFT(MID(AD78,FIND("+",AD78&amp;"+")+1,99),FIND("t",MID(AD78,FIND("+",AD78&amp;"+")+1,99))-1)*MID(MID(AD78,FIND("+",AD78&amp;"+")+1,99),FIND("t",MID(AD78,FIND("+",AD78&amp;"+")+1,99))+1,2)^2*PI()/400,0)</f>
        <v/>
      </c>
      <c r="AE79">
        <f>IFERROR(LEFT(LEFT(AE78,FIND("+",AE78&amp;"+")-1),FIND("t",LEFT(AE78,FIND("+",AE78&amp;"+")-1))-1)*MID(LEFT(AE78,FIND("+",AE78&amp;"+")-1),FIND("t",LEFT(AE78,FIND("+",AE78&amp;"+")-1))+1,2)^2*PI()/400,0)+IFERROR(LEFT(MID(AE78,FIND("+",AE78&amp;"+")+1,99),FIND("t",MID(AE78,FIND("+",AE78&amp;"+")+1,99))-1)*MID(MID(AE78,FIND("+",AE78&amp;"+")+1,99),FIND("t",MID(AE78,FIND("+",AE78&amp;"+")+1,99))+1,2)^2*PI()/400,0)</f>
        <v/>
      </c>
      <c r="AF79">
        <f>IFERROR(LEFT(LEFT(AF78,FIND("+",AF78&amp;"+")-1),FIND("t",LEFT(AF78,FIND("+",AF78&amp;"+")-1))-1)*MID(LEFT(AF78,FIND("+",AF78&amp;"+")-1),FIND("t",LEFT(AF78,FIND("+",AF78&amp;"+")-1))+1,2)^2*PI()/400,0)+IFERROR(LEFT(MID(AF78,FIND("+",AF78&amp;"+")+1,99),FIND("t",MID(AF78,FIND("+",AF78&amp;"+")+1,99))-1)*MID(MID(AF78,FIND("+",AF78&amp;"+")+1,99),FIND("t",MID(AF78,FIND("+",AF78&amp;"+")+1,99))+1,2)^2*PI()/400,0)</f>
        <v/>
      </c>
      <c r="AG79">
        <f>IFERROR(LEFT(LEFT(AG78,FIND("+",AG78&amp;"+")-1),FIND("t",LEFT(AG78,FIND("+",AG78&amp;"+")-1))-1)*MID(LEFT(AG78,FIND("+",AG78&amp;"+")-1),FIND("t",LEFT(AG78,FIND("+",AG78&amp;"+")-1))+1,2)^2*PI()/400,0)+IFERROR(LEFT(MID(AG78,FIND("+",AG78&amp;"+")+1,99),FIND("t",MID(AG78,FIND("+",AG78&amp;"+")+1,99))-1)*MID(MID(AG78,FIND("+",AG78&amp;"+")+1,99),FIND("t",MID(AG78,FIND("+",AG78&amp;"+")+1,99))+1,2)^2*PI()/400,0)</f>
        <v/>
      </c>
    </row>
    <row r="80" hidden="1" outlineLevel="1">
      <c r="A80" s="60" t="inlineStr">
        <is>
          <t>(phụ trợ) N_T3L</t>
        </is>
      </c>
      <c r="C80">
        <f>SUBSTITUTE(SUBSTITUTE(SUBSTITUTE(SUBSTITUTE(SUBSTITUTE(SUBSTITUTE(LOWER(IF(ISNUMBER(FIND(";",C15)),LEFT(C15,FIND(";",C15)-1),C15))," ",""),"%%c","t"),"ø","t"),"φ","t"),"f","t"),"d","t")</f>
        <v/>
      </c>
      <c r="D80">
        <f>SUBSTITUTE(SUBSTITUTE(SUBSTITUTE(SUBSTITUTE(SUBSTITUTE(SUBSTITUTE(LOWER(IF(ISNUMBER(FIND(";",D15)),LEFT(D15,FIND(";",D15)-1),D15))," ",""),"%%c","t"),"ø","t"),"φ","t"),"f","t"),"d","t")</f>
        <v/>
      </c>
      <c r="E80">
        <f>SUBSTITUTE(SUBSTITUTE(SUBSTITUTE(SUBSTITUTE(SUBSTITUTE(SUBSTITUTE(LOWER(IF(ISNUMBER(FIND(";",E15)),LEFT(E15,FIND(";",E15)-1),E15))," ",""),"%%c","t"),"ø","t"),"φ","t"),"f","t"),"d","t")</f>
        <v/>
      </c>
      <c r="F80">
        <f>SUBSTITUTE(SUBSTITUTE(SUBSTITUTE(SUBSTITUTE(SUBSTITUTE(SUBSTITUTE(LOWER(IF(ISNUMBER(FIND(";",F15)),LEFT(F15,FIND(";",F15)-1),F15))," ",""),"%%c","t"),"ø","t"),"φ","t"),"f","t"),"d","t")</f>
        <v/>
      </c>
      <c r="G80">
        <f>SUBSTITUTE(SUBSTITUTE(SUBSTITUTE(SUBSTITUTE(SUBSTITUTE(SUBSTITUTE(LOWER(IF(ISNUMBER(FIND(";",G15)),LEFT(G15,FIND(";",G15)-1),G15))," ",""),"%%c","t"),"ø","t"),"φ","t"),"f","t"),"d","t")</f>
        <v/>
      </c>
      <c r="H80">
        <f>SUBSTITUTE(SUBSTITUTE(SUBSTITUTE(SUBSTITUTE(SUBSTITUTE(SUBSTITUTE(LOWER(IF(ISNUMBER(FIND(";",H15)),LEFT(H15,FIND(";",H15)-1),H15))," ",""),"%%c","t"),"ø","t"),"φ","t"),"f","t"),"d","t")</f>
        <v/>
      </c>
      <c r="I80">
        <f>SUBSTITUTE(SUBSTITUTE(SUBSTITUTE(SUBSTITUTE(SUBSTITUTE(SUBSTITUTE(LOWER(IF(ISNUMBER(FIND(";",I15)),LEFT(I15,FIND(";",I15)-1),I15))," ",""),"%%c","t"),"ø","t"),"φ","t"),"f","t"),"d","t")</f>
        <v/>
      </c>
      <c r="J80">
        <f>SUBSTITUTE(SUBSTITUTE(SUBSTITUTE(SUBSTITUTE(SUBSTITUTE(SUBSTITUTE(LOWER(IF(ISNUMBER(FIND(";",J15)),LEFT(J15,FIND(";",J15)-1),J15))," ",""),"%%c","t"),"ø","t"),"φ","t"),"f","t"),"d","t")</f>
        <v/>
      </c>
      <c r="K80">
        <f>SUBSTITUTE(SUBSTITUTE(SUBSTITUTE(SUBSTITUTE(SUBSTITUTE(SUBSTITUTE(LOWER(IF(ISNUMBER(FIND(";",K15)),LEFT(K15,FIND(";",K15)-1),K15))," ",""),"%%c","t"),"ø","t"),"φ","t"),"f","t"),"d","t")</f>
        <v/>
      </c>
      <c r="L80">
        <f>SUBSTITUTE(SUBSTITUTE(SUBSTITUTE(SUBSTITUTE(SUBSTITUTE(SUBSTITUTE(LOWER(IF(ISNUMBER(FIND(";",L15)),LEFT(L15,FIND(";",L15)-1),L15))," ",""),"%%c","t"),"ø","t"),"φ","t"),"f","t"),"d","t")</f>
        <v/>
      </c>
      <c r="M80">
        <f>SUBSTITUTE(SUBSTITUTE(SUBSTITUTE(SUBSTITUTE(SUBSTITUTE(SUBSTITUTE(LOWER(IF(ISNUMBER(FIND(";",M15)),LEFT(M15,FIND(";",M15)-1),M15))," ",""),"%%c","t"),"ø","t"),"φ","t"),"f","t"),"d","t")</f>
        <v/>
      </c>
      <c r="N80">
        <f>SUBSTITUTE(SUBSTITUTE(SUBSTITUTE(SUBSTITUTE(SUBSTITUTE(SUBSTITUTE(LOWER(IF(ISNUMBER(FIND(";",N15)),LEFT(N15,FIND(";",N15)-1),N15))," ",""),"%%c","t"),"ø","t"),"φ","t"),"f","t"),"d","t")</f>
        <v/>
      </c>
      <c r="O80">
        <f>SUBSTITUTE(SUBSTITUTE(SUBSTITUTE(SUBSTITUTE(SUBSTITUTE(SUBSTITUTE(LOWER(IF(ISNUMBER(FIND(";",O15)),LEFT(O15,FIND(";",O15)-1),O15))," ",""),"%%c","t"),"ø","t"),"φ","t"),"f","t"),"d","t")</f>
        <v/>
      </c>
      <c r="P80">
        <f>SUBSTITUTE(SUBSTITUTE(SUBSTITUTE(SUBSTITUTE(SUBSTITUTE(SUBSTITUTE(LOWER(IF(ISNUMBER(FIND(";",P15)),LEFT(P15,FIND(";",P15)-1),P15))," ",""),"%%c","t"),"ø","t"),"φ","t"),"f","t"),"d","t")</f>
        <v/>
      </c>
      <c r="Q80">
        <f>SUBSTITUTE(SUBSTITUTE(SUBSTITUTE(SUBSTITUTE(SUBSTITUTE(SUBSTITUTE(LOWER(IF(ISNUMBER(FIND(";",Q15)),LEFT(Q15,FIND(";",Q15)-1),Q15))," ",""),"%%c","t"),"ø","t"),"φ","t"),"f","t"),"d","t")</f>
        <v/>
      </c>
      <c r="R80">
        <f>SUBSTITUTE(SUBSTITUTE(SUBSTITUTE(SUBSTITUTE(SUBSTITUTE(SUBSTITUTE(LOWER(IF(ISNUMBER(FIND(";",R15)),LEFT(R15,FIND(";",R15)-1),R15))," ",""),"%%c","t"),"ø","t"),"φ","t"),"f","t"),"d","t")</f>
        <v/>
      </c>
      <c r="S80">
        <f>SUBSTITUTE(SUBSTITUTE(SUBSTITUTE(SUBSTITUTE(SUBSTITUTE(SUBSTITUTE(LOWER(IF(ISNUMBER(FIND(";",S15)),LEFT(S15,FIND(";",S15)-1),S15))," ",""),"%%c","t"),"ø","t"),"φ","t"),"f","t"),"d","t")</f>
        <v/>
      </c>
      <c r="T80">
        <f>SUBSTITUTE(SUBSTITUTE(SUBSTITUTE(SUBSTITUTE(SUBSTITUTE(SUBSTITUTE(LOWER(IF(ISNUMBER(FIND(";",T15)),LEFT(T15,FIND(";",T15)-1),T15))," ",""),"%%c","t"),"ø","t"),"φ","t"),"f","t"),"d","t")</f>
        <v/>
      </c>
      <c r="U80">
        <f>SUBSTITUTE(SUBSTITUTE(SUBSTITUTE(SUBSTITUTE(SUBSTITUTE(SUBSTITUTE(LOWER(IF(ISNUMBER(FIND(";",U15)),LEFT(U15,FIND(";",U15)-1),U15))," ",""),"%%c","t"),"ø","t"),"φ","t"),"f","t"),"d","t")</f>
        <v/>
      </c>
      <c r="V80">
        <f>SUBSTITUTE(SUBSTITUTE(SUBSTITUTE(SUBSTITUTE(SUBSTITUTE(SUBSTITUTE(LOWER(IF(ISNUMBER(FIND(";",V15)),LEFT(V15,FIND(";",V15)-1),V15))," ",""),"%%c","t"),"ø","t"),"φ","t"),"f","t"),"d","t")</f>
        <v/>
      </c>
      <c r="W80">
        <f>SUBSTITUTE(SUBSTITUTE(SUBSTITUTE(SUBSTITUTE(SUBSTITUTE(SUBSTITUTE(LOWER(IF(ISNUMBER(FIND(";",W15)),LEFT(W15,FIND(";",W15)-1),W15))," ",""),"%%c","t"),"ø","t"),"φ","t"),"f","t"),"d","t")</f>
        <v/>
      </c>
      <c r="X80">
        <f>SUBSTITUTE(SUBSTITUTE(SUBSTITUTE(SUBSTITUTE(SUBSTITUTE(SUBSTITUTE(LOWER(IF(ISNUMBER(FIND(";",X15)),LEFT(X15,FIND(";",X15)-1),X15))," ",""),"%%c","t"),"ø","t"),"φ","t"),"f","t"),"d","t")</f>
        <v/>
      </c>
      <c r="Y80">
        <f>SUBSTITUTE(SUBSTITUTE(SUBSTITUTE(SUBSTITUTE(SUBSTITUTE(SUBSTITUTE(LOWER(IF(ISNUMBER(FIND(";",Y15)),LEFT(Y15,FIND(";",Y15)-1),Y15))," ",""),"%%c","t"),"ø","t"),"φ","t"),"f","t"),"d","t")</f>
        <v/>
      </c>
      <c r="Z80">
        <f>SUBSTITUTE(SUBSTITUTE(SUBSTITUTE(SUBSTITUTE(SUBSTITUTE(SUBSTITUTE(LOWER(IF(ISNUMBER(FIND(";",Z15)),LEFT(Z15,FIND(";",Z15)-1),Z15))," ",""),"%%c","t"),"ø","t"),"φ","t"),"f","t"),"d","t")</f>
        <v/>
      </c>
      <c r="AA80">
        <f>SUBSTITUTE(SUBSTITUTE(SUBSTITUTE(SUBSTITUTE(SUBSTITUTE(SUBSTITUTE(LOWER(IF(ISNUMBER(FIND(";",AA15)),LEFT(AA15,FIND(";",AA15)-1),AA15))," ",""),"%%c","t"),"ø","t"),"φ","t"),"f","t"),"d","t")</f>
        <v/>
      </c>
      <c r="AB80">
        <f>SUBSTITUTE(SUBSTITUTE(SUBSTITUTE(SUBSTITUTE(SUBSTITUTE(SUBSTITUTE(LOWER(IF(ISNUMBER(FIND(";",AB15)),LEFT(AB15,FIND(";",AB15)-1),AB15))," ",""),"%%c","t"),"ø","t"),"φ","t"),"f","t"),"d","t")</f>
        <v/>
      </c>
      <c r="AC80">
        <f>SUBSTITUTE(SUBSTITUTE(SUBSTITUTE(SUBSTITUTE(SUBSTITUTE(SUBSTITUTE(LOWER(IF(ISNUMBER(FIND(";",AC15)),LEFT(AC15,FIND(";",AC15)-1),AC15))," ",""),"%%c","t"),"ø","t"),"φ","t"),"f","t"),"d","t")</f>
        <v/>
      </c>
      <c r="AD80">
        <f>SUBSTITUTE(SUBSTITUTE(SUBSTITUTE(SUBSTITUTE(SUBSTITUTE(SUBSTITUTE(LOWER(IF(ISNUMBER(FIND(";",AD15)),LEFT(AD15,FIND(";",AD15)-1),AD15))," ",""),"%%c","t"),"ø","t"),"φ","t"),"f","t"),"d","t")</f>
        <v/>
      </c>
      <c r="AE80">
        <f>SUBSTITUTE(SUBSTITUTE(SUBSTITUTE(SUBSTITUTE(SUBSTITUTE(SUBSTITUTE(LOWER(IF(ISNUMBER(FIND(";",AE15)),LEFT(AE15,FIND(";",AE15)-1),AE15))," ",""),"%%c","t"),"ø","t"),"φ","t"),"f","t"),"d","t")</f>
        <v/>
      </c>
      <c r="AF80">
        <f>SUBSTITUTE(SUBSTITUTE(SUBSTITUTE(SUBSTITUTE(SUBSTITUTE(SUBSTITUTE(LOWER(IF(ISNUMBER(FIND(";",AF15)),LEFT(AF15,FIND(";",AF15)-1),AF15))," ",""),"%%c","t"),"ø","t"),"φ","t"),"f","t"),"d","t")</f>
        <v/>
      </c>
      <c r="AG80">
        <f>SUBSTITUTE(SUBSTITUTE(SUBSTITUTE(SUBSTITUTE(SUBSTITUTE(SUBSTITUTE(LOWER(IF(ISNUMBER(FIND(";",AG15)),LEFT(AG15,FIND(";",AG15)-1),AG15))," ",""),"%%c","t"),"ø","t"),"φ","t"),"f","t"),"d","t")</f>
        <v/>
      </c>
    </row>
    <row r="81" hidden="1" outlineLevel="1">
      <c r="A81" s="60" t="inlineStr">
        <is>
          <t>(phụ trợ) A_T3L</t>
        </is>
      </c>
      <c r="C81">
        <f>IFERROR(LEFT(LEFT(C80,FIND("+",C80&amp;"+")-1),FIND("t",LEFT(C80,FIND("+",C80&amp;"+")-1))-1)*MID(LEFT(C80,FIND("+",C80&amp;"+")-1),FIND("t",LEFT(C80,FIND("+",C80&amp;"+")-1))+1,2)^2*PI()/400,0)+IFERROR(LEFT(MID(C80,FIND("+",C80&amp;"+")+1,99),FIND("t",MID(C80,FIND("+",C80&amp;"+")+1,99))-1)*MID(MID(C80,FIND("+",C80&amp;"+")+1,99),FIND("t",MID(C80,FIND("+",C80&amp;"+")+1,99))+1,2)^2*PI()/400,0)</f>
        <v/>
      </c>
      <c r="D81">
        <f>IFERROR(LEFT(LEFT(D80,FIND("+",D80&amp;"+")-1),FIND("t",LEFT(D80,FIND("+",D80&amp;"+")-1))-1)*MID(LEFT(D80,FIND("+",D80&amp;"+")-1),FIND("t",LEFT(D80,FIND("+",D80&amp;"+")-1))+1,2)^2*PI()/400,0)+IFERROR(LEFT(MID(D80,FIND("+",D80&amp;"+")+1,99),FIND("t",MID(D80,FIND("+",D80&amp;"+")+1,99))-1)*MID(MID(D80,FIND("+",D80&amp;"+")+1,99),FIND("t",MID(D80,FIND("+",D80&amp;"+")+1,99))+1,2)^2*PI()/400,0)</f>
        <v/>
      </c>
      <c r="E81">
        <f>IFERROR(LEFT(LEFT(E80,FIND("+",E80&amp;"+")-1),FIND("t",LEFT(E80,FIND("+",E80&amp;"+")-1))-1)*MID(LEFT(E80,FIND("+",E80&amp;"+")-1),FIND("t",LEFT(E80,FIND("+",E80&amp;"+")-1))+1,2)^2*PI()/400,0)+IFERROR(LEFT(MID(E80,FIND("+",E80&amp;"+")+1,99),FIND("t",MID(E80,FIND("+",E80&amp;"+")+1,99))-1)*MID(MID(E80,FIND("+",E80&amp;"+")+1,99),FIND("t",MID(E80,FIND("+",E80&amp;"+")+1,99))+1,2)^2*PI()/400,0)</f>
        <v/>
      </c>
      <c r="F81">
        <f>IFERROR(LEFT(LEFT(F80,FIND("+",F80&amp;"+")-1),FIND("t",LEFT(F80,FIND("+",F80&amp;"+")-1))-1)*MID(LEFT(F80,FIND("+",F80&amp;"+")-1),FIND("t",LEFT(F80,FIND("+",F80&amp;"+")-1))+1,2)^2*PI()/400,0)+IFERROR(LEFT(MID(F80,FIND("+",F80&amp;"+")+1,99),FIND("t",MID(F80,FIND("+",F80&amp;"+")+1,99))-1)*MID(MID(F80,FIND("+",F80&amp;"+")+1,99),FIND("t",MID(F80,FIND("+",F80&amp;"+")+1,99))+1,2)^2*PI()/400,0)</f>
        <v/>
      </c>
      <c r="G81">
        <f>IFERROR(LEFT(LEFT(G80,FIND("+",G80&amp;"+")-1),FIND("t",LEFT(G80,FIND("+",G80&amp;"+")-1))-1)*MID(LEFT(G80,FIND("+",G80&amp;"+")-1),FIND("t",LEFT(G80,FIND("+",G80&amp;"+")-1))+1,2)^2*PI()/400,0)+IFERROR(LEFT(MID(G80,FIND("+",G80&amp;"+")+1,99),FIND("t",MID(G80,FIND("+",G80&amp;"+")+1,99))-1)*MID(MID(G80,FIND("+",G80&amp;"+")+1,99),FIND("t",MID(G80,FIND("+",G80&amp;"+")+1,99))+1,2)^2*PI()/400,0)</f>
        <v/>
      </c>
      <c r="H81">
        <f>IFERROR(LEFT(LEFT(H80,FIND("+",H80&amp;"+")-1),FIND("t",LEFT(H80,FIND("+",H80&amp;"+")-1))-1)*MID(LEFT(H80,FIND("+",H80&amp;"+")-1),FIND("t",LEFT(H80,FIND("+",H80&amp;"+")-1))+1,2)^2*PI()/400,0)+IFERROR(LEFT(MID(H80,FIND("+",H80&amp;"+")+1,99),FIND("t",MID(H80,FIND("+",H80&amp;"+")+1,99))-1)*MID(MID(H80,FIND("+",H80&amp;"+")+1,99),FIND("t",MID(H80,FIND("+",H80&amp;"+")+1,99))+1,2)^2*PI()/400,0)</f>
        <v/>
      </c>
      <c r="I81">
        <f>IFERROR(LEFT(LEFT(I80,FIND("+",I80&amp;"+")-1),FIND("t",LEFT(I80,FIND("+",I80&amp;"+")-1))-1)*MID(LEFT(I80,FIND("+",I80&amp;"+")-1),FIND("t",LEFT(I80,FIND("+",I80&amp;"+")-1))+1,2)^2*PI()/400,0)+IFERROR(LEFT(MID(I80,FIND("+",I80&amp;"+")+1,99),FIND("t",MID(I80,FIND("+",I80&amp;"+")+1,99))-1)*MID(MID(I80,FIND("+",I80&amp;"+")+1,99),FIND("t",MID(I80,FIND("+",I80&amp;"+")+1,99))+1,2)^2*PI()/400,0)</f>
        <v/>
      </c>
      <c r="J81">
        <f>IFERROR(LEFT(LEFT(J80,FIND("+",J80&amp;"+")-1),FIND("t",LEFT(J80,FIND("+",J80&amp;"+")-1))-1)*MID(LEFT(J80,FIND("+",J80&amp;"+")-1),FIND("t",LEFT(J80,FIND("+",J80&amp;"+")-1))+1,2)^2*PI()/400,0)+IFERROR(LEFT(MID(J80,FIND("+",J80&amp;"+")+1,99),FIND("t",MID(J80,FIND("+",J80&amp;"+")+1,99))-1)*MID(MID(J80,FIND("+",J80&amp;"+")+1,99),FIND("t",MID(J80,FIND("+",J80&amp;"+")+1,99))+1,2)^2*PI()/400,0)</f>
        <v/>
      </c>
      <c r="K81">
        <f>IFERROR(LEFT(LEFT(K80,FIND("+",K80&amp;"+")-1),FIND("t",LEFT(K80,FIND("+",K80&amp;"+")-1))-1)*MID(LEFT(K80,FIND("+",K80&amp;"+")-1),FIND("t",LEFT(K80,FIND("+",K80&amp;"+")-1))+1,2)^2*PI()/400,0)+IFERROR(LEFT(MID(K80,FIND("+",K80&amp;"+")+1,99),FIND("t",MID(K80,FIND("+",K80&amp;"+")+1,99))-1)*MID(MID(K80,FIND("+",K80&amp;"+")+1,99),FIND("t",MID(K80,FIND("+",K80&amp;"+")+1,99))+1,2)^2*PI()/400,0)</f>
        <v/>
      </c>
      <c r="L81">
        <f>IFERROR(LEFT(LEFT(L80,FIND("+",L80&amp;"+")-1),FIND("t",LEFT(L80,FIND("+",L80&amp;"+")-1))-1)*MID(LEFT(L80,FIND("+",L80&amp;"+")-1),FIND("t",LEFT(L80,FIND("+",L80&amp;"+")-1))+1,2)^2*PI()/400,0)+IFERROR(LEFT(MID(L80,FIND("+",L80&amp;"+")+1,99),FIND("t",MID(L80,FIND("+",L80&amp;"+")+1,99))-1)*MID(MID(L80,FIND("+",L80&amp;"+")+1,99),FIND("t",MID(L80,FIND("+",L80&amp;"+")+1,99))+1,2)^2*PI()/400,0)</f>
        <v/>
      </c>
      <c r="M81">
        <f>IFERROR(LEFT(LEFT(M80,FIND("+",M80&amp;"+")-1),FIND("t",LEFT(M80,FIND("+",M80&amp;"+")-1))-1)*MID(LEFT(M80,FIND("+",M80&amp;"+")-1),FIND("t",LEFT(M80,FIND("+",M80&amp;"+")-1))+1,2)^2*PI()/400,0)+IFERROR(LEFT(MID(M80,FIND("+",M80&amp;"+")+1,99),FIND("t",MID(M80,FIND("+",M80&amp;"+")+1,99))-1)*MID(MID(M80,FIND("+",M80&amp;"+")+1,99),FIND("t",MID(M80,FIND("+",M80&amp;"+")+1,99))+1,2)^2*PI()/400,0)</f>
        <v/>
      </c>
      <c r="N81">
        <f>IFERROR(LEFT(LEFT(N80,FIND("+",N80&amp;"+")-1),FIND("t",LEFT(N80,FIND("+",N80&amp;"+")-1))-1)*MID(LEFT(N80,FIND("+",N80&amp;"+")-1),FIND("t",LEFT(N80,FIND("+",N80&amp;"+")-1))+1,2)^2*PI()/400,0)+IFERROR(LEFT(MID(N80,FIND("+",N80&amp;"+")+1,99),FIND("t",MID(N80,FIND("+",N80&amp;"+")+1,99))-1)*MID(MID(N80,FIND("+",N80&amp;"+")+1,99),FIND("t",MID(N80,FIND("+",N80&amp;"+")+1,99))+1,2)^2*PI()/400,0)</f>
        <v/>
      </c>
      <c r="O81">
        <f>IFERROR(LEFT(LEFT(O80,FIND("+",O80&amp;"+")-1),FIND("t",LEFT(O80,FIND("+",O80&amp;"+")-1))-1)*MID(LEFT(O80,FIND("+",O80&amp;"+")-1),FIND("t",LEFT(O80,FIND("+",O80&amp;"+")-1))+1,2)^2*PI()/400,0)+IFERROR(LEFT(MID(O80,FIND("+",O80&amp;"+")+1,99),FIND("t",MID(O80,FIND("+",O80&amp;"+")+1,99))-1)*MID(MID(O80,FIND("+",O80&amp;"+")+1,99),FIND("t",MID(O80,FIND("+",O80&amp;"+")+1,99))+1,2)^2*PI()/400,0)</f>
        <v/>
      </c>
      <c r="P81">
        <f>IFERROR(LEFT(LEFT(P80,FIND("+",P80&amp;"+")-1),FIND("t",LEFT(P80,FIND("+",P80&amp;"+")-1))-1)*MID(LEFT(P80,FIND("+",P80&amp;"+")-1),FIND("t",LEFT(P80,FIND("+",P80&amp;"+")-1))+1,2)^2*PI()/400,0)+IFERROR(LEFT(MID(P80,FIND("+",P80&amp;"+")+1,99),FIND("t",MID(P80,FIND("+",P80&amp;"+")+1,99))-1)*MID(MID(P80,FIND("+",P80&amp;"+")+1,99),FIND("t",MID(P80,FIND("+",P80&amp;"+")+1,99))+1,2)^2*PI()/400,0)</f>
        <v/>
      </c>
      <c r="Q81">
        <f>IFERROR(LEFT(LEFT(Q80,FIND("+",Q80&amp;"+")-1),FIND("t",LEFT(Q80,FIND("+",Q80&amp;"+")-1))-1)*MID(LEFT(Q80,FIND("+",Q80&amp;"+")-1),FIND("t",LEFT(Q80,FIND("+",Q80&amp;"+")-1))+1,2)^2*PI()/400,0)+IFERROR(LEFT(MID(Q80,FIND("+",Q80&amp;"+")+1,99),FIND("t",MID(Q80,FIND("+",Q80&amp;"+")+1,99))-1)*MID(MID(Q80,FIND("+",Q80&amp;"+")+1,99),FIND("t",MID(Q80,FIND("+",Q80&amp;"+")+1,99))+1,2)^2*PI()/400,0)</f>
        <v/>
      </c>
      <c r="R81">
        <f>IFERROR(LEFT(LEFT(R80,FIND("+",R80&amp;"+")-1),FIND("t",LEFT(R80,FIND("+",R80&amp;"+")-1))-1)*MID(LEFT(R80,FIND("+",R80&amp;"+")-1),FIND("t",LEFT(R80,FIND("+",R80&amp;"+")-1))+1,2)^2*PI()/400,0)+IFERROR(LEFT(MID(R80,FIND("+",R80&amp;"+")+1,99),FIND("t",MID(R80,FIND("+",R80&amp;"+")+1,99))-1)*MID(MID(R80,FIND("+",R80&amp;"+")+1,99),FIND("t",MID(R80,FIND("+",R80&amp;"+")+1,99))+1,2)^2*PI()/400,0)</f>
        <v/>
      </c>
      <c r="S81">
        <f>IFERROR(LEFT(LEFT(S80,FIND("+",S80&amp;"+")-1),FIND("t",LEFT(S80,FIND("+",S80&amp;"+")-1))-1)*MID(LEFT(S80,FIND("+",S80&amp;"+")-1),FIND("t",LEFT(S80,FIND("+",S80&amp;"+")-1))+1,2)^2*PI()/400,0)+IFERROR(LEFT(MID(S80,FIND("+",S80&amp;"+")+1,99),FIND("t",MID(S80,FIND("+",S80&amp;"+")+1,99))-1)*MID(MID(S80,FIND("+",S80&amp;"+")+1,99),FIND("t",MID(S80,FIND("+",S80&amp;"+")+1,99))+1,2)^2*PI()/400,0)</f>
        <v/>
      </c>
      <c r="T81">
        <f>IFERROR(LEFT(LEFT(T80,FIND("+",T80&amp;"+")-1),FIND("t",LEFT(T80,FIND("+",T80&amp;"+")-1))-1)*MID(LEFT(T80,FIND("+",T80&amp;"+")-1),FIND("t",LEFT(T80,FIND("+",T80&amp;"+")-1))+1,2)^2*PI()/400,0)+IFERROR(LEFT(MID(T80,FIND("+",T80&amp;"+")+1,99),FIND("t",MID(T80,FIND("+",T80&amp;"+")+1,99))-1)*MID(MID(T80,FIND("+",T80&amp;"+")+1,99),FIND("t",MID(T80,FIND("+",T80&amp;"+")+1,99))+1,2)^2*PI()/400,0)</f>
        <v/>
      </c>
      <c r="U81">
        <f>IFERROR(LEFT(LEFT(U80,FIND("+",U80&amp;"+")-1),FIND("t",LEFT(U80,FIND("+",U80&amp;"+")-1))-1)*MID(LEFT(U80,FIND("+",U80&amp;"+")-1),FIND("t",LEFT(U80,FIND("+",U80&amp;"+")-1))+1,2)^2*PI()/400,0)+IFERROR(LEFT(MID(U80,FIND("+",U80&amp;"+")+1,99),FIND("t",MID(U80,FIND("+",U80&amp;"+")+1,99))-1)*MID(MID(U80,FIND("+",U80&amp;"+")+1,99),FIND("t",MID(U80,FIND("+",U80&amp;"+")+1,99))+1,2)^2*PI()/400,0)</f>
        <v/>
      </c>
      <c r="V81">
        <f>IFERROR(LEFT(LEFT(V80,FIND("+",V80&amp;"+")-1),FIND("t",LEFT(V80,FIND("+",V80&amp;"+")-1))-1)*MID(LEFT(V80,FIND("+",V80&amp;"+")-1),FIND("t",LEFT(V80,FIND("+",V80&amp;"+")-1))+1,2)^2*PI()/400,0)+IFERROR(LEFT(MID(V80,FIND("+",V80&amp;"+")+1,99),FIND("t",MID(V80,FIND("+",V80&amp;"+")+1,99))-1)*MID(MID(V80,FIND("+",V80&amp;"+")+1,99),FIND("t",MID(V80,FIND("+",V80&amp;"+")+1,99))+1,2)^2*PI()/400,0)</f>
        <v/>
      </c>
      <c r="W81">
        <f>IFERROR(LEFT(LEFT(W80,FIND("+",W80&amp;"+")-1),FIND("t",LEFT(W80,FIND("+",W80&amp;"+")-1))-1)*MID(LEFT(W80,FIND("+",W80&amp;"+")-1),FIND("t",LEFT(W80,FIND("+",W80&amp;"+")-1))+1,2)^2*PI()/400,0)+IFERROR(LEFT(MID(W80,FIND("+",W80&amp;"+")+1,99),FIND("t",MID(W80,FIND("+",W80&amp;"+")+1,99))-1)*MID(MID(W80,FIND("+",W80&amp;"+")+1,99),FIND("t",MID(W80,FIND("+",W80&amp;"+")+1,99))+1,2)^2*PI()/400,0)</f>
        <v/>
      </c>
      <c r="X81">
        <f>IFERROR(LEFT(LEFT(X80,FIND("+",X80&amp;"+")-1),FIND("t",LEFT(X80,FIND("+",X80&amp;"+")-1))-1)*MID(LEFT(X80,FIND("+",X80&amp;"+")-1),FIND("t",LEFT(X80,FIND("+",X80&amp;"+")-1))+1,2)^2*PI()/400,0)+IFERROR(LEFT(MID(X80,FIND("+",X80&amp;"+")+1,99),FIND("t",MID(X80,FIND("+",X80&amp;"+")+1,99))-1)*MID(MID(X80,FIND("+",X80&amp;"+")+1,99),FIND("t",MID(X80,FIND("+",X80&amp;"+")+1,99))+1,2)^2*PI()/400,0)</f>
        <v/>
      </c>
      <c r="Y81">
        <f>IFERROR(LEFT(LEFT(Y80,FIND("+",Y80&amp;"+")-1),FIND("t",LEFT(Y80,FIND("+",Y80&amp;"+")-1))-1)*MID(LEFT(Y80,FIND("+",Y80&amp;"+")-1),FIND("t",LEFT(Y80,FIND("+",Y80&amp;"+")-1))+1,2)^2*PI()/400,0)+IFERROR(LEFT(MID(Y80,FIND("+",Y80&amp;"+")+1,99),FIND("t",MID(Y80,FIND("+",Y80&amp;"+")+1,99))-1)*MID(MID(Y80,FIND("+",Y80&amp;"+")+1,99),FIND("t",MID(Y80,FIND("+",Y80&amp;"+")+1,99))+1,2)^2*PI()/400,0)</f>
        <v/>
      </c>
      <c r="Z81">
        <f>IFERROR(LEFT(LEFT(Z80,FIND("+",Z80&amp;"+")-1),FIND("t",LEFT(Z80,FIND("+",Z80&amp;"+")-1))-1)*MID(LEFT(Z80,FIND("+",Z80&amp;"+")-1),FIND("t",LEFT(Z80,FIND("+",Z80&amp;"+")-1))+1,2)^2*PI()/400,0)+IFERROR(LEFT(MID(Z80,FIND("+",Z80&amp;"+")+1,99),FIND("t",MID(Z80,FIND("+",Z80&amp;"+")+1,99))-1)*MID(MID(Z80,FIND("+",Z80&amp;"+")+1,99),FIND("t",MID(Z80,FIND("+",Z80&amp;"+")+1,99))+1,2)^2*PI()/400,0)</f>
        <v/>
      </c>
      <c r="AA81">
        <f>IFERROR(LEFT(LEFT(AA80,FIND("+",AA80&amp;"+")-1),FIND("t",LEFT(AA80,FIND("+",AA80&amp;"+")-1))-1)*MID(LEFT(AA80,FIND("+",AA80&amp;"+")-1),FIND("t",LEFT(AA80,FIND("+",AA80&amp;"+")-1))+1,2)^2*PI()/400,0)+IFERROR(LEFT(MID(AA80,FIND("+",AA80&amp;"+")+1,99),FIND("t",MID(AA80,FIND("+",AA80&amp;"+")+1,99))-1)*MID(MID(AA80,FIND("+",AA80&amp;"+")+1,99),FIND("t",MID(AA80,FIND("+",AA80&amp;"+")+1,99))+1,2)^2*PI()/400,0)</f>
        <v/>
      </c>
      <c r="AB81">
        <f>IFERROR(LEFT(LEFT(AB80,FIND("+",AB80&amp;"+")-1),FIND("t",LEFT(AB80,FIND("+",AB80&amp;"+")-1))-1)*MID(LEFT(AB80,FIND("+",AB80&amp;"+")-1),FIND("t",LEFT(AB80,FIND("+",AB80&amp;"+")-1))+1,2)^2*PI()/400,0)+IFERROR(LEFT(MID(AB80,FIND("+",AB80&amp;"+")+1,99),FIND("t",MID(AB80,FIND("+",AB80&amp;"+")+1,99))-1)*MID(MID(AB80,FIND("+",AB80&amp;"+")+1,99),FIND("t",MID(AB80,FIND("+",AB80&amp;"+")+1,99))+1,2)^2*PI()/400,0)</f>
        <v/>
      </c>
      <c r="AC81">
        <f>IFERROR(LEFT(LEFT(AC80,FIND("+",AC80&amp;"+")-1),FIND("t",LEFT(AC80,FIND("+",AC80&amp;"+")-1))-1)*MID(LEFT(AC80,FIND("+",AC80&amp;"+")-1),FIND("t",LEFT(AC80,FIND("+",AC80&amp;"+")-1))+1,2)^2*PI()/400,0)+IFERROR(LEFT(MID(AC80,FIND("+",AC80&amp;"+")+1,99),FIND("t",MID(AC80,FIND("+",AC80&amp;"+")+1,99))-1)*MID(MID(AC80,FIND("+",AC80&amp;"+")+1,99),FIND("t",MID(AC80,FIND("+",AC80&amp;"+")+1,99))+1,2)^2*PI()/400,0)</f>
        <v/>
      </c>
      <c r="AD81">
        <f>IFERROR(LEFT(LEFT(AD80,FIND("+",AD80&amp;"+")-1),FIND("t",LEFT(AD80,FIND("+",AD80&amp;"+")-1))-1)*MID(LEFT(AD80,FIND("+",AD80&amp;"+")-1),FIND("t",LEFT(AD80,FIND("+",AD80&amp;"+")-1))+1,2)^2*PI()/400,0)+IFERROR(LEFT(MID(AD80,FIND("+",AD80&amp;"+")+1,99),FIND("t",MID(AD80,FIND("+",AD80&amp;"+")+1,99))-1)*MID(MID(AD80,FIND("+",AD80&amp;"+")+1,99),FIND("t",MID(AD80,FIND("+",AD80&amp;"+")+1,99))+1,2)^2*PI()/400,0)</f>
        <v/>
      </c>
      <c r="AE81">
        <f>IFERROR(LEFT(LEFT(AE80,FIND("+",AE80&amp;"+")-1),FIND("t",LEFT(AE80,FIND("+",AE80&amp;"+")-1))-1)*MID(LEFT(AE80,FIND("+",AE80&amp;"+")-1),FIND("t",LEFT(AE80,FIND("+",AE80&amp;"+")-1))+1,2)^2*PI()/400,0)+IFERROR(LEFT(MID(AE80,FIND("+",AE80&amp;"+")+1,99),FIND("t",MID(AE80,FIND("+",AE80&amp;"+")+1,99))-1)*MID(MID(AE80,FIND("+",AE80&amp;"+")+1,99),FIND("t",MID(AE80,FIND("+",AE80&amp;"+")+1,99))+1,2)^2*PI()/400,0)</f>
        <v/>
      </c>
      <c r="AF81">
        <f>IFERROR(LEFT(LEFT(AF80,FIND("+",AF80&amp;"+")-1),FIND("t",LEFT(AF80,FIND("+",AF80&amp;"+")-1))-1)*MID(LEFT(AF80,FIND("+",AF80&amp;"+")-1),FIND("t",LEFT(AF80,FIND("+",AF80&amp;"+")-1))+1,2)^2*PI()/400,0)+IFERROR(LEFT(MID(AF80,FIND("+",AF80&amp;"+")+1,99),FIND("t",MID(AF80,FIND("+",AF80&amp;"+")+1,99))-1)*MID(MID(AF80,FIND("+",AF80&amp;"+")+1,99),FIND("t",MID(AF80,FIND("+",AF80&amp;"+")+1,99))+1,2)^2*PI()/400,0)</f>
        <v/>
      </c>
      <c r="AG81">
        <f>IFERROR(LEFT(LEFT(AG80,FIND("+",AG80&amp;"+")-1),FIND("t",LEFT(AG80,FIND("+",AG80&amp;"+")-1))-1)*MID(LEFT(AG80,FIND("+",AG80&amp;"+")-1),FIND("t",LEFT(AG80,FIND("+",AG80&amp;"+")-1))+1,2)^2*PI()/400,0)+IFERROR(LEFT(MID(AG80,FIND("+",AG80&amp;"+")+1,99),FIND("t",MID(AG80,FIND("+",AG80&amp;"+")+1,99))-1)*MID(MID(AG80,FIND("+",AG80&amp;"+")+1,99),FIND("t",MID(AG80,FIND("+",AG80&amp;"+")+1,99))+1,2)^2*PI()/400,0)</f>
        <v/>
      </c>
    </row>
    <row r="82" hidden="1" outlineLevel="1">
      <c r="A82" s="60" t="inlineStr">
        <is>
          <t>(phụ trợ) N_T3R</t>
        </is>
      </c>
      <c r="C82">
        <f>SUBSTITUTE(SUBSTITUTE(SUBSTITUTE(SUBSTITUTE(SUBSTITUTE(SUBSTITUTE(LOWER(IF(ISNUMBER(FIND(";",C15)),MID(C15,FIND(";",C15)+1,99),C15))," ",""),"%%c","t"),"ø","t"),"φ","t"),"f","t"),"d","t")</f>
        <v/>
      </c>
      <c r="D82">
        <f>SUBSTITUTE(SUBSTITUTE(SUBSTITUTE(SUBSTITUTE(SUBSTITUTE(SUBSTITUTE(LOWER(IF(ISNUMBER(FIND(";",D15)),MID(D15,FIND(";",D15)+1,99),D15))," ",""),"%%c","t"),"ø","t"),"φ","t"),"f","t"),"d","t")</f>
        <v/>
      </c>
      <c r="E82">
        <f>SUBSTITUTE(SUBSTITUTE(SUBSTITUTE(SUBSTITUTE(SUBSTITUTE(SUBSTITUTE(LOWER(IF(ISNUMBER(FIND(";",E15)),MID(E15,FIND(";",E15)+1,99),E15))," ",""),"%%c","t"),"ø","t"),"φ","t"),"f","t"),"d","t")</f>
        <v/>
      </c>
      <c r="F82">
        <f>SUBSTITUTE(SUBSTITUTE(SUBSTITUTE(SUBSTITUTE(SUBSTITUTE(SUBSTITUTE(LOWER(IF(ISNUMBER(FIND(";",F15)),MID(F15,FIND(";",F15)+1,99),F15))," ",""),"%%c","t"),"ø","t"),"φ","t"),"f","t"),"d","t")</f>
        <v/>
      </c>
      <c r="G82">
        <f>SUBSTITUTE(SUBSTITUTE(SUBSTITUTE(SUBSTITUTE(SUBSTITUTE(SUBSTITUTE(LOWER(IF(ISNUMBER(FIND(";",G15)),MID(G15,FIND(";",G15)+1,99),G15))," ",""),"%%c","t"),"ø","t"),"φ","t"),"f","t"),"d","t")</f>
        <v/>
      </c>
      <c r="H82">
        <f>SUBSTITUTE(SUBSTITUTE(SUBSTITUTE(SUBSTITUTE(SUBSTITUTE(SUBSTITUTE(LOWER(IF(ISNUMBER(FIND(";",H15)),MID(H15,FIND(";",H15)+1,99),H15))," ",""),"%%c","t"),"ø","t"),"φ","t"),"f","t"),"d","t")</f>
        <v/>
      </c>
      <c r="I82">
        <f>SUBSTITUTE(SUBSTITUTE(SUBSTITUTE(SUBSTITUTE(SUBSTITUTE(SUBSTITUTE(LOWER(IF(ISNUMBER(FIND(";",I15)),MID(I15,FIND(";",I15)+1,99),I15))," ",""),"%%c","t"),"ø","t"),"φ","t"),"f","t"),"d","t")</f>
        <v/>
      </c>
      <c r="J82">
        <f>SUBSTITUTE(SUBSTITUTE(SUBSTITUTE(SUBSTITUTE(SUBSTITUTE(SUBSTITUTE(LOWER(IF(ISNUMBER(FIND(";",J15)),MID(J15,FIND(";",J15)+1,99),J15))," ",""),"%%c","t"),"ø","t"),"φ","t"),"f","t"),"d","t")</f>
        <v/>
      </c>
      <c r="K82">
        <f>SUBSTITUTE(SUBSTITUTE(SUBSTITUTE(SUBSTITUTE(SUBSTITUTE(SUBSTITUTE(LOWER(IF(ISNUMBER(FIND(";",K15)),MID(K15,FIND(";",K15)+1,99),K15))," ",""),"%%c","t"),"ø","t"),"φ","t"),"f","t"),"d","t")</f>
        <v/>
      </c>
      <c r="L82">
        <f>SUBSTITUTE(SUBSTITUTE(SUBSTITUTE(SUBSTITUTE(SUBSTITUTE(SUBSTITUTE(LOWER(IF(ISNUMBER(FIND(";",L15)),MID(L15,FIND(";",L15)+1,99),L15))," ",""),"%%c","t"),"ø","t"),"φ","t"),"f","t"),"d","t")</f>
        <v/>
      </c>
      <c r="M82">
        <f>SUBSTITUTE(SUBSTITUTE(SUBSTITUTE(SUBSTITUTE(SUBSTITUTE(SUBSTITUTE(LOWER(IF(ISNUMBER(FIND(";",M15)),MID(M15,FIND(";",M15)+1,99),M15))," ",""),"%%c","t"),"ø","t"),"φ","t"),"f","t"),"d","t")</f>
        <v/>
      </c>
      <c r="N82">
        <f>SUBSTITUTE(SUBSTITUTE(SUBSTITUTE(SUBSTITUTE(SUBSTITUTE(SUBSTITUTE(LOWER(IF(ISNUMBER(FIND(";",N15)),MID(N15,FIND(";",N15)+1,99),N15))," ",""),"%%c","t"),"ø","t"),"φ","t"),"f","t"),"d","t")</f>
        <v/>
      </c>
      <c r="O82">
        <f>SUBSTITUTE(SUBSTITUTE(SUBSTITUTE(SUBSTITUTE(SUBSTITUTE(SUBSTITUTE(LOWER(IF(ISNUMBER(FIND(";",O15)),MID(O15,FIND(";",O15)+1,99),O15))," ",""),"%%c","t"),"ø","t"),"φ","t"),"f","t"),"d","t")</f>
        <v/>
      </c>
      <c r="P82">
        <f>SUBSTITUTE(SUBSTITUTE(SUBSTITUTE(SUBSTITUTE(SUBSTITUTE(SUBSTITUTE(LOWER(IF(ISNUMBER(FIND(";",P15)),MID(P15,FIND(";",P15)+1,99),P15))," ",""),"%%c","t"),"ø","t"),"φ","t"),"f","t"),"d","t")</f>
        <v/>
      </c>
      <c r="Q82">
        <f>SUBSTITUTE(SUBSTITUTE(SUBSTITUTE(SUBSTITUTE(SUBSTITUTE(SUBSTITUTE(LOWER(IF(ISNUMBER(FIND(";",Q15)),MID(Q15,FIND(";",Q15)+1,99),Q15))," ",""),"%%c","t"),"ø","t"),"φ","t"),"f","t"),"d","t")</f>
        <v/>
      </c>
      <c r="R82">
        <f>SUBSTITUTE(SUBSTITUTE(SUBSTITUTE(SUBSTITUTE(SUBSTITUTE(SUBSTITUTE(LOWER(IF(ISNUMBER(FIND(";",R15)),MID(R15,FIND(";",R15)+1,99),R15))," ",""),"%%c","t"),"ø","t"),"φ","t"),"f","t"),"d","t")</f>
        <v/>
      </c>
      <c r="S82">
        <f>SUBSTITUTE(SUBSTITUTE(SUBSTITUTE(SUBSTITUTE(SUBSTITUTE(SUBSTITUTE(LOWER(IF(ISNUMBER(FIND(";",S15)),MID(S15,FIND(";",S15)+1,99),S15))," ",""),"%%c","t"),"ø","t"),"φ","t"),"f","t"),"d","t")</f>
        <v/>
      </c>
      <c r="T82">
        <f>SUBSTITUTE(SUBSTITUTE(SUBSTITUTE(SUBSTITUTE(SUBSTITUTE(SUBSTITUTE(LOWER(IF(ISNUMBER(FIND(";",T15)),MID(T15,FIND(";",T15)+1,99),T15))," ",""),"%%c","t"),"ø","t"),"φ","t"),"f","t"),"d","t")</f>
        <v/>
      </c>
      <c r="U82">
        <f>SUBSTITUTE(SUBSTITUTE(SUBSTITUTE(SUBSTITUTE(SUBSTITUTE(SUBSTITUTE(LOWER(IF(ISNUMBER(FIND(";",U15)),MID(U15,FIND(";",U15)+1,99),U15))," ",""),"%%c","t"),"ø","t"),"φ","t"),"f","t"),"d","t")</f>
        <v/>
      </c>
      <c r="V82">
        <f>SUBSTITUTE(SUBSTITUTE(SUBSTITUTE(SUBSTITUTE(SUBSTITUTE(SUBSTITUTE(LOWER(IF(ISNUMBER(FIND(";",V15)),MID(V15,FIND(";",V15)+1,99),V15))," ",""),"%%c","t"),"ø","t"),"φ","t"),"f","t"),"d","t")</f>
        <v/>
      </c>
      <c r="W82">
        <f>SUBSTITUTE(SUBSTITUTE(SUBSTITUTE(SUBSTITUTE(SUBSTITUTE(SUBSTITUTE(LOWER(IF(ISNUMBER(FIND(";",W15)),MID(W15,FIND(";",W15)+1,99),W15))," ",""),"%%c","t"),"ø","t"),"φ","t"),"f","t"),"d","t")</f>
        <v/>
      </c>
      <c r="X82">
        <f>SUBSTITUTE(SUBSTITUTE(SUBSTITUTE(SUBSTITUTE(SUBSTITUTE(SUBSTITUTE(LOWER(IF(ISNUMBER(FIND(";",X15)),MID(X15,FIND(";",X15)+1,99),X15))," ",""),"%%c","t"),"ø","t"),"φ","t"),"f","t"),"d","t")</f>
        <v/>
      </c>
      <c r="Y82">
        <f>SUBSTITUTE(SUBSTITUTE(SUBSTITUTE(SUBSTITUTE(SUBSTITUTE(SUBSTITUTE(LOWER(IF(ISNUMBER(FIND(";",Y15)),MID(Y15,FIND(";",Y15)+1,99),Y15))," ",""),"%%c","t"),"ø","t"),"φ","t"),"f","t"),"d","t")</f>
        <v/>
      </c>
      <c r="Z82">
        <f>SUBSTITUTE(SUBSTITUTE(SUBSTITUTE(SUBSTITUTE(SUBSTITUTE(SUBSTITUTE(LOWER(IF(ISNUMBER(FIND(";",Z15)),MID(Z15,FIND(";",Z15)+1,99),Z15))," ",""),"%%c","t"),"ø","t"),"φ","t"),"f","t"),"d","t")</f>
        <v/>
      </c>
      <c r="AA82">
        <f>SUBSTITUTE(SUBSTITUTE(SUBSTITUTE(SUBSTITUTE(SUBSTITUTE(SUBSTITUTE(LOWER(IF(ISNUMBER(FIND(";",AA15)),MID(AA15,FIND(";",AA15)+1,99),AA15))," ",""),"%%c","t"),"ø","t"),"φ","t"),"f","t"),"d","t")</f>
        <v/>
      </c>
      <c r="AB82">
        <f>SUBSTITUTE(SUBSTITUTE(SUBSTITUTE(SUBSTITUTE(SUBSTITUTE(SUBSTITUTE(LOWER(IF(ISNUMBER(FIND(";",AB15)),MID(AB15,FIND(";",AB15)+1,99),AB15))," ",""),"%%c","t"),"ø","t"),"φ","t"),"f","t"),"d","t")</f>
        <v/>
      </c>
      <c r="AC82">
        <f>SUBSTITUTE(SUBSTITUTE(SUBSTITUTE(SUBSTITUTE(SUBSTITUTE(SUBSTITUTE(LOWER(IF(ISNUMBER(FIND(";",AC15)),MID(AC15,FIND(";",AC15)+1,99),AC15))," ",""),"%%c","t"),"ø","t"),"φ","t"),"f","t"),"d","t")</f>
        <v/>
      </c>
      <c r="AD82">
        <f>SUBSTITUTE(SUBSTITUTE(SUBSTITUTE(SUBSTITUTE(SUBSTITUTE(SUBSTITUTE(LOWER(IF(ISNUMBER(FIND(";",AD15)),MID(AD15,FIND(";",AD15)+1,99),AD15))," ",""),"%%c","t"),"ø","t"),"φ","t"),"f","t"),"d","t")</f>
        <v/>
      </c>
      <c r="AE82">
        <f>SUBSTITUTE(SUBSTITUTE(SUBSTITUTE(SUBSTITUTE(SUBSTITUTE(SUBSTITUTE(LOWER(IF(ISNUMBER(FIND(";",AE15)),MID(AE15,FIND(";",AE15)+1,99),AE15))," ",""),"%%c","t"),"ø","t"),"φ","t"),"f","t"),"d","t")</f>
        <v/>
      </c>
      <c r="AF82">
        <f>SUBSTITUTE(SUBSTITUTE(SUBSTITUTE(SUBSTITUTE(SUBSTITUTE(SUBSTITUTE(LOWER(IF(ISNUMBER(FIND(";",AF15)),MID(AF15,FIND(";",AF15)+1,99),AF15))," ",""),"%%c","t"),"ø","t"),"φ","t"),"f","t"),"d","t")</f>
        <v/>
      </c>
      <c r="AG82">
        <f>SUBSTITUTE(SUBSTITUTE(SUBSTITUTE(SUBSTITUTE(SUBSTITUTE(SUBSTITUTE(LOWER(IF(ISNUMBER(FIND(";",AG15)),MID(AG15,FIND(";",AG15)+1,99),AG15))," ",""),"%%c","t"),"ø","t"),"φ","t"),"f","t"),"d","t")</f>
        <v/>
      </c>
    </row>
    <row r="83" hidden="1" outlineLevel="1">
      <c r="A83" s="60" t="inlineStr">
        <is>
          <t>(phụ trợ) A_T3R</t>
        </is>
      </c>
      <c r="C83">
        <f>IFERROR(LEFT(LEFT(C82,FIND("+",C82&amp;"+")-1),FIND("t",LEFT(C82,FIND("+",C82&amp;"+")-1))-1)*MID(LEFT(C82,FIND("+",C82&amp;"+")-1),FIND("t",LEFT(C82,FIND("+",C82&amp;"+")-1))+1,2)^2*PI()/400,0)+IFERROR(LEFT(MID(C82,FIND("+",C82&amp;"+")+1,99),FIND("t",MID(C82,FIND("+",C82&amp;"+")+1,99))-1)*MID(MID(C82,FIND("+",C82&amp;"+")+1,99),FIND("t",MID(C82,FIND("+",C82&amp;"+")+1,99))+1,2)^2*PI()/400,0)</f>
        <v/>
      </c>
      <c r="D83">
        <f>IFERROR(LEFT(LEFT(D82,FIND("+",D82&amp;"+")-1),FIND("t",LEFT(D82,FIND("+",D82&amp;"+")-1))-1)*MID(LEFT(D82,FIND("+",D82&amp;"+")-1),FIND("t",LEFT(D82,FIND("+",D82&amp;"+")-1))+1,2)^2*PI()/400,0)+IFERROR(LEFT(MID(D82,FIND("+",D82&amp;"+")+1,99),FIND("t",MID(D82,FIND("+",D82&amp;"+")+1,99))-1)*MID(MID(D82,FIND("+",D82&amp;"+")+1,99),FIND("t",MID(D82,FIND("+",D82&amp;"+")+1,99))+1,2)^2*PI()/400,0)</f>
        <v/>
      </c>
      <c r="E83">
        <f>IFERROR(LEFT(LEFT(E82,FIND("+",E82&amp;"+")-1),FIND("t",LEFT(E82,FIND("+",E82&amp;"+")-1))-1)*MID(LEFT(E82,FIND("+",E82&amp;"+")-1),FIND("t",LEFT(E82,FIND("+",E82&amp;"+")-1))+1,2)^2*PI()/400,0)+IFERROR(LEFT(MID(E82,FIND("+",E82&amp;"+")+1,99),FIND("t",MID(E82,FIND("+",E82&amp;"+")+1,99))-1)*MID(MID(E82,FIND("+",E82&amp;"+")+1,99),FIND("t",MID(E82,FIND("+",E82&amp;"+")+1,99))+1,2)^2*PI()/400,0)</f>
        <v/>
      </c>
      <c r="F83">
        <f>IFERROR(LEFT(LEFT(F82,FIND("+",F82&amp;"+")-1),FIND("t",LEFT(F82,FIND("+",F82&amp;"+")-1))-1)*MID(LEFT(F82,FIND("+",F82&amp;"+")-1),FIND("t",LEFT(F82,FIND("+",F82&amp;"+")-1))+1,2)^2*PI()/400,0)+IFERROR(LEFT(MID(F82,FIND("+",F82&amp;"+")+1,99),FIND("t",MID(F82,FIND("+",F82&amp;"+")+1,99))-1)*MID(MID(F82,FIND("+",F82&amp;"+")+1,99),FIND("t",MID(F82,FIND("+",F82&amp;"+")+1,99))+1,2)^2*PI()/400,0)</f>
        <v/>
      </c>
      <c r="G83">
        <f>IFERROR(LEFT(LEFT(G82,FIND("+",G82&amp;"+")-1),FIND("t",LEFT(G82,FIND("+",G82&amp;"+")-1))-1)*MID(LEFT(G82,FIND("+",G82&amp;"+")-1),FIND("t",LEFT(G82,FIND("+",G82&amp;"+")-1))+1,2)^2*PI()/400,0)+IFERROR(LEFT(MID(G82,FIND("+",G82&amp;"+")+1,99),FIND("t",MID(G82,FIND("+",G82&amp;"+")+1,99))-1)*MID(MID(G82,FIND("+",G82&amp;"+")+1,99),FIND("t",MID(G82,FIND("+",G82&amp;"+")+1,99))+1,2)^2*PI()/400,0)</f>
        <v/>
      </c>
      <c r="H83">
        <f>IFERROR(LEFT(LEFT(H82,FIND("+",H82&amp;"+")-1),FIND("t",LEFT(H82,FIND("+",H82&amp;"+")-1))-1)*MID(LEFT(H82,FIND("+",H82&amp;"+")-1),FIND("t",LEFT(H82,FIND("+",H82&amp;"+")-1))+1,2)^2*PI()/400,0)+IFERROR(LEFT(MID(H82,FIND("+",H82&amp;"+")+1,99),FIND("t",MID(H82,FIND("+",H82&amp;"+")+1,99))-1)*MID(MID(H82,FIND("+",H82&amp;"+")+1,99),FIND("t",MID(H82,FIND("+",H82&amp;"+")+1,99))+1,2)^2*PI()/400,0)</f>
        <v/>
      </c>
      <c r="I83">
        <f>IFERROR(LEFT(LEFT(I82,FIND("+",I82&amp;"+")-1),FIND("t",LEFT(I82,FIND("+",I82&amp;"+")-1))-1)*MID(LEFT(I82,FIND("+",I82&amp;"+")-1),FIND("t",LEFT(I82,FIND("+",I82&amp;"+")-1))+1,2)^2*PI()/400,0)+IFERROR(LEFT(MID(I82,FIND("+",I82&amp;"+")+1,99),FIND("t",MID(I82,FIND("+",I82&amp;"+")+1,99))-1)*MID(MID(I82,FIND("+",I82&amp;"+")+1,99),FIND("t",MID(I82,FIND("+",I82&amp;"+")+1,99))+1,2)^2*PI()/400,0)</f>
        <v/>
      </c>
      <c r="J83">
        <f>IFERROR(LEFT(LEFT(J82,FIND("+",J82&amp;"+")-1),FIND("t",LEFT(J82,FIND("+",J82&amp;"+")-1))-1)*MID(LEFT(J82,FIND("+",J82&amp;"+")-1),FIND("t",LEFT(J82,FIND("+",J82&amp;"+")-1))+1,2)^2*PI()/400,0)+IFERROR(LEFT(MID(J82,FIND("+",J82&amp;"+")+1,99),FIND("t",MID(J82,FIND("+",J82&amp;"+")+1,99))-1)*MID(MID(J82,FIND("+",J82&amp;"+")+1,99),FIND("t",MID(J82,FIND("+",J82&amp;"+")+1,99))+1,2)^2*PI()/400,0)</f>
        <v/>
      </c>
      <c r="K83">
        <f>IFERROR(LEFT(LEFT(K82,FIND("+",K82&amp;"+")-1),FIND("t",LEFT(K82,FIND("+",K82&amp;"+")-1))-1)*MID(LEFT(K82,FIND("+",K82&amp;"+")-1),FIND("t",LEFT(K82,FIND("+",K82&amp;"+")-1))+1,2)^2*PI()/400,0)+IFERROR(LEFT(MID(K82,FIND("+",K82&amp;"+")+1,99),FIND("t",MID(K82,FIND("+",K82&amp;"+")+1,99))-1)*MID(MID(K82,FIND("+",K82&amp;"+")+1,99),FIND("t",MID(K82,FIND("+",K82&amp;"+")+1,99))+1,2)^2*PI()/400,0)</f>
        <v/>
      </c>
      <c r="L83">
        <f>IFERROR(LEFT(LEFT(L82,FIND("+",L82&amp;"+")-1),FIND("t",LEFT(L82,FIND("+",L82&amp;"+")-1))-1)*MID(LEFT(L82,FIND("+",L82&amp;"+")-1),FIND("t",LEFT(L82,FIND("+",L82&amp;"+")-1))+1,2)^2*PI()/400,0)+IFERROR(LEFT(MID(L82,FIND("+",L82&amp;"+")+1,99),FIND("t",MID(L82,FIND("+",L82&amp;"+")+1,99))-1)*MID(MID(L82,FIND("+",L82&amp;"+")+1,99),FIND("t",MID(L82,FIND("+",L82&amp;"+")+1,99))+1,2)^2*PI()/400,0)</f>
        <v/>
      </c>
      <c r="M83">
        <f>IFERROR(LEFT(LEFT(M82,FIND("+",M82&amp;"+")-1),FIND("t",LEFT(M82,FIND("+",M82&amp;"+")-1))-1)*MID(LEFT(M82,FIND("+",M82&amp;"+")-1),FIND("t",LEFT(M82,FIND("+",M82&amp;"+")-1))+1,2)^2*PI()/400,0)+IFERROR(LEFT(MID(M82,FIND("+",M82&amp;"+")+1,99),FIND("t",MID(M82,FIND("+",M82&amp;"+")+1,99))-1)*MID(MID(M82,FIND("+",M82&amp;"+")+1,99),FIND("t",MID(M82,FIND("+",M82&amp;"+")+1,99))+1,2)^2*PI()/400,0)</f>
        <v/>
      </c>
      <c r="N83">
        <f>IFERROR(LEFT(LEFT(N82,FIND("+",N82&amp;"+")-1),FIND("t",LEFT(N82,FIND("+",N82&amp;"+")-1))-1)*MID(LEFT(N82,FIND("+",N82&amp;"+")-1),FIND("t",LEFT(N82,FIND("+",N82&amp;"+")-1))+1,2)^2*PI()/400,0)+IFERROR(LEFT(MID(N82,FIND("+",N82&amp;"+")+1,99),FIND("t",MID(N82,FIND("+",N82&amp;"+")+1,99))-1)*MID(MID(N82,FIND("+",N82&amp;"+")+1,99),FIND("t",MID(N82,FIND("+",N82&amp;"+")+1,99))+1,2)^2*PI()/400,0)</f>
        <v/>
      </c>
      <c r="O83">
        <f>IFERROR(LEFT(LEFT(O82,FIND("+",O82&amp;"+")-1),FIND("t",LEFT(O82,FIND("+",O82&amp;"+")-1))-1)*MID(LEFT(O82,FIND("+",O82&amp;"+")-1),FIND("t",LEFT(O82,FIND("+",O82&amp;"+")-1))+1,2)^2*PI()/400,0)+IFERROR(LEFT(MID(O82,FIND("+",O82&amp;"+")+1,99),FIND("t",MID(O82,FIND("+",O82&amp;"+")+1,99))-1)*MID(MID(O82,FIND("+",O82&amp;"+")+1,99),FIND("t",MID(O82,FIND("+",O82&amp;"+")+1,99))+1,2)^2*PI()/400,0)</f>
        <v/>
      </c>
      <c r="P83">
        <f>IFERROR(LEFT(LEFT(P82,FIND("+",P82&amp;"+")-1),FIND("t",LEFT(P82,FIND("+",P82&amp;"+")-1))-1)*MID(LEFT(P82,FIND("+",P82&amp;"+")-1),FIND("t",LEFT(P82,FIND("+",P82&amp;"+")-1))+1,2)^2*PI()/400,0)+IFERROR(LEFT(MID(P82,FIND("+",P82&amp;"+")+1,99),FIND("t",MID(P82,FIND("+",P82&amp;"+")+1,99))-1)*MID(MID(P82,FIND("+",P82&amp;"+")+1,99),FIND("t",MID(P82,FIND("+",P82&amp;"+")+1,99))+1,2)^2*PI()/400,0)</f>
        <v/>
      </c>
      <c r="Q83">
        <f>IFERROR(LEFT(LEFT(Q82,FIND("+",Q82&amp;"+")-1),FIND("t",LEFT(Q82,FIND("+",Q82&amp;"+")-1))-1)*MID(LEFT(Q82,FIND("+",Q82&amp;"+")-1),FIND("t",LEFT(Q82,FIND("+",Q82&amp;"+")-1))+1,2)^2*PI()/400,0)+IFERROR(LEFT(MID(Q82,FIND("+",Q82&amp;"+")+1,99),FIND("t",MID(Q82,FIND("+",Q82&amp;"+")+1,99))-1)*MID(MID(Q82,FIND("+",Q82&amp;"+")+1,99),FIND("t",MID(Q82,FIND("+",Q82&amp;"+")+1,99))+1,2)^2*PI()/400,0)</f>
        <v/>
      </c>
      <c r="R83">
        <f>IFERROR(LEFT(LEFT(R82,FIND("+",R82&amp;"+")-1),FIND("t",LEFT(R82,FIND("+",R82&amp;"+")-1))-1)*MID(LEFT(R82,FIND("+",R82&amp;"+")-1),FIND("t",LEFT(R82,FIND("+",R82&amp;"+")-1))+1,2)^2*PI()/400,0)+IFERROR(LEFT(MID(R82,FIND("+",R82&amp;"+")+1,99),FIND("t",MID(R82,FIND("+",R82&amp;"+")+1,99))-1)*MID(MID(R82,FIND("+",R82&amp;"+")+1,99),FIND("t",MID(R82,FIND("+",R82&amp;"+")+1,99))+1,2)^2*PI()/400,0)</f>
        <v/>
      </c>
      <c r="S83">
        <f>IFERROR(LEFT(LEFT(S82,FIND("+",S82&amp;"+")-1),FIND("t",LEFT(S82,FIND("+",S82&amp;"+")-1))-1)*MID(LEFT(S82,FIND("+",S82&amp;"+")-1),FIND("t",LEFT(S82,FIND("+",S82&amp;"+")-1))+1,2)^2*PI()/400,0)+IFERROR(LEFT(MID(S82,FIND("+",S82&amp;"+")+1,99),FIND("t",MID(S82,FIND("+",S82&amp;"+")+1,99))-1)*MID(MID(S82,FIND("+",S82&amp;"+")+1,99),FIND("t",MID(S82,FIND("+",S82&amp;"+")+1,99))+1,2)^2*PI()/400,0)</f>
        <v/>
      </c>
      <c r="T83">
        <f>IFERROR(LEFT(LEFT(T82,FIND("+",T82&amp;"+")-1),FIND("t",LEFT(T82,FIND("+",T82&amp;"+")-1))-1)*MID(LEFT(T82,FIND("+",T82&amp;"+")-1),FIND("t",LEFT(T82,FIND("+",T82&amp;"+")-1))+1,2)^2*PI()/400,0)+IFERROR(LEFT(MID(T82,FIND("+",T82&amp;"+")+1,99),FIND("t",MID(T82,FIND("+",T82&amp;"+")+1,99))-1)*MID(MID(T82,FIND("+",T82&amp;"+")+1,99),FIND("t",MID(T82,FIND("+",T82&amp;"+")+1,99))+1,2)^2*PI()/400,0)</f>
        <v/>
      </c>
      <c r="U83">
        <f>IFERROR(LEFT(LEFT(U82,FIND("+",U82&amp;"+")-1),FIND("t",LEFT(U82,FIND("+",U82&amp;"+")-1))-1)*MID(LEFT(U82,FIND("+",U82&amp;"+")-1),FIND("t",LEFT(U82,FIND("+",U82&amp;"+")-1))+1,2)^2*PI()/400,0)+IFERROR(LEFT(MID(U82,FIND("+",U82&amp;"+")+1,99),FIND("t",MID(U82,FIND("+",U82&amp;"+")+1,99))-1)*MID(MID(U82,FIND("+",U82&amp;"+")+1,99),FIND("t",MID(U82,FIND("+",U82&amp;"+")+1,99))+1,2)^2*PI()/400,0)</f>
        <v/>
      </c>
      <c r="V83">
        <f>IFERROR(LEFT(LEFT(V82,FIND("+",V82&amp;"+")-1),FIND("t",LEFT(V82,FIND("+",V82&amp;"+")-1))-1)*MID(LEFT(V82,FIND("+",V82&amp;"+")-1),FIND("t",LEFT(V82,FIND("+",V82&amp;"+")-1))+1,2)^2*PI()/400,0)+IFERROR(LEFT(MID(V82,FIND("+",V82&amp;"+")+1,99),FIND("t",MID(V82,FIND("+",V82&amp;"+")+1,99))-1)*MID(MID(V82,FIND("+",V82&amp;"+")+1,99),FIND("t",MID(V82,FIND("+",V82&amp;"+")+1,99))+1,2)^2*PI()/400,0)</f>
        <v/>
      </c>
      <c r="W83">
        <f>IFERROR(LEFT(LEFT(W82,FIND("+",W82&amp;"+")-1),FIND("t",LEFT(W82,FIND("+",W82&amp;"+")-1))-1)*MID(LEFT(W82,FIND("+",W82&amp;"+")-1),FIND("t",LEFT(W82,FIND("+",W82&amp;"+")-1))+1,2)^2*PI()/400,0)+IFERROR(LEFT(MID(W82,FIND("+",W82&amp;"+")+1,99),FIND("t",MID(W82,FIND("+",W82&amp;"+")+1,99))-1)*MID(MID(W82,FIND("+",W82&amp;"+")+1,99),FIND("t",MID(W82,FIND("+",W82&amp;"+")+1,99))+1,2)^2*PI()/400,0)</f>
        <v/>
      </c>
      <c r="X83">
        <f>IFERROR(LEFT(LEFT(X82,FIND("+",X82&amp;"+")-1),FIND("t",LEFT(X82,FIND("+",X82&amp;"+")-1))-1)*MID(LEFT(X82,FIND("+",X82&amp;"+")-1),FIND("t",LEFT(X82,FIND("+",X82&amp;"+")-1))+1,2)^2*PI()/400,0)+IFERROR(LEFT(MID(X82,FIND("+",X82&amp;"+")+1,99),FIND("t",MID(X82,FIND("+",X82&amp;"+")+1,99))-1)*MID(MID(X82,FIND("+",X82&amp;"+")+1,99),FIND("t",MID(X82,FIND("+",X82&amp;"+")+1,99))+1,2)^2*PI()/400,0)</f>
        <v/>
      </c>
      <c r="Y83">
        <f>IFERROR(LEFT(LEFT(Y82,FIND("+",Y82&amp;"+")-1),FIND("t",LEFT(Y82,FIND("+",Y82&amp;"+")-1))-1)*MID(LEFT(Y82,FIND("+",Y82&amp;"+")-1),FIND("t",LEFT(Y82,FIND("+",Y82&amp;"+")-1))+1,2)^2*PI()/400,0)+IFERROR(LEFT(MID(Y82,FIND("+",Y82&amp;"+")+1,99),FIND("t",MID(Y82,FIND("+",Y82&amp;"+")+1,99))-1)*MID(MID(Y82,FIND("+",Y82&amp;"+")+1,99),FIND("t",MID(Y82,FIND("+",Y82&amp;"+")+1,99))+1,2)^2*PI()/400,0)</f>
        <v/>
      </c>
      <c r="Z83">
        <f>IFERROR(LEFT(LEFT(Z82,FIND("+",Z82&amp;"+")-1),FIND("t",LEFT(Z82,FIND("+",Z82&amp;"+")-1))-1)*MID(LEFT(Z82,FIND("+",Z82&amp;"+")-1),FIND("t",LEFT(Z82,FIND("+",Z82&amp;"+")-1))+1,2)^2*PI()/400,0)+IFERROR(LEFT(MID(Z82,FIND("+",Z82&amp;"+")+1,99),FIND("t",MID(Z82,FIND("+",Z82&amp;"+")+1,99))-1)*MID(MID(Z82,FIND("+",Z82&amp;"+")+1,99),FIND("t",MID(Z82,FIND("+",Z82&amp;"+")+1,99))+1,2)^2*PI()/400,0)</f>
        <v/>
      </c>
      <c r="AA83">
        <f>IFERROR(LEFT(LEFT(AA82,FIND("+",AA82&amp;"+")-1),FIND("t",LEFT(AA82,FIND("+",AA82&amp;"+")-1))-1)*MID(LEFT(AA82,FIND("+",AA82&amp;"+")-1),FIND("t",LEFT(AA82,FIND("+",AA82&amp;"+")-1))+1,2)^2*PI()/400,0)+IFERROR(LEFT(MID(AA82,FIND("+",AA82&amp;"+")+1,99),FIND("t",MID(AA82,FIND("+",AA82&amp;"+")+1,99))-1)*MID(MID(AA82,FIND("+",AA82&amp;"+")+1,99),FIND("t",MID(AA82,FIND("+",AA82&amp;"+")+1,99))+1,2)^2*PI()/400,0)</f>
        <v/>
      </c>
      <c r="AB83">
        <f>IFERROR(LEFT(LEFT(AB82,FIND("+",AB82&amp;"+")-1),FIND("t",LEFT(AB82,FIND("+",AB82&amp;"+")-1))-1)*MID(LEFT(AB82,FIND("+",AB82&amp;"+")-1),FIND("t",LEFT(AB82,FIND("+",AB82&amp;"+")-1))+1,2)^2*PI()/400,0)+IFERROR(LEFT(MID(AB82,FIND("+",AB82&amp;"+")+1,99),FIND("t",MID(AB82,FIND("+",AB82&amp;"+")+1,99))-1)*MID(MID(AB82,FIND("+",AB82&amp;"+")+1,99),FIND("t",MID(AB82,FIND("+",AB82&amp;"+")+1,99))+1,2)^2*PI()/400,0)</f>
        <v/>
      </c>
      <c r="AC83">
        <f>IFERROR(LEFT(LEFT(AC82,FIND("+",AC82&amp;"+")-1),FIND("t",LEFT(AC82,FIND("+",AC82&amp;"+")-1))-1)*MID(LEFT(AC82,FIND("+",AC82&amp;"+")-1),FIND("t",LEFT(AC82,FIND("+",AC82&amp;"+")-1))+1,2)^2*PI()/400,0)+IFERROR(LEFT(MID(AC82,FIND("+",AC82&amp;"+")+1,99),FIND("t",MID(AC82,FIND("+",AC82&amp;"+")+1,99))-1)*MID(MID(AC82,FIND("+",AC82&amp;"+")+1,99),FIND("t",MID(AC82,FIND("+",AC82&amp;"+")+1,99))+1,2)^2*PI()/400,0)</f>
        <v/>
      </c>
      <c r="AD83">
        <f>IFERROR(LEFT(LEFT(AD82,FIND("+",AD82&amp;"+")-1),FIND("t",LEFT(AD82,FIND("+",AD82&amp;"+")-1))-1)*MID(LEFT(AD82,FIND("+",AD82&amp;"+")-1),FIND("t",LEFT(AD82,FIND("+",AD82&amp;"+")-1))+1,2)^2*PI()/400,0)+IFERROR(LEFT(MID(AD82,FIND("+",AD82&amp;"+")+1,99),FIND("t",MID(AD82,FIND("+",AD82&amp;"+")+1,99))-1)*MID(MID(AD82,FIND("+",AD82&amp;"+")+1,99),FIND("t",MID(AD82,FIND("+",AD82&amp;"+")+1,99))+1,2)^2*PI()/400,0)</f>
        <v/>
      </c>
      <c r="AE83">
        <f>IFERROR(LEFT(LEFT(AE82,FIND("+",AE82&amp;"+")-1),FIND("t",LEFT(AE82,FIND("+",AE82&amp;"+")-1))-1)*MID(LEFT(AE82,FIND("+",AE82&amp;"+")-1),FIND("t",LEFT(AE82,FIND("+",AE82&amp;"+")-1))+1,2)^2*PI()/400,0)+IFERROR(LEFT(MID(AE82,FIND("+",AE82&amp;"+")+1,99),FIND("t",MID(AE82,FIND("+",AE82&amp;"+")+1,99))-1)*MID(MID(AE82,FIND("+",AE82&amp;"+")+1,99),FIND("t",MID(AE82,FIND("+",AE82&amp;"+")+1,99))+1,2)^2*PI()/400,0)</f>
        <v/>
      </c>
      <c r="AF83">
        <f>IFERROR(LEFT(LEFT(AF82,FIND("+",AF82&amp;"+")-1),FIND("t",LEFT(AF82,FIND("+",AF82&amp;"+")-1))-1)*MID(LEFT(AF82,FIND("+",AF82&amp;"+")-1),FIND("t",LEFT(AF82,FIND("+",AF82&amp;"+")-1))+1,2)^2*PI()/400,0)+IFERROR(LEFT(MID(AF82,FIND("+",AF82&amp;"+")+1,99),FIND("t",MID(AF82,FIND("+",AF82&amp;"+")+1,99))-1)*MID(MID(AF82,FIND("+",AF82&amp;"+")+1,99),FIND("t",MID(AF82,FIND("+",AF82&amp;"+")+1,99))+1,2)^2*PI()/400,0)</f>
        <v/>
      </c>
      <c r="AG83">
        <f>IFERROR(LEFT(LEFT(AG82,FIND("+",AG82&amp;"+")-1),FIND("t",LEFT(AG82,FIND("+",AG82&amp;"+")-1))-1)*MID(LEFT(AG82,FIND("+",AG82&amp;"+")-1),FIND("t",LEFT(AG82,FIND("+",AG82&amp;"+")-1))+1,2)^2*PI()/400,0)+IFERROR(LEFT(MID(AG82,FIND("+",AG82&amp;"+")+1,99),FIND("t",MID(AG82,FIND("+",AG82&amp;"+")+1,99))-1)*MID(MID(AG82,FIND("+",AG82&amp;"+")+1,99),FIND("t",MID(AG82,FIND("+",AG82&amp;"+")+1,99))+1,2)^2*PI()/400,0)</f>
        <v/>
      </c>
    </row>
    <row r="84" hidden="1" outlineLevel="1">
      <c r="A84" s="60" t="inlineStr">
        <is>
          <t>(phụ trợ) N_T4L</t>
        </is>
      </c>
      <c r="C84">
        <f>SUBSTITUTE(SUBSTITUTE(SUBSTITUTE(SUBSTITUTE(SUBSTITUTE(SUBSTITUTE(LOWER(IF(ISNUMBER(FIND(";",C16)),LEFT(C16,FIND(";",C16)-1),C16))," ",""),"%%c","t"),"ø","t"),"φ","t"),"f","t"),"d","t")</f>
        <v/>
      </c>
      <c r="D84">
        <f>SUBSTITUTE(SUBSTITUTE(SUBSTITUTE(SUBSTITUTE(SUBSTITUTE(SUBSTITUTE(LOWER(IF(ISNUMBER(FIND(";",D16)),LEFT(D16,FIND(";",D16)-1),D16))," ",""),"%%c","t"),"ø","t"),"φ","t"),"f","t"),"d","t")</f>
        <v/>
      </c>
      <c r="E84">
        <f>SUBSTITUTE(SUBSTITUTE(SUBSTITUTE(SUBSTITUTE(SUBSTITUTE(SUBSTITUTE(LOWER(IF(ISNUMBER(FIND(";",E16)),LEFT(E16,FIND(";",E16)-1),E16))," ",""),"%%c","t"),"ø","t"),"φ","t"),"f","t"),"d","t")</f>
        <v/>
      </c>
      <c r="F84">
        <f>SUBSTITUTE(SUBSTITUTE(SUBSTITUTE(SUBSTITUTE(SUBSTITUTE(SUBSTITUTE(LOWER(IF(ISNUMBER(FIND(";",F16)),LEFT(F16,FIND(";",F16)-1),F16))," ",""),"%%c","t"),"ø","t"),"φ","t"),"f","t"),"d","t")</f>
        <v/>
      </c>
      <c r="G84">
        <f>SUBSTITUTE(SUBSTITUTE(SUBSTITUTE(SUBSTITUTE(SUBSTITUTE(SUBSTITUTE(LOWER(IF(ISNUMBER(FIND(";",G16)),LEFT(G16,FIND(";",G16)-1),G16))," ",""),"%%c","t"),"ø","t"),"φ","t"),"f","t"),"d","t")</f>
        <v/>
      </c>
      <c r="H84">
        <f>SUBSTITUTE(SUBSTITUTE(SUBSTITUTE(SUBSTITUTE(SUBSTITUTE(SUBSTITUTE(LOWER(IF(ISNUMBER(FIND(";",H16)),LEFT(H16,FIND(";",H16)-1),H16))," ",""),"%%c","t"),"ø","t"),"φ","t"),"f","t"),"d","t")</f>
        <v/>
      </c>
      <c r="I84">
        <f>SUBSTITUTE(SUBSTITUTE(SUBSTITUTE(SUBSTITUTE(SUBSTITUTE(SUBSTITUTE(LOWER(IF(ISNUMBER(FIND(";",I16)),LEFT(I16,FIND(";",I16)-1),I16))," ",""),"%%c","t"),"ø","t"),"φ","t"),"f","t"),"d","t")</f>
        <v/>
      </c>
      <c r="J84">
        <f>SUBSTITUTE(SUBSTITUTE(SUBSTITUTE(SUBSTITUTE(SUBSTITUTE(SUBSTITUTE(LOWER(IF(ISNUMBER(FIND(";",J16)),LEFT(J16,FIND(";",J16)-1),J16))," ",""),"%%c","t"),"ø","t"),"φ","t"),"f","t"),"d","t")</f>
        <v/>
      </c>
      <c r="K84">
        <f>SUBSTITUTE(SUBSTITUTE(SUBSTITUTE(SUBSTITUTE(SUBSTITUTE(SUBSTITUTE(LOWER(IF(ISNUMBER(FIND(";",K16)),LEFT(K16,FIND(";",K16)-1),K16))," ",""),"%%c","t"),"ø","t"),"φ","t"),"f","t"),"d","t")</f>
        <v/>
      </c>
      <c r="L84">
        <f>SUBSTITUTE(SUBSTITUTE(SUBSTITUTE(SUBSTITUTE(SUBSTITUTE(SUBSTITUTE(LOWER(IF(ISNUMBER(FIND(";",L16)),LEFT(L16,FIND(";",L16)-1),L16))," ",""),"%%c","t"),"ø","t"),"φ","t"),"f","t"),"d","t")</f>
        <v/>
      </c>
      <c r="M84">
        <f>SUBSTITUTE(SUBSTITUTE(SUBSTITUTE(SUBSTITUTE(SUBSTITUTE(SUBSTITUTE(LOWER(IF(ISNUMBER(FIND(";",M16)),LEFT(M16,FIND(";",M16)-1),M16))," ",""),"%%c","t"),"ø","t"),"φ","t"),"f","t"),"d","t")</f>
        <v/>
      </c>
      <c r="N84">
        <f>SUBSTITUTE(SUBSTITUTE(SUBSTITUTE(SUBSTITUTE(SUBSTITUTE(SUBSTITUTE(LOWER(IF(ISNUMBER(FIND(";",N16)),LEFT(N16,FIND(";",N16)-1),N16))," ",""),"%%c","t"),"ø","t"),"φ","t"),"f","t"),"d","t")</f>
        <v/>
      </c>
      <c r="O84">
        <f>SUBSTITUTE(SUBSTITUTE(SUBSTITUTE(SUBSTITUTE(SUBSTITUTE(SUBSTITUTE(LOWER(IF(ISNUMBER(FIND(";",O16)),LEFT(O16,FIND(";",O16)-1),O16))," ",""),"%%c","t"),"ø","t"),"φ","t"),"f","t"),"d","t")</f>
        <v/>
      </c>
      <c r="P84">
        <f>SUBSTITUTE(SUBSTITUTE(SUBSTITUTE(SUBSTITUTE(SUBSTITUTE(SUBSTITUTE(LOWER(IF(ISNUMBER(FIND(";",P16)),LEFT(P16,FIND(";",P16)-1),P16))," ",""),"%%c","t"),"ø","t"),"φ","t"),"f","t"),"d","t")</f>
        <v/>
      </c>
      <c r="Q84">
        <f>SUBSTITUTE(SUBSTITUTE(SUBSTITUTE(SUBSTITUTE(SUBSTITUTE(SUBSTITUTE(LOWER(IF(ISNUMBER(FIND(";",Q16)),LEFT(Q16,FIND(";",Q16)-1),Q16))," ",""),"%%c","t"),"ø","t"),"φ","t"),"f","t"),"d","t")</f>
        <v/>
      </c>
      <c r="R84">
        <f>SUBSTITUTE(SUBSTITUTE(SUBSTITUTE(SUBSTITUTE(SUBSTITUTE(SUBSTITUTE(LOWER(IF(ISNUMBER(FIND(";",R16)),LEFT(R16,FIND(";",R16)-1),R16))," ",""),"%%c","t"),"ø","t"),"φ","t"),"f","t"),"d","t")</f>
        <v/>
      </c>
      <c r="S84">
        <f>SUBSTITUTE(SUBSTITUTE(SUBSTITUTE(SUBSTITUTE(SUBSTITUTE(SUBSTITUTE(LOWER(IF(ISNUMBER(FIND(";",S16)),LEFT(S16,FIND(";",S16)-1),S16))," ",""),"%%c","t"),"ø","t"),"φ","t"),"f","t"),"d","t")</f>
        <v/>
      </c>
      <c r="T84">
        <f>SUBSTITUTE(SUBSTITUTE(SUBSTITUTE(SUBSTITUTE(SUBSTITUTE(SUBSTITUTE(LOWER(IF(ISNUMBER(FIND(";",T16)),LEFT(T16,FIND(";",T16)-1),T16))," ",""),"%%c","t"),"ø","t"),"φ","t"),"f","t"),"d","t")</f>
        <v/>
      </c>
      <c r="U84">
        <f>SUBSTITUTE(SUBSTITUTE(SUBSTITUTE(SUBSTITUTE(SUBSTITUTE(SUBSTITUTE(LOWER(IF(ISNUMBER(FIND(";",U16)),LEFT(U16,FIND(";",U16)-1),U16))," ",""),"%%c","t"),"ø","t"),"φ","t"),"f","t"),"d","t")</f>
        <v/>
      </c>
      <c r="V84">
        <f>SUBSTITUTE(SUBSTITUTE(SUBSTITUTE(SUBSTITUTE(SUBSTITUTE(SUBSTITUTE(LOWER(IF(ISNUMBER(FIND(";",V16)),LEFT(V16,FIND(";",V16)-1),V16))," ",""),"%%c","t"),"ø","t"),"φ","t"),"f","t"),"d","t")</f>
        <v/>
      </c>
      <c r="W84">
        <f>SUBSTITUTE(SUBSTITUTE(SUBSTITUTE(SUBSTITUTE(SUBSTITUTE(SUBSTITUTE(LOWER(IF(ISNUMBER(FIND(";",W16)),LEFT(W16,FIND(";",W16)-1),W16))," ",""),"%%c","t"),"ø","t"),"φ","t"),"f","t"),"d","t")</f>
        <v/>
      </c>
      <c r="X84">
        <f>SUBSTITUTE(SUBSTITUTE(SUBSTITUTE(SUBSTITUTE(SUBSTITUTE(SUBSTITUTE(LOWER(IF(ISNUMBER(FIND(";",X16)),LEFT(X16,FIND(";",X16)-1),X16))," ",""),"%%c","t"),"ø","t"),"φ","t"),"f","t"),"d","t")</f>
        <v/>
      </c>
      <c r="Y84">
        <f>SUBSTITUTE(SUBSTITUTE(SUBSTITUTE(SUBSTITUTE(SUBSTITUTE(SUBSTITUTE(LOWER(IF(ISNUMBER(FIND(";",Y16)),LEFT(Y16,FIND(";",Y16)-1),Y16))," ",""),"%%c","t"),"ø","t"),"φ","t"),"f","t"),"d","t")</f>
        <v/>
      </c>
      <c r="Z84">
        <f>SUBSTITUTE(SUBSTITUTE(SUBSTITUTE(SUBSTITUTE(SUBSTITUTE(SUBSTITUTE(LOWER(IF(ISNUMBER(FIND(";",Z16)),LEFT(Z16,FIND(";",Z16)-1),Z16))," ",""),"%%c","t"),"ø","t"),"φ","t"),"f","t"),"d","t")</f>
        <v/>
      </c>
      <c r="AA84">
        <f>SUBSTITUTE(SUBSTITUTE(SUBSTITUTE(SUBSTITUTE(SUBSTITUTE(SUBSTITUTE(LOWER(IF(ISNUMBER(FIND(";",AA16)),LEFT(AA16,FIND(";",AA16)-1),AA16))," ",""),"%%c","t"),"ø","t"),"φ","t"),"f","t"),"d","t")</f>
        <v/>
      </c>
      <c r="AB84">
        <f>SUBSTITUTE(SUBSTITUTE(SUBSTITUTE(SUBSTITUTE(SUBSTITUTE(SUBSTITUTE(LOWER(IF(ISNUMBER(FIND(";",AB16)),LEFT(AB16,FIND(";",AB16)-1),AB16))," ",""),"%%c","t"),"ø","t"),"φ","t"),"f","t"),"d","t")</f>
        <v/>
      </c>
      <c r="AC84">
        <f>SUBSTITUTE(SUBSTITUTE(SUBSTITUTE(SUBSTITUTE(SUBSTITUTE(SUBSTITUTE(LOWER(IF(ISNUMBER(FIND(";",AC16)),LEFT(AC16,FIND(";",AC16)-1),AC16))," ",""),"%%c","t"),"ø","t"),"φ","t"),"f","t"),"d","t")</f>
        <v/>
      </c>
      <c r="AD84">
        <f>SUBSTITUTE(SUBSTITUTE(SUBSTITUTE(SUBSTITUTE(SUBSTITUTE(SUBSTITUTE(LOWER(IF(ISNUMBER(FIND(";",AD16)),LEFT(AD16,FIND(";",AD16)-1),AD16))," ",""),"%%c","t"),"ø","t"),"φ","t"),"f","t"),"d","t")</f>
        <v/>
      </c>
      <c r="AE84">
        <f>SUBSTITUTE(SUBSTITUTE(SUBSTITUTE(SUBSTITUTE(SUBSTITUTE(SUBSTITUTE(LOWER(IF(ISNUMBER(FIND(";",AE16)),LEFT(AE16,FIND(";",AE16)-1),AE16))," ",""),"%%c","t"),"ø","t"),"φ","t"),"f","t"),"d","t")</f>
        <v/>
      </c>
      <c r="AF84">
        <f>SUBSTITUTE(SUBSTITUTE(SUBSTITUTE(SUBSTITUTE(SUBSTITUTE(SUBSTITUTE(LOWER(IF(ISNUMBER(FIND(";",AF16)),LEFT(AF16,FIND(";",AF16)-1),AF16))," ",""),"%%c","t"),"ø","t"),"φ","t"),"f","t"),"d","t")</f>
        <v/>
      </c>
      <c r="AG84">
        <f>SUBSTITUTE(SUBSTITUTE(SUBSTITUTE(SUBSTITUTE(SUBSTITUTE(SUBSTITUTE(LOWER(IF(ISNUMBER(FIND(";",AG16)),LEFT(AG16,FIND(";",AG16)-1),AG16))," ",""),"%%c","t"),"ø","t"),"φ","t"),"f","t"),"d","t")</f>
        <v/>
      </c>
    </row>
    <row r="85" hidden="1" outlineLevel="1">
      <c r="A85" s="60" t="inlineStr">
        <is>
          <t>(phụ trợ) A_T4L</t>
        </is>
      </c>
      <c r="C85">
        <f>IFERROR(LEFT(LEFT(C84,FIND("+",C84&amp;"+")-1),FIND("t",LEFT(C84,FIND("+",C84&amp;"+")-1))-1)*MID(LEFT(C84,FIND("+",C84&amp;"+")-1),FIND("t",LEFT(C84,FIND("+",C84&amp;"+")-1))+1,2)^2*PI()/400,0)+IFERROR(LEFT(MID(C84,FIND("+",C84&amp;"+")+1,99),FIND("t",MID(C84,FIND("+",C84&amp;"+")+1,99))-1)*MID(MID(C84,FIND("+",C84&amp;"+")+1,99),FIND("t",MID(C84,FIND("+",C84&amp;"+")+1,99))+1,2)^2*PI()/400,0)</f>
        <v/>
      </c>
      <c r="D85">
        <f>IFERROR(LEFT(LEFT(D84,FIND("+",D84&amp;"+")-1),FIND("t",LEFT(D84,FIND("+",D84&amp;"+")-1))-1)*MID(LEFT(D84,FIND("+",D84&amp;"+")-1),FIND("t",LEFT(D84,FIND("+",D84&amp;"+")-1))+1,2)^2*PI()/400,0)+IFERROR(LEFT(MID(D84,FIND("+",D84&amp;"+")+1,99),FIND("t",MID(D84,FIND("+",D84&amp;"+")+1,99))-1)*MID(MID(D84,FIND("+",D84&amp;"+")+1,99),FIND("t",MID(D84,FIND("+",D84&amp;"+")+1,99))+1,2)^2*PI()/400,0)</f>
        <v/>
      </c>
      <c r="E85">
        <f>IFERROR(LEFT(LEFT(E84,FIND("+",E84&amp;"+")-1),FIND("t",LEFT(E84,FIND("+",E84&amp;"+")-1))-1)*MID(LEFT(E84,FIND("+",E84&amp;"+")-1),FIND("t",LEFT(E84,FIND("+",E84&amp;"+")-1))+1,2)^2*PI()/400,0)+IFERROR(LEFT(MID(E84,FIND("+",E84&amp;"+")+1,99),FIND("t",MID(E84,FIND("+",E84&amp;"+")+1,99))-1)*MID(MID(E84,FIND("+",E84&amp;"+")+1,99),FIND("t",MID(E84,FIND("+",E84&amp;"+")+1,99))+1,2)^2*PI()/400,0)</f>
        <v/>
      </c>
      <c r="F85">
        <f>IFERROR(LEFT(LEFT(F84,FIND("+",F84&amp;"+")-1),FIND("t",LEFT(F84,FIND("+",F84&amp;"+")-1))-1)*MID(LEFT(F84,FIND("+",F84&amp;"+")-1),FIND("t",LEFT(F84,FIND("+",F84&amp;"+")-1))+1,2)^2*PI()/400,0)+IFERROR(LEFT(MID(F84,FIND("+",F84&amp;"+")+1,99),FIND("t",MID(F84,FIND("+",F84&amp;"+")+1,99))-1)*MID(MID(F84,FIND("+",F84&amp;"+")+1,99),FIND("t",MID(F84,FIND("+",F84&amp;"+")+1,99))+1,2)^2*PI()/400,0)</f>
        <v/>
      </c>
      <c r="G85">
        <f>IFERROR(LEFT(LEFT(G84,FIND("+",G84&amp;"+")-1),FIND("t",LEFT(G84,FIND("+",G84&amp;"+")-1))-1)*MID(LEFT(G84,FIND("+",G84&amp;"+")-1),FIND("t",LEFT(G84,FIND("+",G84&amp;"+")-1))+1,2)^2*PI()/400,0)+IFERROR(LEFT(MID(G84,FIND("+",G84&amp;"+")+1,99),FIND("t",MID(G84,FIND("+",G84&amp;"+")+1,99))-1)*MID(MID(G84,FIND("+",G84&amp;"+")+1,99),FIND("t",MID(G84,FIND("+",G84&amp;"+")+1,99))+1,2)^2*PI()/400,0)</f>
        <v/>
      </c>
      <c r="H85">
        <f>IFERROR(LEFT(LEFT(H84,FIND("+",H84&amp;"+")-1),FIND("t",LEFT(H84,FIND("+",H84&amp;"+")-1))-1)*MID(LEFT(H84,FIND("+",H84&amp;"+")-1),FIND("t",LEFT(H84,FIND("+",H84&amp;"+")-1))+1,2)^2*PI()/400,0)+IFERROR(LEFT(MID(H84,FIND("+",H84&amp;"+")+1,99),FIND("t",MID(H84,FIND("+",H84&amp;"+")+1,99))-1)*MID(MID(H84,FIND("+",H84&amp;"+")+1,99),FIND("t",MID(H84,FIND("+",H84&amp;"+")+1,99))+1,2)^2*PI()/400,0)</f>
        <v/>
      </c>
      <c r="I85">
        <f>IFERROR(LEFT(LEFT(I84,FIND("+",I84&amp;"+")-1),FIND("t",LEFT(I84,FIND("+",I84&amp;"+")-1))-1)*MID(LEFT(I84,FIND("+",I84&amp;"+")-1),FIND("t",LEFT(I84,FIND("+",I84&amp;"+")-1))+1,2)^2*PI()/400,0)+IFERROR(LEFT(MID(I84,FIND("+",I84&amp;"+")+1,99),FIND("t",MID(I84,FIND("+",I84&amp;"+")+1,99))-1)*MID(MID(I84,FIND("+",I84&amp;"+")+1,99),FIND("t",MID(I84,FIND("+",I84&amp;"+")+1,99))+1,2)^2*PI()/400,0)</f>
        <v/>
      </c>
      <c r="J85">
        <f>IFERROR(LEFT(LEFT(J84,FIND("+",J84&amp;"+")-1),FIND("t",LEFT(J84,FIND("+",J84&amp;"+")-1))-1)*MID(LEFT(J84,FIND("+",J84&amp;"+")-1),FIND("t",LEFT(J84,FIND("+",J84&amp;"+")-1))+1,2)^2*PI()/400,0)+IFERROR(LEFT(MID(J84,FIND("+",J84&amp;"+")+1,99),FIND("t",MID(J84,FIND("+",J84&amp;"+")+1,99))-1)*MID(MID(J84,FIND("+",J84&amp;"+")+1,99),FIND("t",MID(J84,FIND("+",J84&amp;"+")+1,99))+1,2)^2*PI()/400,0)</f>
        <v/>
      </c>
      <c r="K85">
        <f>IFERROR(LEFT(LEFT(K84,FIND("+",K84&amp;"+")-1),FIND("t",LEFT(K84,FIND("+",K84&amp;"+")-1))-1)*MID(LEFT(K84,FIND("+",K84&amp;"+")-1),FIND("t",LEFT(K84,FIND("+",K84&amp;"+")-1))+1,2)^2*PI()/400,0)+IFERROR(LEFT(MID(K84,FIND("+",K84&amp;"+")+1,99),FIND("t",MID(K84,FIND("+",K84&amp;"+")+1,99))-1)*MID(MID(K84,FIND("+",K84&amp;"+")+1,99),FIND("t",MID(K84,FIND("+",K84&amp;"+")+1,99))+1,2)^2*PI()/400,0)</f>
        <v/>
      </c>
      <c r="L85">
        <f>IFERROR(LEFT(LEFT(L84,FIND("+",L84&amp;"+")-1),FIND("t",LEFT(L84,FIND("+",L84&amp;"+")-1))-1)*MID(LEFT(L84,FIND("+",L84&amp;"+")-1),FIND("t",LEFT(L84,FIND("+",L84&amp;"+")-1))+1,2)^2*PI()/400,0)+IFERROR(LEFT(MID(L84,FIND("+",L84&amp;"+")+1,99),FIND("t",MID(L84,FIND("+",L84&amp;"+")+1,99))-1)*MID(MID(L84,FIND("+",L84&amp;"+")+1,99),FIND("t",MID(L84,FIND("+",L84&amp;"+")+1,99))+1,2)^2*PI()/400,0)</f>
        <v/>
      </c>
      <c r="M85">
        <f>IFERROR(LEFT(LEFT(M84,FIND("+",M84&amp;"+")-1),FIND("t",LEFT(M84,FIND("+",M84&amp;"+")-1))-1)*MID(LEFT(M84,FIND("+",M84&amp;"+")-1),FIND("t",LEFT(M84,FIND("+",M84&amp;"+")-1))+1,2)^2*PI()/400,0)+IFERROR(LEFT(MID(M84,FIND("+",M84&amp;"+")+1,99),FIND("t",MID(M84,FIND("+",M84&amp;"+")+1,99))-1)*MID(MID(M84,FIND("+",M84&amp;"+")+1,99),FIND("t",MID(M84,FIND("+",M84&amp;"+")+1,99))+1,2)^2*PI()/400,0)</f>
        <v/>
      </c>
      <c r="N85">
        <f>IFERROR(LEFT(LEFT(N84,FIND("+",N84&amp;"+")-1),FIND("t",LEFT(N84,FIND("+",N84&amp;"+")-1))-1)*MID(LEFT(N84,FIND("+",N84&amp;"+")-1),FIND("t",LEFT(N84,FIND("+",N84&amp;"+")-1))+1,2)^2*PI()/400,0)+IFERROR(LEFT(MID(N84,FIND("+",N84&amp;"+")+1,99),FIND("t",MID(N84,FIND("+",N84&amp;"+")+1,99))-1)*MID(MID(N84,FIND("+",N84&amp;"+")+1,99),FIND("t",MID(N84,FIND("+",N84&amp;"+")+1,99))+1,2)^2*PI()/400,0)</f>
        <v/>
      </c>
      <c r="O85">
        <f>IFERROR(LEFT(LEFT(O84,FIND("+",O84&amp;"+")-1),FIND("t",LEFT(O84,FIND("+",O84&amp;"+")-1))-1)*MID(LEFT(O84,FIND("+",O84&amp;"+")-1),FIND("t",LEFT(O84,FIND("+",O84&amp;"+")-1))+1,2)^2*PI()/400,0)+IFERROR(LEFT(MID(O84,FIND("+",O84&amp;"+")+1,99),FIND("t",MID(O84,FIND("+",O84&amp;"+")+1,99))-1)*MID(MID(O84,FIND("+",O84&amp;"+")+1,99),FIND("t",MID(O84,FIND("+",O84&amp;"+")+1,99))+1,2)^2*PI()/400,0)</f>
        <v/>
      </c>
      <c r="P85">
        <f>IFERROR(LEFT(LEFT(P84,FIND("+",P84&amp;"+")-1),FIND("t",LEFT(P84,FIND("+",P84&amp;"+")-1))-1)*MID(LEFT(P84,FIND("+",P84&amp;"+")-1),FIND("t",LEFT(P84,FIND("+",P84&amp;"+")-1))+1,2)^2*PI()/400,0)+IFERROR(LEFT(MID(P84,FIND("+",P84&amp;"+")+1,99),FIND("t",MID(P84,FIND("+",P84&amp;"+")+1,99))-1)*MID(MID(P84,FIND("+",P84&amp;"+")+1,99),FIND("t",MID(P84,FIND("+",P84&amp;"+")+1,99))+1,2)^2*PI()/400,0)</f>
        <v/>
      </c>
      <c r="Q85">
        <f>IFERROR(LEFT(LEFT(Q84,FIND("+",Q84&amp;"+")-1),FIND("t",LEFT(Q84,FIND("+",Q84&amp;"+")-1))-1)*MID(LEFT(Q84,FIND("+",Q84&amp;"+")-1),FIND("t",LEFT(Q84,FIND("+",Q84&amp;"+")-1))+1,2)^2*PI()/400,0)+IFERROR(LEFT(MID(Q84,FIND("+",Q84&amp;"+")+1,99),FIND("t",MID(Q84,FIND("+",Q84&amp;"+")+1,99))-1)*MID(MID(Q84,FIND("+",Q84&amp;"+")+1,99),FIND("t",MID(Q84,FIND("+",Q84&amp;"+")+1,99))+1,2)^2*PI()/400,0)</f>
        <v/>
      </c>
      <c r="R85">
        <f>IFERROR(LEFT(LEFT(R84,FIND("+",R84&amp;"+")-1),FIND("t",LEFT(R84,FIND("+",R84&amp;"+")-1))-1)*MID(LEFT(R84,FIND("+",R84&amp;"+")-1),FIND("t",LEFT(R84,FIND("+",R84&amp;"+")-1))+1,2)^2*PI()/400,0)+IFERROR(LEFT(MID(R84,FIND("+",R84&amp;"+")+1,99),FIND("t",MID(R84,FIND("+",R84&amp;"+")+1,99))-1)*MID(MID(R84,FIND("+",R84&amp;"+")+1,99),FIND("t",MID(R84,FIND("+",R84&amp;"+")+1,99))+1,2)^2*PI()/400,0)</f>
        <v/>
      </c>
      <c r="S85">
        <f>IFERROR(LEFT(LEFT(S84,FIND("+",S84&amp;"+")-1),FIND("t",LEFT(S84,FIND("+",S84&amp;"+")-1))-1)*MID(LEFT(S84,FIND("+",S84&amp;"+")-1),FIND("t",LEFT(S84,FIND("+",S84&amp;"+")-1))+1,2)^2*PI()/400,0)+IFERROR(LEFT(MID(S84,FIND("+",S84&amp;"+")+1,99),FIND("t",MID(S84,FIND("+",S84&amp;"+")+1,99))-1)*MID(MID(S84,FIND("+",S84&amp;"+")+1,99),FIND("t",MID(S84,FIND("+",S84&amp;"+")+1,99))+1,2)^2*PI()/400,0)</f>
        <v/>
      </c>
      <c r="T85">
        <f>IFERROR(LEFT(LEFT(T84,FIND("+",T84&amp;"+")-1),FIND("t",LEFT(T84,FIND("+",T84&amp;"+")-1))-1)*MID(LEFT(T84,FIND("+",T84&amp;"+")-1),FIND("t",LEFT(T84,FIND("+",T84&amp;"+")-1))+1,2)^2*PI()/400,0)+IFERROR(LEFT(MID(T84,FIND("+",T84&amp;"+")+1,99),FIND("t",MID(T84,FIND("+",T84&amp;"+")+1,99))-1)*MID(MID(T84,FIND("+",T84&amp;"+")+1,99),FIND("t",MID(T84,FIND("+",T84&amp;"+")+1,99))+1,2)^2*PI()/400,0)</f>
        <v/>
      </c>
      <c r="U85">
        <f>IFERROR(LEFT(LEFT(U84,FIND("+",U84&amp;"+")-1),FIND("t",LEFT(U84,FIND("+",U84&amp;"+")-1))-1)*MID(LEFT(U84,FIND("+",U84&amp;"+")-1),FIND("t",LEFT(U84,FIND("+",U84&amp;"+")-1))+1,2)^2*PI()/400,0)+IFERROR(LEFT(MID(U84,FIND("+",U84&amp;"+")+1,99),FIND("t",MID(U84,FIND("+",U84&amp;"+")+1,99))-1)*MID(MID(U84,FIND("+",U84&amp;"+")+1,99),FIND("t",MID(U84,FIND("+",U84&amp;"+")+1,99))+1,2)^2*PI()/400,0)</f>
        <v/>
      </c>
      <c r="V85">
        <f>IFERROR(LEFT(LEFT(V84,FIND("+",V84&amp;"+")-1),FIND("t",LEFT(V84,FIND("+",V84&amp;"+")-1))-1)*MID(LEFT(V84,FIND("+",V84&amp;"+")-1),FIND("t",LEFT(V84,FIND("+",V84&amp;"+")-1))+1,2)^2*PI()/400,0)+IFERROR(LEFT(MID(V84,FIND("+",V84&amp;"+")+1,99),FIND("t",MID(V84,FIND("+",V84&amp;"+")+1,99))-1)*MID(MID(V84,FIND("+",V84&amp;"+")+1,99),FIND("t",MID(V84,FIND("+",V84&amp;"+")+1,99))+1,2)^2*PI()/400,0)</f>
        <v/>
      </c>
      <c r="W85">
        <f>IFERROR(LEFT(LEFT(W84,FIND("+",W84&amp;"+")-1),FIND("t",LEFT(W84,FIND("+",W84&amp;"+")-1))-1)*MID(LEFT(W84,FIND("+",W84&amp;"+")-1),FIND("t",LEFT(W84,FIND("+",W84&amp;"+")-1))+1,2)^2*PI()/400,0)+IFERROR(LEFT(MID(W84,FIND("+",W84&amp;"+")+1,99),FIND("t",MID(W84,FIND("+",W84&amp;"+")+1,99))-1)*MID(MID(W84,FIND("+",W84&amp;"+")+1,99),FIND("t",MID(W84,FIND("+",W84&amp;"+")+1,99))+1,2)^2*PI()/400,0)</f>
        <v/>
      </c>
      <c r="X85">
        <f>IFERROR(LEFT(LEFT(X84,FIND("+",X84&amp;"+")-1),FIND("t",LEFT(X84,FIND("+",X84&amp;"+")-1))-1)*MID(LEFT(X84,FIND("+",X84&amp;"+")-1),FIND("t",LEFT(X84,FIND("+",X84&amp;"+")-1))+1,2)^2*PI()/400,0)+IFERROR(LEFT(MID(X84,FIND("+",X84&amp;"+")+1,99),FIND("t",MID(X84,FIND("+",X84&amp;"+")+1,99))-1)*MID(MID(X84,FIND("+",X84&amp;"+")+1,99),FIND("t",MID(X84,FIND("+",X84&amp;"+")+1,99))+1,2)^2*PI()/400,0)</f>
        <v/>
      </c>
      <c r="Y85">
        <f>IFERROR(LEFT(LEFT(Y84,FIND("+",Y84&amp;"+")-1),FIND("t",LEFT(Y84,FIND("+",Y84&amp;"+")-1))-1)*MID(LEFT(Y84,FIND("+",Y84&amp;"+")-1),FIND("t",LEFT(Y84,FIND("+",Y84&amp;"+")-1))+1,2)^2*PI()/400,0)+IFERROR(LEFT(MID(Y84,FIND("+",Y84&amp;"+")+1,99),FIND("t",MID(Y84,FIND("+",Y84&amp;"+")+1,99))-1)*MID(MID(Y84,FIND("+",Y84&amp;"+")+1,99),FIND("t",MID(Y84,FIND("+",Y84&amp;"+")+1,99))+1,2)^2*PI()/400,0)</f>
        <v/>
      </c>
      <c r="Z85">
        <f>IFERROR(LEFT(LEFT(Z84,FIND("+",Z84&amp;"+")-1),FIND("t",LEFT(Z84,FIND("+",Z84&amp;"+")-1))-1)*MID(LEFT(Z84,FIND("+",Z84&amp;"+")-1),FIND("t",LEFT(Z84,FIND("+",Z84&amp;"+")-1))+1,2)^2*PI()/400,0)+IFERROR(LEFT(MID(Z84,FIND("+",Z84&amp;"+")+1,99),FIND("t",MID(Z84,FIND("+",Z84&amp;"+")+1,99))-1)*MID(MID(Z84,FIND("+",Z84&amp;"+")+1,99),FIND("t",MID(Z84,FIND("+",Z84&amp;"+")+1,99))+1,2)^2*PI()/400,0)</f>
        <v/>
      </c>
      <c r="AA85">
        <f>IFERROR(LEFT(LEFT(AA84,FIND("+",AA84&amp;"+")-1),FIND("t",LEFT(AA84,FIND("+",AA84&amp;"+")-1))-1)*MID(LEFT(AA84,FIND("+",AA84&amp;"+")-1),FIND("t",LEFT(AA84,FIND("+",AA84&amp;"+")-1))+1,2)^2*PI()/400,0)+IFERROR(LEFT(MID(AA84,FIND("+",AA84&amp;"+")+1,99),FIND("t",MID(AA84,FIND("+",AA84&amp;"+")+1,99))-1)*MID(MID(AA84,FIND("+",AA84&amp;"+")+1,99),FIND("t",MID(AA84,FIND("+",AA84&amp;"+")+1,99))+1,2)^2*PI()/400,0)</f>
        <v/>
      </c>
      <c r="AB85">
        <f>IFERROR(LEFT(LEFT(AB84,FIND("+",AB84&amp;"+")-1),FIND("t",LEFT(AB84,FIND("+",AB84&amp;"+")-1))-1)*MID(LEFT(AB84,FIND("+",AB84&amp;"+")-1),FIND("t",LEFT(AB84,FIND("+",AB84&amp;"+")-1))+1,2)^2*PI()/400,0)+IFERROR(LEFT(MID(AB84,FIND("+",AB84&amp;"+")+1,99),FIND("t",MID(AB84,FIND("+",AB84&amp;"+")+1,99))-1)*MID(MID(AB84,FIND("+",AB84&amp;"+")+1,99),FIND("t",MID(AB84,FIND("+",AB84&amp;"+")+1,99))+1,2)^2*PI()/400,0)</f>
        <v/>
      </c>
      <c r="AC85">
        <f>IFERROR(LEFT(LEFT(AC84,FIND("+",AC84&amp;"+")-1),FIND("t",LEFT(AC84,FIND("+",AC84&amp;"+")-1))-1)*MID(LEFT(AC84,FIND("+",AC84&amp;"+")-1),FIND("t",LEFT(AC84,FIND("+",AC84&amp;"+")-1))+1,2)^2*PI()/400,0)+IFERROR(LEFT(MID(AC84,FIND("+",AC84&amp;"+")+1,99),FIND("t",MID(AC84,FIND("+",AC84&amp;"+")+1,99))-1)*MID(MID(AC84,FIND("+",AC84&amp;"+")+1,99),FIND("t",MID(AC84,FIND("+",AC84&amp;"+")+1,99))+1,2)^2*PI()/400,0)</f>
        <v/>
      </c>
      <c r="AD85">
        <f>IFERROR(LEFT(LEFT(AD84,FIND("+",AD84&amp;"+")-1),FIND("t",LEFT(AD84,FIND("+",AD84&amp;"+")-1))-1)*MID(LEFT(AD84,FIND("+",AD84&amp;"+")-1),FIND("t",LEFT(AD84,FIND("+",AD84&amp;"+")-1))+1,2)^2*PI()/400,0)+IFERROR(LEFT(MID(AD84,FIND("+",AD84&amp;"+")+1,99),FIND("t",MID(AD84,FIND("+",AD84&amp;"+")+1,99))-1)*MID(MID(AD84,FIND("+",AD84&amp;"+")+1,99),FIND("t",MID(AD84,FIND("+",AD84&amp;"+")+1,99))+1,2)^2*PI()/400,0)</f>
        <v/>
      </c>
      <c r="AE85">
        <f>IFERROR(LEFT(LEFT(AE84,FIND("+",AE84&amp;"+")-1),FIND("t",LEFT(AE84,FIND("+",AE84&amp;"+")-1))-1)*MID(LEFT(AE84,FIND("+",AE84&amp;"+")-1),FIND("t",LEFT(AE84,FIND("+",AE84&amp;"+")-1))+1,2)^2*PI()/400,0)+IFERROR(LEFT(MID(AE84,FIND("+",AE84&amp;"+")+1,99),FIND("t",MID(AE84,FIND("+",AE84&amp;"+")+1,99))-1)*MID(MID(AE84,FIND("+",AE84&amp;"+")+1,99),FIND("t",MID(AE84,FIND("+",AE84&amp;"+")+1,99))+1,2)^2*PI()/400,0)</f>
        <v/>
      </c>
      <c r="AF85">
        <f>IFERROR(LEFT(LEFT(AF84,FIND("+",AF84&amp;"+")-1),FIND("t",LEFT(AF84,FIND("+",AF84&amp;"+")-1))-1)*MID(LEFT(AF84,FIND("+",AF84&amp;"+")-1),FIND("t",LEFT(AF84,FIND("+",AF84&amp;"+")-1))+1,2)^2*PI()/400,0)+IFERROR(LEFT(MID(AF84,FIND("+",AF84&amp;"+")+1,99),FIND("t",MID(AF84,FIND("+",AF84&amp;"+")+1,99))-1)*MID(MID(AF84,FIND("+",AF84&amp;"+")+1,99),FIND("t",MID(AF84,FIND("+",AF84&amp;"+")+1,99))+1,2)^2*PI()/400,0)</f>
        <v/>
      </c>
      <c r="AG85">
        <f>IFERROR(LEFT(LEFT(AG84,FIND("+",AG84&amp;"+")-1),FIND("t",LEFT(AG84,FIND("+",AG84&amp;"+")-1))-1)*MID(LEFT(AG84,FIND("+",AG84&amp;"+")-1),FIND("t",LEFT(AG84,FIND("+",AG84&amp;"+")-1))+1,2)^2*PI()/400,0)+IFERROR(LEFT(MID(AG84,FIND("+",AG84&amp;"+")+1,99),FIND("t",MID(AG84,FIND("+",AG84&amp;"+")+1,99))-1)*MID(MID(AG84,FIND("+",AG84&amp;"+")+1,99),FIND("t",MID(AG84,FIND("+",AG84&amp;"+")+1,99))+1,2)^2*PI()/400,0)</f>
        <v/>
      </c>
    </row>
    <row r="86" hidden="1" outlineLevel="1">
      <c r="A86" s="60" t="inlineStr">
        <is>
          <t>(phụ trợ) N_T4R</t>
        </is>
      </c>
      <c r="C86">
        <f>SUBSTITUTE(SUBSTITUTE(SUBSTITUTE(SUBSTITUTE(SUBSTITUTE(SUBSTITUTE(LOWER(IF(ISNUMBER(FIND(";",C16)),MID(C16,FIND(";",C16)+1,99),C16))," ",""),"%%c","t"),"ø","t"),"φ","t"),"f","t"),"d","t")</f>
        <v/>
      </c>
      <c r="D86">
        <f>SUBSTITUTE(SUBSTITUTE(SUBSTITUTE(SUBSTITUTE(SUBSTITUTE(SUBSTITUTE(LOWER(IF(ISNUMBER(FIND(";",D16)),MID(D16,FIND(";",D16)+1,99),D16))," ",""),"%%c","t"),"ø","t"),"φ","t"),"f","t"),"d","t")</f>
        <v/>
      </c>
      <c r="E86">
        <f>SUBSTITUTE(SUBSTITUTE(SUBSTITUTE(SUBSTITUTE(SUBSTITUTE(SUBSTITUTE(LOWER(IF(ISNUMBER(FIND(";",E16)),MID(E16,FIND(";",E16)+1,99),E16))," ",""),"%%c","t"),"ø","t"),"φ","t"),"f","t"),"d","t")</f>
        <v/>
      </c>
      <c r="F86">
        <f>SUBSTITUTE(SUBSTITUTE(SUBSTITUTE(SUBSTITUTE(SUBSTITUTE(SUBSTITUTE(LOWER(IF(ISNUMBER(FIND(";",F16)),MID(F16,FIND(";",F16)+1,99),F16))," ",""),"%%c","t"),"ø","t"),"φ","t"),"f","t"),"d","t")</f>
        <v/>
      </c>
      <c r="G86">
        <f>SUBSTITUTE(SUBSTITUTE(SUBSTITUTE(SUBSTITUTE(SUBSTITUTE(SUBSTITUTE(LOWER(IF(ISNUMBER(FIND(";",G16)),MID(G16,FIND(";",G16)+1,99),G16))," ",""),"%%c","t"),"ø","t"),"φ","t"),"f","t"),"d","t")</f>
        <v/>
      </c>
      <c r="H86">
        <f>SUBSTITUTE(SUBSTITUTE(SUBSTITUTE(SUBSTITUTE(SUBSTITUTE(SUBSTITUTE(LOWER(IF(ISNUMBER(FIND(";",H16)),MID(H16,FIND(";",H16)+1,99),H16))," ",""),"%%c","t"),"ø","t"),"φ","t"),"f","t"),"d","t")</f>
        <v/>
      </c>
      <c r="I86">
        <f>SUBSTITUTE(SUBSTITUTE(SUBSTITUTE(SUBSTITUTE(SUBSTITUTE(SUBSTITUTE(LOWER(IF(ISNUMBER(FIND(";",I16)),MID(I16,FIND(";",I16)+1,99),I16))," ",""),"%%c","t"),"ø","t"),"φ","t"),"f","t"),"d","t")</f>
        <v/>
      </c>
      <c r="J86">
        <f>SUBSTITUTE(SUBSTITUTE(SUBSTITUTE(SUBSTITUTE(SUBSTITUTE(SUBSTITUTE(LOWER(IF(ISNUMBER(FIND(";",J16)),MID(J16,FIND(";",J16)+1,99),J16))," ",""),"%%c","t"),"ø","t"),"φ","t"),"f","t"),"d","t")</f>
        <v/>
      </c>
      <c r="K86">
        <f>SUBSTITUTE(SUBSTITUTE(SUBSTITUTE(SUBSTITUTE(SUBSTITUTE(SUBSTITUTE(LOWER(IF(ISNUMBER(FIND(";",K16)),MID(K16,FIND(";",K16)+1,99),K16))," ",""),"%%c","t"),"ø","t"),"φ","t"),"f","t"),"d","t")</f>
        <v/>
      </c>
      <c r="L86">
        <f>SUBSTITUTE(SUBSTITUTE(SUBSTITUTE(SUBSTITUTE(SUBSTITUTE(SUBSTITUTE(LOWER(IF(ISNUMBER(FIND(";",L16)),MID(L16,FIND(";",L16)+1,99),L16))," ",""),"%%c","t"),"ø","t"),"φ","t"),"f","t"),"d","t")</f>
        <v/>
      </c>
      <c r="M86">
        <f>SUBSTITUTE(SUBSTITUTE(SUBSTITUTE(SUBSTITUTE(SUBSTITUTE(SUBSTITUTE(LOWER(IF(ISNUMBER(FIND(";",M16)),MID(M16,FIND(";",M16)+1,99),M16))," ",""),"%%c","t"),"ø","t"),"φ","t"),"f","t"),"d","t")</f>
        <v/>
      </c>
      <c r="N86">
        <f>SUBSTITUTE(SUBSTITUTE(SUBSTITUTE(SUBSTITUTE(SUBSTITUTE(SUBSTITUTE(LOWER(IF(ISNUMBER(FIND(";",N16)),MID(N16,FIND(";",N16)+1,99),N16))," ",""),"%%c","t"),"ø","t"),"φ","t"),"f","t"),"d","t")</f>
        <v/>
      </c>
      <c r="O86">
        <f>SUBSTITUTE(SUBSTITUTE(SUBSTITUTE(SUBSTITUTE(SUBSTITUTE(SUBSTITUTE(LOWER(IF(ISNUMBER(FIND(";",O16)),MID(O16,FIND(";",O16)+1,99),O16))," ",""),"%%c","t"),"ø","t"),"φ","t"),"f","t"),"d","t")</f>
        <v/>
      </c>
      <c r="P86">
        <f>SUBSTITUTE(SUBSTITUTE(SUBSTITUTE(SUBSTITUTE(SUBSTITUTE(SUBSTITUTE(LOWER(IF(ISNUMBER(FIND(";",P16)),MID(P16,FIND(";",P16)+1,99),P16))," ",""),"%%c","t"),"ø","t"),"φ","t"),"f","t"),"d","t")</f>
        <v/>
      </c>
      <c r="Q86">
        <f>SUBSTITUTE(SUBSTITUTE(SUBSTITUTE(SUBSTITUTE(SUBSTITUTE(SUBSTITUTE(LOWER(IF(ISNUMBER(FIND(";",Q16)),MID(Q16,FIND(";",Q16)+1,99),Q16))," ",""),"%%c","t"),"ø","t"),"φ","t"),"f","t"),"d","t")</f>
        <v/>
      </c>
      <c r="R86">
        <f>SUBSTITUTE(SUBSTITUTE(SUBSTITUTE(SUBSTITUTE(SUBSTITUTE(SUBSTITUTE(LOWER(IF(ISNUMBER(FIND(";",R16)),MID(R16,FIND(";",R16)+1,99),R16))," ",""),"%%c","t"),"ø","t"),"φ","t"),"f","t"),"d","t")</f>
        <v/>
      </c>
      <c r="S86">
        <f>SUBSTITUTE(SUBSTITUTE(SUBSTITUTE(SUBSTITUTE(SUBSTITUTE(SUBSTITUTE(LOWER(IF(ISNUMBER(FIND(";",S16)),MID(S16,FIND(";",S16)+1,99),S16))," ",""),"%%c","t"),"ø","t"),"φ","t"),"f","t"),"d","t")</f>
        <v/>
      </c>
      <c r="T86">
        <f>SUBSTITUTE(SUBSTITUTE(SUBSTITUTE(SUBSTITUTE(SUBSTITUTE(SUBSTITUTE(LOWER(IF(ISNUMBER(FIND(";",T16)),MID(T16,FIND(";",T16)+1,99),T16))," ",""),"%%c","t"),"ø","t"),"φ","t"),"f","t"),"d","t")</f>
        <v/>
      </c>
      <c r="U86">
        <f>SUBSTITUTE(SUBSTITUTE(SUBSTITUTE(SUBSTITUTE(SUBSTITUTE(SUBSTITUTE(LOWER(IF(ISNUMBER(FIND(";",U16)),MID(U16,FIND(";",U16)+1,99),U16))," ",""),"%%c","t"),"ø","t"),"φ","t"),"f","t"),"d","t")</f>
        <v/>
      </c>
      <c r="V86">
        <f>SUBSTITUTE(SUBSTITUTE(SUBSTITUTE(SUBSTITUTE(SUBSTITUTE(SUBSTITUTE(LOWER(IF(ISNUMBER(FIND(";",V16)),MID(V16,FIND(";",V16)+1,99),V16))," ",""),"%%c","t"),"ø","t"),"φ","t"),"f","t"),"d","t")</f>
        <v/>
      </c>
      <c r="W86">
        <f>SUBSTITUTE(SUBSTITUTE(SUBSTITUTE(SUBSTITUTE(SUBSTITUTE(SUBSTITUTE(LOWER(IF(ISNUMBER(FIND(";",W16)),MID(W16,FIND(";",W16)+1,99),W16))," ",""),"%%c","t"),"ø","t"),"φ","t"),"f","t"),"d","t")</f>
        <v/>
      </c>
      <c r="X86">
        <f>SUBSTITUTE(SUBSTITUTE(SUBSTITUTE(SUBSTITUTE(SUBSTITUTE(SUBSTITUTE(LOWER(IF(ISNUMBER(FIND(";",X16)),MID(X16,FIND(";",X16)+1,99),X16))," ",""),"%%c","t"),"ø","t"),"φ","t"),"f","t"),"d","t")</f>
        <v/>
      </c>
      <c r="Y86">
        <f>SUBSTITUTE(SUBSTITUTE(SUBSTITUTE(SUBSTITUTE(SUBSTITUTE(SUBSTITUTE(LOWER(IF(ISNUMBER(FIND(";",Y16)),MID(Y16,FIND(";",Y16)+1,99),Y16))," ",""),"%%c","t"),"ø","t"),"φ","t"),"f","t"),"d","t")</f>
        <v/>
      </c>
      <c r="Z86">
        <f>SUBSTITUTE(SUBSTITUTE(SUBSTITUTE(SUBSTITUTE(SUBSTITUTE(SUBSTITUTE(LOWER(IF(ISNUMBER(FIND(";",Z16)),MID(Z16,FIND(";",Z16)+1,99),Z16))," ",""),"%%c","t"),"ø","t"),"φ","t"),"f","t"),"d","t")</f>
        <v/>
      </c>
      <c r="AA86">
        <f>SUBSTITUTE(SUBSTITUTE(SUBSTITUTE(SUBSTITUTE(SUBSTITUTE(SUBSTITUTE(LOWER(IF(ISNUMBER(FIND(";",AA16)),MID(AA16,FIND(";",AA16)+1,99),AA16))," ",""),"%%c","t"),"ø","t"),"φ","t"),"f","t"),"d","t")</f>
        <v/>
      </c>
      <c r="AB86">
        <f>SUBSTITUTE(SUBSTITUTE(SUBSTITUTE(SUBSTITUTE(SUBSTITUTE(SUBSTITUTE(LOWER(IF(ISNUMBER(FIND(";",AB16)),MID(AB16,FIND(";",AB16)+1,99),AB16))," ",""),"%%c","t"),"ø","t"),"φ","t"),"f","t"),"d","t")</f>
        <v/>
      </c>
      <c r="AC86">
        <f>SUBSTITUTE(SUBSTITUTE(SUBSTITUTE(SUBSTITUTE(SUBSTITUTE(SUBSTITUTE(LOWER(IF(ISNUMBER(FIND(";",AC16)),MID(AC16,FIND(";",AC16)+1,99),AC16))," ",""),"%%c","t"),"ø","t"),"φ","t"),"f","t"),"d","t")</f>
        <v/>
      </c>
      <c r="AD86">
        <f>SUBSTITUTE(SUBSTITUTE(SUBSTITUTE(SUBSTITUTE(SUBSTITUTE(SUBSTITUTE(LOWER(IF(ISNUMBER(FIND(";",AD16)),MID(AD16,FIND(";",AD16)+1,99),AD16))," ",""),"%%c","t"),"ø","t"),"φ","t"),"f","t"),"d","t")</f>
        <v/>
      </c>
      <c r="AE86">
        <f>SUBSTITUTE(SUBSTITUTE(SUBSTITUTE(SUBSTITUTE(SUBSTITUTE(SUBSTITUTE(LOWER(IF(ISNUMBER(FIND(";",AE16)),MID(AE16,FIND(";",AE16)+1,99),AE16))," ",""),"%%c","t"),"ø","t"),"φ","t"),"f","t"),"d","t")</f>
        <v/>
      </c>
      <c r="AF86">
        <f>SUBSTITUTE(SUBSTITUTE(SUBSTITUTE(SUBSTITUTE(SUBSTITUTE(SUBSTITUTE(LOWER(IF(ISNUMBER(FIND(";",AF16)),MID(AF16,FIND(";",AF16)+1,99),AF16))," ",""),"%%c","t"),"ø","t"),"φ","t"),"f","t"),"d","t")</f>
        <v/>
      </c>
      <c r="AG86">
        <f>SUBSTITUTE(SUBSTITUTE(SUBSTITUTE(SUBSTITUTE(SUBSTITUTE(SUBSTITUTE(LOWER(IF(ISNUMBER(FIND(";",AG16)),MID(AG16,FIND(";",AG16)+1,99),AG16))," ",""),"%%c","t"),"ø","t"),"φ","t"),"f","t"),"d","t")</f>
        <v/>
      </c>
    </row>
    <row r="87" hidden="1" outlineLevel="1">
      <c r="A87" s="60" t="inlineStr">
        <is>
          <t>(phụ trợ) A_T4R</t>
        </is>
      </c>
      <c r="C87">
        <f>IFERROR(LEFT(LEFT(C86,FIND("+",C86&amp;"+")-1),FIND("t",LEFT(C86,FIND("+",C86&amp;"+")-1))-1)*MID(LEFT(C86,FIND("+",C86&amp;"+")-1),FIND("t",LEFT(C86,FIND("+",C86&amp;"+")-1))+1,2)^2*PI()/400,0)+IFERROR(LEFT(MID(C86,FIND("+",C86&amp;"+")+1,99),FIND("t",MID(C86,FIND("+",C86&amp;"+")+1,99))-1)*MID(MID(C86,FIND("+",C86&amp;"+")+1,99),FIND("t",MID(C86,FIND("+",C86&amp;"+")+1,99))+1,2)^2*PI()/400,0)</f>
        <v/>
      </c>
      <c r="D87">
        <f>IFERROR(LEFT(LEFT(D86,FIND("+",D86&amp;"+")-1),FIND("t",LEFT(D86,FIND("+",D86&amp;"+")-1))-1)*MID(LEFT(D86,FIND("+",D86&amp;"+")-1),FIND("t",LEFT(D86,FIND("+",D86&amp;"+")-1))+1,2)^2*PI()/400,0)+IFERROR(LEFT(MID(D86,FIND("+",D86&amp;"+")+1,99),FIND("t",MID(D86,FIND("+",D86&amp;"+")+1,99))-1)*MID(MID(D86,FIND("+",D86&amp;"+")+1,99),FIND("t",MID(D86,FIND("+",D86&amp;"+")+1,99))+1,2)^2*PI()/400,0)</f>
        <v/>
      </c>
      <c r="E87">
        <f>IFERROR(LEFT(LEFT(E86,FIND("+",E86&amp;"+")-1),FIND("t",LEFT(E86,FIND("+",E86&amp;"+")-1))-1)*MID(LEFT(E86,FIND("+",E86&amp;"+")-1),FIND("t",LEFT(E86,FIND("+",E86&amp;"+")-1))+1,2)^2*PI()/400,0)+IFERROR(LEFT(MID(E86,FIND("+",E86&amp;"+")+1,99),FIND("t",MID(E86,FIND("+",E86&amp;"+")+1,99))-1)*MID(MID(E86,FIND("+",E86&amp;"+")+1,99),FIND("t",MID(E86,FIND("+",E86&amp;"+")+1,99))+1,2)^2*PI()/400,0)</f>
        <v/>
      </c>
      <c r="F87">
        <f>IFERROR(LEFT(LEFT(F86,FIND("+",F86&amp;"+")-1),FIND("t",LEFT(F86,FIND("+",F86&amp;"+")-1))-1)*MID(LEFT(F86,FIND("+",F86&amp;"+")-1),FIND("t",LEFT(F86,FIND("+",F86&amp;"+")-1))+1,2)^2*PI()/400,0)+IFERROR(LEFT(MID(F86,FIND("+",F86&amp;"+")+1,99),FIND("t",MID(F86,FIND("+",F86&amp;"+")+1,99))-1)*MID(MID(F86,FIND("+",F86&amp;"+")+1,99),FIND("t",MID(F86,FIND("+",F86&amp;"+")+1,99))+1,2)^2*PI()/400,0)</f>
        <v/>
      </c>
      <c r="G87">
        <f>IFERROR(LEFT(LEFT(G86,FIND("+",G86&amp;"+")-1),FIND("t",LEFT(G86,FIND("+",G86&amp;"+")-1))-1)*MID(LEFT(G86,FIND("+",G86&amp;"+")-1),FIND("t",LEFT(G86,FIND("+",G86&amp;"+")-1))+1,2)^2*PI()/400,0)+IFERROR(LEFT(MID(G86,FIND("+",G86&amp;"+")+1,99),FIND("t",MID(G86,FIND("+",G86&amp;"+")+1,99))-1)*MID(MID(G86,FIND("+",G86&amp;"+")+1,99),FIND("t",MID(G86,FIND("+",G86&amp;"+")+1,99))+1,2)^2*PI()/400,0)</f>
        <v/>
      </c>
      <c r="H87">
        <f>IFERROR(LEFT(LEFT(H86,FIND("+",H86&amp;"+")-1),FIND("t",LEFT(H86,FIND("+",H86&amp;"+")-1))-1)*MID(LEFT(H86,FIND("+",H86&amp;"+")-1),FIND("t",LEFT(H86,FIND("+",H86&amp;"+")-1))+1,2)^2*PI()/400,0)+IFERROR(LEFT(MID(H86,FIND("+",H86&amp;"+")+1,99),FIND("t",MID(H86,FIND("+",H86&amp;"+")+1,99))-1)*MID(MID(H86,FIND("+",H86&amp;"+")+1,99),FIND("t",MID(H86,FIND("+",H86&amp;"+")+1,99))+1,2)^2*PI()/400,0)</f>
        <v/>
      </c>
      <c r="I87">
        <f>IFERROR(LEFT(LEFT(I86,FIND("+",I86&amp;"+")-1),FIND("t",LEFT(I86,FIND("+",I86&amp;"+")-1))-1)*MID(LEFT(I86,FIND("+",I86&amp;"+")-1),FIND("t",LEFT(I86,FIND("+",I86&amp;"+")-1))+1,2)^2*PI()/400,0)+IFERROR(LEFT(MID(I86,FIND("+",I86&amp;"+")+1,99),FIND("t",MID(I86,FIND("+",I86&amp;"+")+1,99))-1)*MID(MID(I86,FIND("+",I86&amp;"+")+1,99),FIND("t",MID(I86,FIND("+",I86&amp;"+")+1,99))+1,2)^2*PI()/400,0)</f>
        <v/>
      </c>
      <c r="J87">
        <f>IFERROR(LEFT(LEFT(J86,FIND("+",J86&amp;"+")-1),FIND("t",LEFT(J86,FIND("+",J86&amp;"+")-1))-1)*MID(LEFT(J86,FIND("+",J86&amp;"+")-1),FIND("t",LEFT(J86,FIND("+",J86&amp;"+")-1))+1,2)^2*PI()/400,0)+IFERROR(LEFT(MID(J86,FIND("+",J86&amp;"+")+1,99),FIND("t",MID(J86,FIND("+",J86&amp;"+")+1,99))-1)*MID(MID(J86,FIND("+",J86&amp;"+")+1,99),FIND("t",MID(J86,FIND("+",J86&amp;"+")+1,99))+1,2)^2*PI()/400,0)</f>
        <v/>
      </c>
      <c r="K87">
        <f>IFERROR(LEFT(LEFT(K86,FIND("+",K86&amp;"+")-1),FIND("t",LEFT(K86,FIND("+",K86&amp;"+")-1))-1)*MID(LEFT(K86,FIND("+",K86&amp;"+")-1),FIND("t",LEFT(K86,FIND("+",K86&amp;"+")-1))+1,2)^2*PI()/400,0)+IFERROR(LEFT(MID(K86,FIND("+",K86&amp;"+")+1,99),FIND("t",MID(K86,FIND("+",K86&amp;"+")+1,99))-1)*MID(MID(K86,FIND("+",K86&amp;"+")+1,99),FIND("t",MID(K86,FIND("+",K86&amp;"+")+1,99))+1,2)^2*PI()/400,0)</f>
        <v/>
      </c>
      <c r="L87">
        <f>IFERROR(LEFT(LEFT(L86,FIND("+",L86&amp;"+")-1),FIND("t",LEFT(L86,FIND("+",L86&amp;"+")-1))-1)*MID(LEFT(L86,FIND("+",L86&amp;"+")-1),FIND("t",LEFT(L86,FIND("+",L86&amp;"+")-1))+1,2)^2*PI()/400,0)+IFERROR(LEFT(MID(L86,FIND("+",L86&amp;"+")+1,99),FIND("t",MID(L86,FIND("+",L86&amp;"+")+1,99))-1)*MID(MID(L86,FIND("+",L86&amp;"+")+1,99),FIND("t",MID(L86,FIND("+",L86&amp;"+")+1,99))+1,2)^2*PI()/400,0)</f>
        <v/>
      </c>
      <c r="M87">
        <f>IFERROR(LEFT(LEFT(M86,FIND("+",M86&amp;"+")-1),FIND("t",LEFT(M86,FIND("+",M86&amp;"+")-1))-1)*MID(LEFT(M86,FIND("+",M86&amp;"+")-1),FIND("t",LEFT(M86,FIND("+",M86&amp;"+")-1))+1,2)^2*PI()/400,0)+IFERROR(LEFT(MID(M86,FIND("+",M86&amp;"+")+1,99),FIND("t",MID(M86,FIND("+",M86&amp;"+")+1,99))-1)*MID(MID(M86,FIND("+",M86&amp;"+")+1,99),FIND("t",MID(M86,FIND("+",M86&amp;"+")+1,99))+1,2)^2*PI()/400,0)</f>
        <v/>
      </c>
      <c r="N87">
        <f>IFERROR(LEFT(LEFT(N86,FIND("+",N86&amp;"+")-1),FIND("t",LEFT(N86,FIND("+",N86&amp;"+")-1))-1)*MID(LEFT(N86,FIND("+",N86&amp;"+")-1),FIND("t",LEFT(N86,FIND("+",N86&amp;"+")-1))+1,2)^2*PI()/400,0)+IFERROR(LEFT(MID(N86,FIND("+",N86&amp;"+")+1,99),FIND("t",MID(N86,FIND("+",N86&amp;"+")+1,99))-1)*MID(MID(N86,FIND("+",N86&amp;"+")+1,99),FIND("t",MID(N86,FIND("+",N86&amp;"+")+1,99))+1,2)^2*PI()/400,0)</f>
        <v/>
      </c>
      <c r="O87">
        <f>IFERROR(LEFT(LEFT(O86,FIND("+",O86&amp;"+")-1),FIND("t",LEFT(O86,FIND("+",O86&amp;"+")-1))-1)*MID(LEFT(O86,FIND("+",O86&amp;"+")-1),FIND("t",LEFT(O86,FIND("+",O86&amp;"+")-1))+1,2)^2*PI()/400,0)+IFERROR(LEFT(MID(O86,FIND("+",O86&amp;"+")+1,99),FIND("t",MID(O86,FIND("+",O86&amp;"+")+1,99))-1)*MID(MID(O86,FIND("+",O86&amp;"+")+1,99),FIND("t",MID(O86,FIND("+",O86&amp;"+")+1,99))+1,2)^2*PI()/400,0)</f>
        <v/>
      </c>
      <c r="P87">
        <f>IFERROR(LEFT(LEFT(P86,FIND("+",P86&amp;"+")-1),FIND("t",LEFT(P86,FIND("+",P86&amp;"+")-1))-1)*MID(LEFT(P86,FIND("+",P86&amp;"+")-1),FIND("t",LEFT(P86,FIND("+",P86&amp;"+")-1))+1,2)^2*PI()/400,0)+IFERROR(LEFT(MID(P86,FIND("+",P86&amp;"+")+1,99),FIND("t",MID(P86,FIND("+",P86&amp;"+")+1,99))-1)*MID(MID(P86,FIND("+",P86&amp;"+")+1,99),FIND("t",MID(P86,FIND("+",P86&amp;"+")+1,99))+1,2)^2*PI()/400,0)</f>
        <v/>
      </c>
      <c r="Q87">
        <f>IFERROR(LEFT(LEFT(Q86,FIND("+",Q86&amp;"+")-1),FIND("t",LEFT(Q86,FIND("+",Q86&amp;"+")-1))-1)*MID(LEFT(Q86,FIND("+",Q86&amp;"+")-1),FIND("t",LEFT(Q86,FIND("+",Q86&amp;"+")-1))+1,2)^2*PI()/400,0)+IFERROR(LEFT(MID(Q86,FIND("+",Q86&amp;"+")+1,99),FIND("t",MID(Q86,FIND("+",Q86&amp;"+")+1,99))-1)*MID(MID(Q86,FIND("+",Q86&amp;"+")+1,99),FIND("t",MID(Q86,FIND("+",Q86&amp;"+")+1,99))+1,2)^2*PI()/400,0)</f>
        <v/>
      </c>
      <c r="R87">
        <f>IFERROR(LEFT(LEFT(R86,FIND("+",R86&amp;"+")-1),FIND("t",LEFT(R86,FIND("+",R86&amp;"+")-1))-1)*MID(LEFT(R86,FIND("+",R86&amp;"+")-1),FIND("t",LEFT(R86,FIND("+",R86&amp;"+")-1))+1,2)^2*PI()/400,0)+IFERROR(LEFT(MID(R86,FIND("+",R86&amp;"+")+1,99),FIND("t",MID(R86,FIND("+",R86&amp;"+")+1,99))-1)*MID(MID(R86,FIND("+",R86&amp;"+")+1,99),FIND("t",MID(R86,FIND("+",R86&amp;"+")+1,99))+1,2)^2*PI()/400,0)</f>
        <v/>
      </c>
      <c r="S87">
        <f>IFERROR(LEFT(LEFT(S86,FIND("+",S86&amp;"+")-1),FIND("t",LEFT(S86,FIND("+",S86&amp;"+")-1))-1)*MID(LEFT(S86,FIND("+",S86&amp;"+")-1),FIND("t",LEFT(S86,FIND("+",S86&amp;"+")-1))+1,2)^2*PI()/400,0)+IFERROR(LEFT(MID(S86,FIND("+",S86&amp;"+")+1,99),FIND("t",MID(S86,FIND("+",S86&amp;"+")+1,99))-1)*MID(MID(S86,FIND("+",S86&amp;"+")+1,99),FIND("t",MID(S86,FIND("+",S86&amp;"+")+1,99))+1,2)^2*PI()/400,0)</f>
        <v/>
      </c>
      <c r="T87">
        <f>IFERROR(LEFT(LEFT(T86,FIND("+",T86&amp;"+")-1),FIND("t",LEFT(T86,FIND("+",T86&amp;"+")-1))-1)*MID(LEFT(T86,FIND("+",T86&amp;"+")-1),FIND("t",LEFT(T86,FIND("+",T86&amp;"+")-1))+1,2)^2*PI()/400,0)+IFERROR(LEFT(MID(T86,FIND("+",T86&amp;"+")+1,99),FIND("t",MID(T86,FIND("+",T86&amp;"+")+1,99))-1)*MID(MID(T86,FIND("+",T86&amp;"+")+1,99),FIND("t",MID(T86,FIND("+",T86&amp;"+")+1,99))+1,2)^2*PI()/400,0)</f>
        <v/>
      </c>
      <c r="U87">
        <f>IFERROR(LEFT(LEFT(U86,FIND("+",U86&amp;"+")-1),FIND("t",LEFT(U86,FIND("+",U86&amp;"+")-1))-1)*MID(LEFT(U86,FIND("+",U86&amp;"+")-1),FIND("t",LEFT(U86,FIND("+",U86&amp;"+")-1))+1,2)^2*PI()/400,0)+IFERROR(LEFT(MID(U86,FIND("+",U86&amp;"+")+1,99),FIND("t",MID(U86,FIND("+",U86&amp;"+")+1,99))-1)*MID(MID(U86,FIND("+",U86&amp;"+")+1,99),FIND("t",MID(U86,FIND("+",U86&amp;"+")+1,99))+1,2)^2*PI()/400,0)</f>
        <v/>
      </c>
      <c r="V87">
        <f>IFERROR(LEFT(LEFT(V86,FIND("+",V86&amp;"+")-1),FIND("t",LEFT(V86,FIND("+",V86&amp;"+")-1))-1)*MID(LEFT(V86,FIND("+",V86&amp;"+")-1),FIND("t",LEFT(V86,FIND("+",V86&amp;"+")-1))+1,2)^2*PI()/400,0)+IFERROR(LEFT(MID(V86,FIND("+",V86&amp;"+")+1,99),FIND("t",MID(V86,FIND("+",V86&amp;"+")+1,99))-1)*MID(MID(V86,FIND("+",V86&amp;"+")+1,99),FIND("t",MID(V86,FIND("+",V86&amp;"+")+1,99))+1,2)^2*PI()/400,0)</f>
        <v/>
      </c>
      <c r="W87">
        <f>IFERROR(LEFT(LEFT(W86,FIND("+",W86&amp;"+")-1),FIND("t",LEFT(W86,FIND("+",W86&amp;"+")-1))-1)*MID(LEFT(W86,FIND("+",W86&amp;"+")-1),FIND("t",LEFT(W86,FIND("+",W86&amp;"+")-1))+1,2)^2*PI()/400,0)+IFERROR(LEFT(MID(W86,FIND("+",W86&amp;"+")+1,99),FIND("t",MID(W86,FIND("+",W86&amp;"+")+1,99))-1)*MID(MID(W86,FIND("+",W86&amp;"+")+1,99),FIND("t",MID(W86,FIND("+",W86&amp;"+")+1,99))+1,2)^2*PI()/400,0)</f>
        <v/>
      </c>
      <c r="X87">
        <f>IFERROR(LEFT(LEFT(X86,FIND("+",X86&amp;"+")-1),FIND("t",LEFT(X86,FIND("+",X86&amp;"+")-1))-1)*MID(LEFT(X86,FIND("+",X86&amp;"+")-1),FIND("t",LEFT(X86,FIND("+",X86&amp;"+")-1))+1,2)^2*PI()/400,0)+IFERROR(LEFT(MID(X86,FIND("+",X86&amp;"+")+1,99),FIND("t",MID(X86,FIND("+",X86&amp;"+")+1,99))-1)*MID(MID(X86,FIND("+",X86&amp;"+")+1,99),FIND("t",MID(X86,FIND("+",X86&amp;"+")+1,99))+1,2)^2*PI()/400,0)</f>
        <v/>
      </c>
      <c r="Y87">
        <f>IFERROR(LEFT(LEFT(Y86,FIND("+",Y86&amp;"+")-1),FIND("t",LEFT(Y86,FIND("+",Y86&amp;"+")-1))-1)*MID(LEFT(Y86,FIND("+",Y86&amp;"+")-1),FIND("t",LEFT(Y86,FIND("+",Y86&amp;"+")-1))+1,2)^2*PI()/400,0)+IFERROR(LEFT(MID(Y86,FIND("+",Y86&amp;"+")+1,99),FIND("t",MID(Y86,FIND("+",Y86&amp;"+")+1,99))-1)*MID(MID(Y86,FIND("+",Y86&amp;"+")+1,99),FIND("t",MID(Y86,FIND("+",Y86&amp;"+")+1,99))+1,2)^2*PI()/400,0)</f>
        <v/>
      </c>
      <c r="Z87">
        <f>IFERROR(LEFT(LEFT(Z86,FIND("+",Z86&amp;"+")-1),FIND("t",LEFT(Z86,FIND("+",Z86&amp;"+")-1))-1)*MID(LEFT(Z86,FIND("+",Z86&amp;"+")-1),FIND("t",LEFT(Z86,FIND("+",Z86&amp;"+")-1))+1,2)^2*PI()/400,0)+IFERROR(LEFT(MID(Z86,FIND("+",Z86&amp;"+")+1,99),FIND("t",MID(Z86,FIND("+",Z86&amp;"+")+1,99))-1)*MID(MID(Z86,FIND("+",Z86&amp;"+")+1,99),FIND("t",MID(Z86,FIND("+",Z86&amp;"+")+1,99))+1,2)^2*PI()/400,0)</f>
        <v/>
      </c>
      <c r="AA87">
        <f>IFERROR(LEFT(LEFT(AA86,FIND("+",AA86&amp;"+")-1),FIND("t",LEFT(AA86,FIND("+",AA86&amp;"+")-1))-1)*MID(LEFT(AA86,FIND("+",AA86&amp;"+")-1),FIND("t",LEFT(AA86,FIND("+",AA86&amp;"+")-1))+1,2)^2*PI()/400,0)+IFERROR(LEFT(MID(AA86,FIND("+",AA86&amp;"+")+1,99),FIND("t",MID(AA86,FIND("+",AA86&amp;"+")+1,99))-1)*MID(MID(AA86,FIND("+",AA86&amp;"+")+1,99),FIND("t",MID(AA86,FIND("+",AA86&amp;"+")+1,99))+1,2)^2*PI()/400,0)</f>
        <v/>
      </c>
      <c r="AB87">
        <f>IFERROR(LEFT(LEFT(AB86,FIND("+",AB86&amp;"+")-1),FIND("t",LEFT(AB86,FIND("+",AB86&amp;"+")-1))-1)*MID(LEFT(AB86,FIND("+",AB86&amp;"+")-1),FIND("t",LEFT(AB86,FIND("+",AB86&amp;"+")-1))+1,2)^2*PI()/400,0)+IFERROR(LEFT(MID(AB86,FIND("+",AB86&amp;"+")+1,99),FIND("t",MID(AB86,FIND("+",AB86&amp;"+")+1,99))-1)*MID(MID(AB86,FIND("+",AB86&amp;"+")+1,99),FIND("t",MID(AB86,FIND("+",AB86&amp;"+")+1,99))+1,2)^2*PI()/400,0)</f>
        <v/>
      </c>
      <c r="AC87">
        <f>IFERROR(LEFT(LEFT(AC86,FIND("+",AC86&amp;"+")-1),FIND("t",LEFT(AC86,FIND("+",AC86&amp;"+")-1))-1)*MID(LEFT(AC86,FIND("+",AC86&amp;"+")-1),FIND("t",LEFT(AC86,FIND("+",AC86&amp;"+")-1))+1,2)^2*PI()/400,0)+IFERROR(LEFT(MID(AC86,FIND("+",AC86&amp;"+")+1,99),FIND("t",MID(AC86,FIND("+",AC86&amp;"+")+1,99))-1)*MID(MID(AC86,FIND("+",AC86&amp;"+")+1,99),FIND("t",MID(AC86,FIND("+",AC86&amp;"+")+1,99))+1,2)^2*PI()/400,0)</f>
        <v/>
      </c>
      <c r="AD87">
        <f>IFERROR(LEFT(LEFT(AD86,FIND("+",AD86&amp;"+")-1),FIND("t",LEFT(AD86,FIND("+",AD86&amp;"+")-1))-1)*MID(LEFT(AD86,FIND("+",AD86&amp;"+")-1),FIND("t",LEFT(AD86,FIND("+",AD86&amp;"+")-1))+1,2)^2*PI()/400,0)+IFERROR(LEFT(MID(AD86,FIND("+",AD86&amp;"+")+1,99),FIND("t",MID(AD86,FIND("+",AD86&amp;"+")+1,99))-1)*MID(MID(AD86,FIND("+",AD86&amp;"+")+1,99),FIND("t",MID(AD86,FIND("+",AD86&amp;"+")+1,99))+1,2)^2*PI()/400,0)</f>
        <v/>
      </c>
      <c r="AE87">
        <f>IFERROR(LEFT(LEFT(AE86,FIND("+",AE86&amp;"+")-1),FIND("t",LEFT(AE86,FIND("+",AE86&amp;"+")-1))-1)*MID(LEFT(AE86,FIND("+",AE86&amp;"+")-1),FIND("t",LEFT(AE86,FIND("+",AE86&amp;"+")-1))+1,2)^2*PI()/400,0)+IFERROR(LEFT(MID(AE86,FIND("+",AE86&amp;"+")+1,99),FIND("t",MID(AE86,FIND("+",AE86&amp;"+")+1,99))-1)*MID(MID(AE86,FIND("+",AE86&amp;"+")+1,99),FIND("t",MID(AE86,FIND("+",AE86&amp;"+")+1,99))+1,2)^2*PI()/400,0)</f>
        <v/>
      </c>
      <c r="AF87">
        <f>IFERROR(LEFT(LEFT(AF86,FIND("+",AF86&amp;"+")-1),FIND("t",LEFT(AF86,FIND("+",AF86&amp;"+")-1))-1)*MID(LEFT(AF86,FIND("+",AF86&amp;"+")-1),FIND("t",LEFT(AF86,FIND("+",AF86&amp;"+")-1))+1,2)^2*PI()/400,0)+IFERROR(LEFT(MID(AF86,FIND("+",AF86&amp;"+")+1,99),FIND("t",MID(AF86,FIND("+",AF86&amp;"+")+1,99))-1)*MID(MID(AF86,FIND("+",AF86&amp;"+")+1,99),FIND("t",MID(AF86,FIND("+",AF86&amp;"+")+1,99))+1,2)^2*PI()/400,0)</f>
        <v/>
      </c>
      <c r="AG87">
        <f>IFERROR(LEFT(LEFT(AG86,FIND("+",AG86&amp;"+")-1),FIND("t",LEFT(AG86,FIND("+",AG86&amp;"+")-1))-1)*MID(LEFT(AG86,FIND("+",AG86&amp;"+")-1),FIND("t",LEFT(AG86,FIND("+",AG86&amp;"+")-1))+1,2)^2*PI()/400,0)+IFERROR(LEFT(MID(AG86,FIND("+",AG86&amp;"+")+1,99),FIND("t",MID(AG86,FIND("+",AG86&amp;"+")+1,99))-1)*MID(MID(AG86,FIND("+",AG86&amp;"+")+1,99),FIND("t",MID(AG86,FIND("+",AG86&amp;"+")+1,99))+1,2)^2*PI()/400,0)</f>
        <v/>
      </c>
    </row>
    <row r="88" hidden="1" outlineLevel="1">
      <c r="A88" s="60" t="inlineStr">
        <is>
          <t>(phụ trợ) N_T5L</t>
        </is>
      </c>
      <c r="C88">
        <f>SUBSTITUTE(SUBSTITUTE(SUBSTITUTE(SUBSTITUTE(SUBSTITUTE(SUBSTITUTE(LOWER(IF(ISNUMBER(FIND(";",C17)),LEFT(C17,FIND(";",C17)-1),C17))," ",""),"%%c","t"),"ø","t"),"φ","t"),"f","t"),"d","t")</f>
        <v/>
      </c>
      <c r="D88">
        <f>SUBSTITUTE(SUBSTITUTE(SUBSTITUTE(SUBSTITUTE(SUBSTITUTE(SUBSTITUTE(LOWER(IF(ISNUMBER(FIND(";",D17)),LEFT(D17,FIND(";",D17)-1),D17))," ",""),"%%c","t"),"ø","t"),"φ","t"),"f","t"),"d","t")</f>
        <v/>
      </c>
      <c r="E88">
        <f>SUBSTITUTE(SUBSTITUTE(SUBSTITUTE(SUBSTITUTE(SUBSTITUTE(SUBSTITUTE(LOWER(IF(ISNUMBER(FIND(";",E17)),LEFT(E17,FIND(";",E17)-1),E17))," ",""),"%%c","t"),"ø","t"),"φ","t"),"f","t"),"d","t")</f>
        <v/>
      </c>
      <c r="F88">
        <f>SUBSTITUTE(SUBSTITUTE(SUBSTITUTE(SUBSTITUTE(SUBSTITUTE(SUBSTITUTE(LOWER(IF(ISNUMBER(FIND(";",F17)),LEFT(F17,FIND(";",F17)-1),F17))," ",""),"%%c","t"),"ø","t"),"φ","t"),"f","t"),"d","t")</f>
        <v/>
      </c>
      <c r="G88">
        <f>SUBSTITUTE(SUBSTITUTE(SUBSTITUTE(SUBSTITUTE(SUBSTITUTE(SUBSTITUTE(LOWER(IF(ISNUMBER(FIND(";",G17)),LEFT(G17,FIND(";",G17)-1),G17))," ",""),"%%c","t"),"ø","t"),"φ","t"),"f","t"),"d","t")</f>
        <v/>
      </c>
      <c r="H88">
        <f>SUBSTITUTE(SUBSTITUTE(SUBSTITUTE(SUBSTITUTE(SUBSTITUTE(SUBSTITUTE(LOWER(IF(ISNUMBER(FIND(";",H17)),LEFT(H17,FIND(";",H17)-1),H17))," ",""),"%%c","t"),"ø","t"),"φ","t"),"f","t"),"d","t")</f>
        <v/>
      </c>
      <c r="I88">
        <f>SUBSTITUTE(SUBSTITUTE(SUBSTITUTE(SUBSTITUTE(SUBSTITUTE(SUBSTITUTE(LOWER(IF(ISNUMBER(FIND(";",I17)),LEFT(I17,FIND(";",I17)-1),I17))," ",""),"%%c","t"),"ø","t"),"φ","t"),"f","t"),"d","t")</f>
        <v/>
      </c>
      <c r="J88">
        <f>SUBSTITUTE(SUBSTITUTE(SUBSTITUTE(SUBSTITUTE(SUBSTITUTE(SUBSTITUTE(LOWER(IF(ISNUMBER(FIND(";",J17)),LEFT(J17,FIND(";",J17)-1),J17))," ",""),"%%c","t"),"ø","t"),"φ","t"),"f","t"),"d","t")</f>
        <v/>
      </c>
      <c r="K88">
        <f>SUBSTITUTE(SUBSTITUTE(SUBSTITUTE(SUBSTITUTE(SUBSTITUTE(SUBSTITUTE(LOWER(IF(ISNUMBER(FIND(";",K17)),LEFT(K17,FIND(";",K17)-1),K17))," ",""),"%%c","t"),"ø","t"),"φ","t"),"f","t"),"d","t")</f>
        <v/>
      </c>
      <c r="L88">
        <f>SUBSTITUTE(SUBSTITUTE(SUBSTITUTE(SUBSTITUTE(SUBSTITUTE(SUBSTITUTE(LOWER(IF(ISNUMBER(FIND(";",L17)),LEFT(L17,FIND(";",L17)-1),L17))," ",""),"%%c","t"),"ø","t"),"φ","t"),"f","t"),"d","t")</f>
        <v/>
      </c>
      <c r="M88">
        <f>SUBSTITUTE(SUBSTITUTE(SUBSTITUTE(SUBSTITUTE(SUBSTITUTE(SUBSTITUTE(LOWER(IF(ISNUMBER(FIND(";",M17)),LEFT(M17,FIND(";",M17)-1),M17))," ",""),"%%c","t"),"ø","t"),"φ","t"),"f","t"),"d","t")</f>
        <v/>
      </c>
      <c r="N88">
        <f>SUBSTITUTE(SUBSTITUTE(SUBSTITUTE(SUBSTITUTE(SUBSTITUTE(SUBSTITUTE(LOWER(IF(ISNUMBER(FIND(";",N17)),LEFT(N17,FIND(";",N17)-1),N17))," ",""),"%%c","t"),"ø","t"),"φ","t"),"f","t"),"d","t")</f>
        <v/>
      </c>
      <c r="O88">
        <f>SUBSTITUTE(SUBSTITUTE(SUBSTITUTE(SUBSTITUTE(SUBSTITUTE(SUBSTITUTE(LOWER(IF(ISNUMBER(FIND(";",O17)),LEFT(O17,FIND(";",O17)-1),O17))," ",""),"%%c","t"),"ø","t"),"φ","t"),"f","t"),"d","t")</f>
        <v/>
      </c>
      <c r="P88">
        <f>SUBSTITUTE(SUBSTITUTE(SUBSTITUTE(SUBSTITUTE(SUBSTITUTE(SUBSTITUTE(LOWER(IF(ISNUMBER(FIND(";",P17)),LEFT(P17,FIND(";",P17)-1),P17))," ",""),"%%c","t"),"ø","t"),"φ","t"),"f","t"),"d","t")</f>
        <v/>
      </c>
      <c r="Q88">
        <f>SUBSTITUTE(SUBSTITUTE(SUBSTITUTE(SUBSTITUTE(SUBSTITUTE(SUBSTITUTE(LOWER(IF(ISNUMBER(FIND(";",Q17)),LEFT(Q17,FIND(";",Q17)-1),Q17))," ",""),"%%c","t"),"ø","t"),"φ","t"),"f","t"),"d","t")</f>
        <v/>
      </c>
      <c r="R88">
        <f>SUBSTITUTE(SUBSTITUTE(SUBSTITUTE(SUBSTITUTE(SUBSTITUTE(SUBSTITUTE(LOWER(IF(ISNUMBER(FIND(";",R17)),LEFT(R17,FIND(";",R17)-1),R17))," ",""),"%%c","t"),"ø","t"),"φ","t"),"f","t"),"d","t")</f>
        <v/>
      </c>
      <c r="S88">
        <f>SUBSTITUTE(SUBSTITUTE(SUBSTITUTE(SUBSTITUTE(SUBSTITUTE(SUBSTITUTE(LOWER(IF(ISNUMBER(FIND(";",S17)),LEFT(S17,FIND(";",S17)-1),S17))," ",""),"%%c","t"),"ø","t"),"φ","t"),"f","t"),"d","t")</f>
        <v/>
      </c>
      <c r="T88">
        <f>SUBSTITUTE(SUBSTITUTE(SUBSTITUTE(SUBSTITUTE(SUBSTITUTE(SUBSTITUTE(LOWER(IF(ISNUMBER(FIND(";",T17)),LEFT(T17,FIND(";",T17)-1),T17))," ",""),"%%c","t"),"ø","t"),"φ","t"),"f","t"),"d","t")</f>
        <v/>
      </c>
      <c r="U88">
        <f>SUBSTITUTE(SUBSTITUTE(SUBSTITUTE(SUBSTITUTE(SUBSTITUTE(SUBSTITUTE(LOWER(IF(ISNUMBER(FIND(";",U17)),LEFT(U17,FIND(";",U17)-1),U17))," ",""),"%%c","t"),"ø","t"),"φ","t"),"f","t"),"d","t")</f>
        <v/>
      </c>
      <c r="V88">
        <f>SUBSTITUTE(SUBSTITUTE(SUBSTITUTE(SUBSTITUTE(SUBSTITUTE(SUBSTITUTE(LOWER(IF(ISNUMBER(FIND(";",V17)),LEFT(V17,FIND(";",V17)-1),V17))," ",""),"%%c","t"),"ø","t"),"φ","t"),"f","t"),"d","t")</f>
        <v/>
      </c>
      <c r="W88">
        <f>SUBSTITUTE(SUBSTITUTE(SUBSTITUTE(SUBSTITUTE(SUBSTITUTE(SUBSTITUTE(LOWER(IF(ISNUMBER(FIND(";",W17)),LEFT(W17,FIND(";",W17)-1),W17))," ",""),"%%c","t"),"ø","t"),"φ","t"),"f","t"),"d","t")</f>
        <v/>
      </c>
      <c r="X88">
        <f>SUBSTITUTE(SUBSTITUTE(SUBSTITUTE(SUBSTITUTE(SUBSTITUTE(SUBSTITUTE(LOWER(IF(ISNUMBER(FIND(";",X17)),LEFT(X17,FIND(";",X17)-1),X17))," ",""),"%%c","t"),"ø","t"),"φ","t"),"f","t"),"d","t")</f>
        <v/>
      </c>
      <c r="Y88">
        <f>SUBSTITUTE(SUBSTITUTE(SUBSTITUTE(SUBSTITUTE(SUBSTITUTE(SUBSTITUTE(LOWER(IF(ISNUMBER(FIND(";",Y17)),LEFT(Y17,FIND(";",Y17)-1),Y17))," ",""),"%%c","t"),"ø","t"),"φ","t"),"f","t"),"d","t")</f>
        <v/>
      </c>
      <c r="Z88">
        <f>SUBSTITUTE(SUBSTITUTE(SUBSTITUTE(SUBSTITUTE(SUBSTITUTE(SUBSTITUTE(LOWER(IF(ISNUMBER(FIND(";",Z17)),LEFT(Z17,FIND(";",Z17)-1),Z17))," ",""),"%%c","t"),"ø","t"),"φ","t"),"f","t"),"d","t")</f>
        <v/>
      </c>
      <c r="AA88">
        <f>SUBSTITUTE(SUBSTITUTE(SUBSTITUTE(SUBSTITUTE(SUBSTITUTE(SUBSTITUTE(LOWER(IF(ISNUMBER(FIND(";",AA17)),LEFT(AA17,FIND(";",AA17)-1),AA17))," ",""),"%%c","t"),"ø","t"),"φ","t"),"f","t"),"d","t")</f>
        <v/>
      </c>
      <c r="AB88">
        <f>SUBSTITUTE(SUBSTITUTE(SUBSTITUTE(SUBSTITUTE(SUBSTITUTE(SUBSTITUTE(LOWER(IF(ISNUMBER(FIND(";",AB17)),LEFT(AB17,FIND(";",AB17)-1),AB17))," ",""),"%%c","t"),"ø","t"),"φ","t"),"f","t"),"d","t")</f>
        <v/>
      </c>
      <c r="AC88">
        <f>SUBSTITUTE(SUBSTITUTE(SUBSTITUTE(SUBSTITUTE(SUBSTITUTE(SUBSTITUTE(LOWER(IF(ISNUMBER(FIND(";",AC17)),LEFT(AC17,FIND(";",AC17)-1),AC17))," ",""),"%%c","t"),"ø","t"),"φ","t"),"f","t"),"d","t")</f>
        <v/>
      </c>
      <c r="AD88">
        <f>SUBSTITUTE(SUBSTITUTE(SUBSTITUTE(SUBSTITUTE(SUBSTITUTE(SUBSTITUTE(LOWER(IF(ISNUMBER(FIND(";",AD17)),LEFT(AD17,FIND(";",AD17)-1),AD17))," ",""),"%%c","t"),"ø","t"),"φ","t"),"f","t"),"d","t")</f>
        <v/>
      </c>
      <c r="AE88">
        <f>SUBSTITUTE(SUBSTITUTE(SUBSTITUTE(SUBSTITUTE(SUBSTITUTE(SUBSTITUTE(LOWER(IF(ISNUMBER(FIND(";",AE17)),LEFT(AE17,FIND(";",AE17)-1),AE17))," ",""),"%%c","t"),"ø","t"),"φ","t"),"f","t"),"d","t")</f>
        <v/>
      </c>
      <c r="AF88">
        <f>SUBSTITUTE(SUBSTITUTE(SUBSTITUTE(SUBSTITUTE(SUBSTITUTE(SUBSTITUTE(LOWER(IF(ISNUMBER(FIND(";",AF17)),LEFT(AF17,FIND(";",AF17)-1),AF17))," ",""),"%%c","t"),"ø","t"),"φ","t"),"f","t"),"d","t")</f>
        <v/>
      </c>
      <c r="AG88">
        <f>SUBSTITUTE(SUBSTITUTE(SUBSTITUTE(SUBSTITUTE(SUBSTITUTE(SUBSTITUTE(LOWER(IF(ISNUMBER(FIND(";",AG17)),LEFT(AG17,FIND(";",AG17)-1),AG17))," ",""),"%%c","t"),"ø","t"),"φ","t"),"f","t"),"d","t")</f>
        <v/>
      </c>
    </row>
    <row r="89" hidden="1" outlineLevel="1">
      <c r="A89" s="60" t="inlineStr">
        <is>
          <t>(phụ trợ) A_T5L</t>
        </is>
      </c>
      <c r="C89">
        <f>IFERROR(LEFT(LEFT(C88,FIND("+",C88&amp;"+")-1),FIND("t",LEFT(C88,FIND("+",C88&amp;"+")-1))-1)*MID(LEFT(C88,FIND("+",C88&amp;"+")-1),FIND("t",LEFT(C88,FIND("+",C88&amp;"+")-1))+1,2)^2*PI()/400,0)+IFERROR(LEFT(MID(C88,FIND("+",C88&amp;"+")+1,99),FIND("t",MID(C88,FIND("+",C88&amp;"+")+1,99))-1)*MID(MID(C88,FIND("+",C88&amp;"+")+1,99),FIND("t",MID(C88,FIND("+",C88&amp;"+")+1,99))+1,2)^2*PI()/400,0)</f>
        <v/>
      </c>
      <c r="D89">
        <f>IFERROR(LEFT(LEFT(D88,FIND("+",D88&amp;"+")-1),FIND("t",LEFT(D88,FIND("+",D88&amp;"+")-1))-1)*MID(LEFT(D88,FIND("+",D88&amp;"+")-1),FIND("t",LEFT(D88,FIND("+",D88&amp;"+")-1))+1,2)^2*PI()/400,0)+IFERROR(LEFT(MID(D88,FIND("+",D88&amp;"+")+1,99),FIND("t",MID(D88,FIND("+",D88&amp;"+")+1,99))-1)*MID(MID(D88,FIND("+",D88&amp;"+")+1,99),FIND("t",MID(D88,FIND("+",D88&amp;"+")+1,99))+1,2)^2*PI()/400,0)</f>
        <v/>
      </c>
      <c r="E89">
        <f>IFERROR(LEFT(LEFT(E88,FIND("+",E88&amp;"+")-1),FIND("t",LEFT(E88,FIND("+",E88&amp;"+")-1))-1)*MID(LEFT(E88,FIND("+",E88&amp;"+")-1),FIND("t",LEFT(E88,FIND("+",E88&amp;"+")-1))+1,2)^2*PI()/400,0)+IFERROR(LEFT(MID(E88,FIND("+",E88&amp;"+")+1,99),FIND("t",MID(E88,FIND("+",E88&amp;"+")+1,99))-1)*MID(MID(E88,FIND("+",E88&amp;"+")+1,99),FIND("t",MID(E88,FIND("+",E88&amp;"+")+1,99))+1,2)^2*PI()/400,0)</f>
        <v/>
      </c>
      <c r="F89">
        <f>IFERROR(LEFT(LEFT(F88,FIND("+",F88&amp;"+")-1),FIND("t",LEFT(F88,FIND("+",F88&amp;"+")-1))-1)*MID(LEFT(F88,FIND("+",F88&amp;"+")-1),FIND("t",LEFT(F88,FIND("+",F88&amp;"+")-1))+1,2)^2*PI()/400,0)+IFERROR(LEFT(MID(F88,FIND("+",F88&amp;"+")+1,99),FIND("t",MID(F88,FIND("+",F88&amp;"+")+1,99))-1)*MID(MID(F88,FIND("+",F88&amp;"+")+1,99),FIND("t",MID(F88,FIND("+",F88&amp;"+")+1,99))+1,2)^2*PI()/400,0)</f>
        <v/>
      </c>
      <c r="G89">
        <f>IFERROR(LEFT(LEFT(G88,FIND("+",G88&amp;"+")-1),FIND("t",LEFT(G88,FIND("+",G88&amp;"+")-1))-1)*MID(LEFT(G88,FIND("+",G88&amp;"+")-1),FIND("t",LEFT(G88,FIND("+",G88&amp;"+")-1))+1,2)^2*PI()/400,0)+IFERROR(LEFT(MID(G88,FIND("+",G88&amp;"+")+1,99),FIND("t",MID(G88,FIND("+",G88&amp;"+")+1,99))-1)*MID(MID(G88,FIND("+",G88&amp;"+")+1,99),FIND("t",MID(G88,FIND("+",G88&amp;"+")+1,99))+1,2)^2*PI()/400,0)</f>
        <v/>
      </c>
      <c r="H89">
        <f>IFERROR(LEFT(LEFT(H88,FIND("+",H88&amp;"+")-1),FIND("t",LEFT(H88,FIND("+",H88&amp;"+")-1))-1)*MID(LEFT(H88,FIND("+",H88&amp;"+")-1),FIND("t",LEFT(H88,FIND("+",H88&amp;"+")-1))+1,2)^2*PI()/400,0)+IFERROR(LEFT(MID(H88,FIND("+",H88&amp;"+")+1,99),FIND("t",MID(H88,FIND("+",H88&amp;"+")+1,99))-1)*MID(MID(H88,FIND("+",H88&amp;"+")+1,99),FIND("t",MID(H88,FIND("+",H88&amp;"+")+1,99))+1,2)^2*PI()/400,0)</f>
        <v/>
      </c>
      <c r="I89">
        <f>IFERROR(LEFT(LEFT(I88,FIND("+",I88&amp;"+")-1),FIND("t",LEFT(I88,FIND("+",I88&amp;"+")-1))-1)*MID(LEFT(I88,FIND("+",I88&amp;"+")-1),FIND("t",LEFT(I88,FIND("+",I88&amp;"+")-1))+1,2)^2*PI()/400,0)+IFERROR(LEFT(MID(I88,FIND("+",I88&amp;"+")+1,99),FIND("t",MID(I88,FIND("+",I88&amp;"+")+1,99))-1)*MID(MID(I88,FIND("+",I88&amp;"+")+1,99),FIND("t",MID(I88,FIND("+",I88&amp;"+")+1,99))+1,2)^2*PI()/400,0)</f>
        <v/>
      </c>
      <c r="J89">
        <f>IFERROR(LEFT(LEFT(J88,FIND("+",J88&amp;"+")-1),FIND("t",LEFT(J88,FIND("+",J88&amp;"+")-1))-1)*MID(LEFT(J88,FIND("+",J88&amp;"+")-1),FIND("t",LEFT(J88,FIND("+",J88&amp;"+")-1))+1,2)^2*PI()/400,0)+IFERROR(LEFT(MID(J88,FIND("+",J88&amp;"+")+1,99),FIND("t",MID(J88,FIND("+",J88&amp;"+")+1,99))-1)*MID(MID(J88,FIND("+",J88&amp;"+")+1,99),FIND("t",MID(J88,FIND("+",J88&amp;"+")+1,99))+1,2)^2*PI()/400,0)</f>
        <v/>
      </c>
      <c r="K89">
        <f>IFERROR(LEFT(LEFT(K88,FIND("+",K88&amp;"+")-1),FIND("t",LEFT(K88,FIND("+",K88&amp;"+")-1))-1)*MID(LEFT(K88,FIND("+",K88&amp;"+")-1),FIND("t",LEFT(K88,FIND("+",K88&amp;"+")-1))+1,2)^2*PI()/400,0)+IFERROR(LEFT(MID(K88,FIND("+",K88&amp;"+")+1,99),FIND("t",MID(K88,FIND("+",K88&amp;"+")+1,99))-1)*MID(MID(K88,FIND("+",K88&amp;"+")+1,99),FIND("t",MID(K88,FIND("+",K88&amp;"+")+1,99))+1,2)^2*PI()/400,0)</f>
        <v/>
      </c>
      <c r="L89">
        <f>IFERROR(LEFT(LEFT(L88,FIND("+",L88&amp;"+")-1),FIND("t",LEFT(L88,FIND("+",L88&amp;"+")-1))-1)*MID(LEFT(L88,FIND("+",L88&amp;"+")-1),FIND("t",LEFT(L88,FIND("+",L88&amp;"+")-1))+1,2)^2*PI()/400,0)+IFERROR(LEFT(MID(L88,FIND("+",L88&amp;"+")+1,99),FIND("t",MID(L88,FIND("+",L88&amp;"+")+1,99))-1)*MID(MID(L88,FIND("+",L88&amp;"+")+1,99),FIND("t",MID(L88,FIND("+",L88&amp;"+")+1,99))+1,2)^2*PI()/400,0)</f>
        <v/>
      </c>
      <c r="M89">
        <f>IFERROR(LEFT(LEFT(M88,FIND("+",M88&amp;"+")-1),FIND("t",LEFT(M88,FIND("+",M88&amp;"+")-1))-1)*MID(LEFT(M88,FIND("+",M88&amp;"+")-1),FIND("t",LEFT(M88,FIND("+",M88&amp;"+")-1))+1,2)^2*PI()/400,0)+IFERROR(LEFT(MID(M88,FIND("+",M88&amp;"+")+1,99),FIND("t",MID(M88,FIND("+",M88&amp;"+")+1,99))-1)*MID(MID(M88,FIND("+",M88&amp;"+")+1,99),FIND("t",MID(M88,FIND("+",M88&amp;"+")+1,99))+1,2)^2*PI()/400,0)</f>
        <v/>
      </c>
      <c r="N89">
        <f>IFERROR(LEFT(LEFT(N88,FIND("+",N88&amp;"+")-1),FIND("t",LEFT(N88,FIND("+",N88&amp;"+")-1))-1)*MID(LEFT(N88,FIND("+",N88&amp;"+")-1),FIND("t",LEFT(N88,FIND("+",N88&amp;"+")-1))+1,2)^2*PI()/400,0)+IFERROR(LEFT(MID(N88,FIND("+",N88&amp;"+")+1,99),FIND("t",MID(N88,FIND("+",N88&amp;"+")+1,99))-1)*MID(MID(N88,FIND("+",N88&amp;"+")+1,99),FIND("t",MID(N88,FIND("+",N88&amp;"+")+1,99))+1,2)^2*PI()/400,0)</f>
        <v/>
      </c>
      <c r="O89">
        <f>IFERROR(LEFT(LEFT(O88,FIND("+",O88&amp;"+")-1),FIND("t",LEFT(O88,FIND("+",O88&amp;"+")-1))-1)*MID(LEFT(O88,FIND("+",O88&amp;"+")-1),FIND("t",LEFT(O88,FIND("+",O88&amp;"+")-1))+1,2)^2*PI()/400,0)+IFERROR(LEFT(MID(O88,FIND("+",O88&amp;"+")+1,99),FIND("t",MID(O88,FIND("+",O88&amp;"+")+1,99))-1)*MID(MID(O88,FIND("+",O88&amp;"+")+1,99),FIND("t",MID(O88,FIND("+",O88&amp;"+")+1,99))+1,2)^2*PI()/400,0)</f>
        <v/>
      </c>
      <c r="P89">
        <f>IFERROR(LEFT(LEFT(P88,FIND("+",P88&amp;"+")-1),FIND("t",LEFT(P88,FIND("+",P88&amp;"+")-1))-1)*MID(LEFT(P88,FIND("+",P88&amp;"+")-1),FIND("t",LEFT(P88,FIND("+",P88&amp;"+")-1))+1,2)^2*PI()/400,0)+IFERROR(LEFT(MID(P88,FIND("+",P88&amp;"+")+1,99),FIND("t",MID(P88,FIND("+",P88&amp;"+")+1,99))-1)*MID(MID(P88,FIND("+",P88&amp;"+")+1,99),FIND("t",MID(P88,FIND("+",P88&amp;"+")+1,99))+1,2)^2*PI()/400,0)</f>
        <v/>
      </c>
      <c r="Q89">
        <f>IFERROR(LEFT(LEFT(Q88,FIND("+",Q88&amp;"+")-1),FIND("t",LEFT(Q88,FIND("+",Q88&amp;"+")-1))-1)*MID(LEFT(Q88,FIND("+",Q88&amp;"+")-1),FIND("t",LEFT(Q88,FIND("+",Q88&amp;"+")-1))+1,2)^2*PI()/400,0)+IFERROR(LEFT(MID(Q88,FIND("+",Q88&amp;"+")+1,99),FIND("t",MID(Q88,FIND("+",Q88&amp;"+")+1,99))-1)*MID(MID(Q88,FIND("+",Q88&amp;"+")+1,99),FIND("t",MID(Q88,FIND("+",Q88&amp;"+")+1,99))+1,2)^2*PI()/400,0)</f>
        <v/>
      </c>
      <c r="R89">
        <f>IFERROR(LEFT(LEFT(R88,FIND("+",R88&amp;"+")-1),FIND("t",LEFT(R88,FIND("+",R88&amp;"+")-1))-1)*MID(LEFT(R88,FIND("+",R88&amp;"+")-1),FIND("t",LEFT(R88,FIND("+",R88&amp;"+")-1))+1,2)^2*PI()/400,0)+IFERROR(LEFT(MID(R88,FIND("+",R88&amp;"+")+1,99),FIND("t",MID(R88,FIND("+",R88&amp;"+")+1,99))-1)*MID(MID(R88,FIND("+",R88&amp;"+")+1,99),FIND("t",MID(R88,FIND("+",R88&amp;"+")+1,99))+1,2)^2*PI()/400,0)</f>
        <v/>
      </c>
      <c r="S89">
        <f>IFERROR(LEFT(LEFT(S88,FIND("+",S88&amp;"+")-1),FIND("t",LEFT(S88,FIND("+",S88&amp;"+")-1))-1)*MID(LEFT(S88,FIND("+",S88&amp;"+")-1),FIND("t",LEFT(S88,FIND("+",S88&amp;"+")-1))+1,2)^2*PI()/400,0)+IFERROR(LEFT(MID(S88,FIND("+",S88&amp;"+")+1,99),FIND("t",MID(S88,FIND("+",S88&amp;"+")+1,99))-1)*MID(MID(S88,FIND("+",S88&amp;"+")+1,99),FIND("t",MID(S88,FIND("+",S88&amp;"+")+1,99))+1,2)^2*PI()/400,0)</f>
        <v/>
      </c>
      <c r="T89">
        <f>IFERROR(LEFT(LEFT(T88,FIND("+",T88&amp;"+")-1),FIND("t",LEFT(T88,FIND("+",T88&amp;"+")-1))-1)*MID(LEFT(T88,FIND("+",T88&amp;"+")-1),FIND("t",LEFT(T88,FIND("+",T88&amp;"+")-1))+1,2)^2*PI()/400,0)+IFERROR(LEFT(MID(T88,FIND("+",T88&amp;"+")+1,99),FIND("t",MID(T88,FIND("+",T88&amp;"+")+1,99))-1)*MID(MID(T88,FIND("+",T88&amp;"+")+1,99),FIND("t",MID(T88,FIND("+",T88&amp;"+")+1,99))+1,2)^2*PI()/400,0)</f>
        <v/>
      </c>
      <c r="U89">
        <f>IFERROR(LEFT(LEFT(U88,FIND("+",U88&amp;"+")-1),FIND("t",LEFT(U88,FIND("+",U88&amp;"+")-1))-1)*MID(LEFT(U88,FIND("+",U88&amp;"+")-1),FIND("t",LEFT(U88,FIND("+",U88&amp;"+")-1))+1,2)^2*PI()/400,0)+IFERROR(LEFT(MID(U88,FIND("+",U88&amp;"+")+1,99),FIND("t",MID(U88,FIND("+",U88&amp;"+")+1,99))-1)*MID(MID(U88,FIND("+",U88&amp;"+")+1,99),FIND("t",MID(U88,FIND("+",U88&amp;"+")+1,99))+1,2)^2*PI()/400,0)</f>
        <v/>
      </c>
      <c r="V89">
        <f>IFERROR(LEFT(LEFT(V88,FIND("+",V88&amp;"+")-1),FIND("t",LEFT(V88,FIND("+",V88&amp;"+")-1))-1)*MID(LEFT(V88,FIND("+",V88&amp;"+")-1),FIND("t",LEFT(V88,FIND("+",V88&amp;"+")-1))+1,2)^2*PI()/400,0)+IFERROR(LEFT(MID(V88,FIND("+",V88&amp;"+")+1,99),FIND("t",MID(V88,FIND("+",V88&amp;"+")+1,99))-1)*MID(MID(V88,FIND("+",V88&amp;"+")+1,99),FIND("t",MID(V88,FIND("+",V88&amp;"+")+1,99))+1,2)^2*PI()/400,0)</f>
        <v/>
      </c>
      <c r="W89">
        <f>IFERROR(LEFT(LEFT(W88,FIND("+",W88&amp;"+")-1),FIND("t",LEFT(W88,FIND("+",W88&amp;"+")-1))-1)*MID(LEFT(W88,FIND("+",W88&amp;"+")-1),FIND("t",LEFT(W88,FIND("+",W88&amp;"+")-1))+1,2)^2*PI()/400,0)+IFERROR(LEFT(MID(W88,FIND("+",W88&amp;"+")+1,99),FIND("t",MID(W88,FIND("+",W88&amp;"+")+1,99))-1)*MID(MID(W88,FIND("+",W88&amp;"+")+1,99),FIND("t",MID(W88,FIND("+",W88&amp;"+")+1,99))+1,2)^2*PI()/400,0)</f>
        <v/>
      </c>
      <c r="X89">
        <f>IFERROR(LEFT(LEFT(X88,FIND("+",X88&amp;"+")-1),FIND("t",LEFT(X88,FIND("+",X88&amp;"+")-1))-1)*MID(LEFT(X88,FIND("+",X88&amp;"+")-1),FIND("t",LEFT(X88,FIND("+",X88&amp;"+")-1))+1,2)^2*PI()/400,0)+IFERROR(LEFT(MID(X88,FIND("+",X88&amp;"+")+1,99),FIND("t",MID(X88,FIND("+",X88&amp;"+")+1,99))-1)*MID(MID(X88,FIND("+",X88&amp;"+")+1,99),FIND("t",MID(X88,FIND("+",X88&amp;"+")+1,99))+1,2)^2*PI()/400,0)</f>
        <v/>
      </c>
      <c r="Y89">
        <f>IFERROR(LEFT(LEFT(Y88,FIND("+",Y88&amp;"+")-1),FIND("t",LEFT(Y88,FIND("+",Y88&amp;"+")-1))-1)*MID(LEFT(Y88,FIND("+",Y88&amp;"+")-1),FIND("t",LEFT(Y88,FIND("+",Y88&amp;"+")-1))+1,2)^2*PI()/400,0)+IFERROR(LEFT(MID(Y88,FIND("+",Y88&amp;"+")+1,99),FIND("t",MID(Y88,FIND("+",Y88&amp;"+")+1,99))-1)*MID(MID(Y88,FIND("+",Y88&amp;"+")+1,99),FIND("t",MID(Y88,FIND("+",Y88&amp;"+")+1,99))+1,2)^2*PI()/400,0)</f>
        <v/>
      </c>
      <c r="Z89">
        <f>IFERROR(LEFT(LEFT(Z88,FIND("+",Z88&amp;"+")-1),FIND("t",LEFT(Z88,FIND("+",Z88&amp;"+")-1))-1)*MID(LEFT(Z88,FIND("+",Z88&amp;"+")-1),FIND("t",LEFT(Z88,FIND("+",Z88&amp;"+")-1))+1,2)^2*PI()/400,0)+IFERROR(LEFT(MID(Z88,FIND("+",Z88&amp;"+")+1,99),FIND("t",MID(Z88,FIND("+",Z88&amp;"+")+1,99))-1)*MID(MID(Z88,FIND("+",Z88&amp;"+")+1,99),FIND("t",MID(Z88,FIND("+",Z88&amp;"+")+1,99))+1,2)^2*PI()/400,0)</f>
        <v/>
      </c>
      <c r="AA89">
        <f>IFERROR(LEFT(LEFT(AA88,FIND("+",AA88&amp;"+")-1),FIND("t",LEFT(AA88,FIND("+",AA88&amp;"+")-1))-1)*MID(LEFT(AA88,FIND("+",AA88&amp;"+")-1),FIND("t",LEFT(AA88,FIND("+",AA88&amp;"+")-1))+1,2)^2*PI()/400,0)+IFERROR(LEFT(MID(AA88,FIND("+",AA88&amp;"+")+1,99),FIND("t",MID(AA88,FIND("+",AA88&amp;"+")+1,99))-1)*MID(MID(AA88,FIND("+",AA88&amp;"+")+1,99),FIND("t",MID(AA88,FIND("+",AA88&amp;"+")+1,99))+1,2)^2*PI()/400,0)</f>
        <v/>
      </c>
      <c r="AB89">
        <f>IFERROR(LEFT(LEFT(AB88,FIND("+",AB88&amp;"+")-1),FIND("t",LEFT(AB88,FIND("+",AB88&amp;"+")-1))-1)*MID(LEFT(AB88,FIND("+",AB88&amp;"+")-1),FIND("t",LEFT(AB88,FIND("+",AB88&amp;"+")-1))+1,2)^2*PI()/400,0)+IFERROR(LEFT(MID(AB88,FIND("+",AB88&amp;"+")+1,99),FIND("t",MID(AB88,FIND("+",AB88&amp;"+")+1,99))-1)*MID(MID(AB88,FIND("+",AB88&amp;"+")+1,99),FIND("t",MID(AB88,FIND("+",AB88&amp;"+")+1,99))+1,2)^2*PI()/400,0)</f>
        <v/>
      </c>
      <c r="AC89">
        <f>IFERROR(LEFT(LEFT(AC88,FIND("+",AC88&amp;"+")-1),FIND("t",LEFT(AC88,FIND("+",AC88&amp;"+")-1))-1)*MID(LEFT(AC88,FIND("+",AC88&amp;"+")-1),FIND("t",LEFT(AC88,FIND("+",AC88&amp;"+")-1))+1,2)^2*PI()/400,0)+IFERROR(LEFT(MID(AC88,FIND("+",AC88&amp;"+")+1,99),FIND("t",MID(AC88,FIND("+",AC88&amp;"+")+1,99))-1)*MID(MID(AC88,FIND("+",AC88&amp;"+")+1,99),FIND("t",MID(AC88,FIND("+",AC88&amp;"+")+1,99))+1,2)^2*PI()/400,0)</f>
        <v/>
      </c>
      <c r="AD89">
        <f>IFERROR(LEFT(LEFT(AD88,FIND("+",AD88&amp;"+")-1),FIND("t",LEFT(AD88,FIND("+",AD88&amp;"+")-1))-1)*MID(LEFT(AD88,FIND("+",AD88&amp;"+")-1),FIND("t",LEFT(AD88,FIND("+",AD88&amp;"+")-1))+1,2)^2*PI()/400,0)+IFERROR(LEFT(MID(AD88,FIND("+",AD88&amp;"+")+1,99),FIND("t",MID(AD88,FIND("+",AD88&amp;"+")+1,99))-1)*MID(MID(AD88,FIND("+",AD88&amp;"+")+1,99),FIND("t",MID(AD88,FIND("+",AD88&amp;"+")+1,99))+1,2)^2*PI()/400,0)</f>
        <v/>
      </c>
      <c r="AE89">
        <f>IFERROR(LEFT(LEFT(AE88,FIND("+",AE88&amp;"+")-1),FIND("t",LEFT(AE88,FIND("+",AE88&amp;"+")-1))-1)*MID(LEFT(AE88,FIND("+",AE88&amp;"+")-1),FIND("t",LEFT(AE88,FIND("+",AE88&amp;"+")-1))+1,2)^2*PI()/400,0)+IFERROR(LEFT(MID(AE88,FIND("+",AE88&amp;"+")+1,99),FIND("t",MID(AE88,FIND("+",AE88&amp;"+")+1,99))-1)*MID(MID(AE88,FIND("+",AE88&amp;"+")+1,99),FIND("t",MID(AE88,FIND("+",AE88&amp;"+")+1,99))+1,2)^2*PI()/400,0)</f>
        <v/>
      </c>
      <c r="AF89">
        <f>IFERROR(LEFT(LEFT(AF88,FIND("+",AF88&amp;"+")-1),FIND("t",LEFT(AF88,FIND("+",AF88&amp;"+")-1))-1)*MID(LEFT(AF88,FIND("+",AF88&amp;"+")-1),FIND("t",LEFT(AF88,FIND("+",AF88&amp;"+")-1))+1,2)^2*PI()/400,0)+IFERROR(LEFT(MID(AF88,FIND("+",AF88&amp;"+")+1,99),FIND("t",MID(AF88,FIND("+",AF88&amp;"+")+1,99))-1)*MID(MID(AF88,FIND("+",AF88&amp;"+")+1,99),FIND("t",MID(AF88,FIND("+",AF88&amp;"+")+1,99))+1,2)^2*PI()/400,0)</f>
        <v/>
      </c>
      <c r="AG89">
        <f>IFERROR(LEFT(LEFT(AG88,FIND("+",AG88&amp;"+")-1),FIND("t",LEFT(AG88,FIND("+",AG88&amp;"+")-1))-1)*MID(LEFT(AG88,FIND("+",AG88&amp;"+")-1),FIND("t",LEFT(AG88,FIND("+",AG88&amp;"+")-1))+1,2)^2*PI()/400,0)+IFERROR(LEFT(MID(AG88,FIND("+",AG88&amp;"+")+1,99),FIND("t",MID(AG88,FIND("+",AG88&amp;"+")+1,99))-1)*MID(MID(AG88,FIND("+",AG88&amp;"+")+1,99),FIND("t",MID(AG88,FIND("+",AG88&amp;"+")+1,99))+1,2)^2*PI()/400,0)</f>
        <v/>
      </c>
    </row>
    <row r="90" hidden="1" outlineLevel="1">
      <c r="A90" s="60" t="inlineStr">
        <is>
          <t>(phụ trợ) N_T5R</t>
        </is>
      </c>
      <c r="C90">
        <f>SUBSTITUTE(SUBSTITUTE(SUBSTITUTE(SUBSTITUTE(SUBSTITUTE(SUBSTITUTE(LOWER(IF(ISNUMBER(FIND(";",C17)),MID(C17,FIND(";",C17)+1,99),C17))," ",""),"%%c","t"),"ø","t"),"φ","t"),"f","t"),"d","t")</f>
        <v/>
      </c>
      <c r="D90">
        <f>SUBSTITUTE(SUBSTITUTE(SUBSTITUTE(SUBSTITUTE(SUBSTITUTE(SUBSTITUTE(LOWER(IF(ISNUMBER(FIND(";",D17)),MID(D17,FIND(";",D17)+1,99),D17))," ",""),"%%c","t"),"ø","t"),"φ","t"),"f","t"),"d","t")</f>
        <v/>
      </c>
      <c r="E90">
        <f>SUBSTITUTE(SUBSTITUTE(SUBSTITUTE(SUBSTITUTE(SUBSTITUTE(SUBSTITUTE(LOWER(IF(ISNUMBER(FIND(";",E17)),MID(E17,FIND(";",E17)+1,99),E17))," ",""),"%%c","t"),"ø","t"),"φ","t"),"f","t"),"d","t")</f>
        <v/>
      </c>
      <c r="F90">
        <f>SUBSTITUTE(SUBSTITUTE(SUBSTITUTE(SUBSTITUTE(SUBSTITUTE(SUBSTITUTE(LOWER(IF(ISNUMBER(FIND(";",F17)),MID(F17,FIND(";",F17)+1,99),F17))," ",""),"%%c","t"),"ø","t"),"φ","t"),"f","t"),"d","t")</f>
        <v/>
      </c>
      <c r="G90">
        <f>SUBSTITUTE(SUBSTITUTE(SUBSTITUTE(SUBSTITUTE(SUBSTITUTE(SUBSTITUTE(LOWER(IF(ISNUMBER(FIND(";",G17)),MID(G17,FIND(";",G17)+1,99),G17))," ",""),"%%c","t"),"ø","t"),"φ","t"),"f","t"),"d","t")</f>
        <v/>
      </c>
      <c r="H90">
        <f>SUBSTITUTE(SUBSTITUTE(SUBSTITUTE(SUBSTITUTE(SUBSTITUTE(SUBSTITUTE(LOWER(IF(ISNUMBER(FIND(";",H17)),MID(H17,FIND(";",H17)+1,99),H17))," ",""),"%%c","t"),"ø","t"),"φ","t"),"f","t"),"d","t")</f>
        <v/>
      </c>
      <c r="I90">
        <f>SUBSTITUTE(SUBSTITUTE(SUBSTITUTE(SUBSTITUTE(SUBSTITUTE(SUBSTITUTE(LOWER(IF(ISNUMBER(FIND(";",I17)),MID(I17,FIND(";",I17)+1,99),I17))," ",""),"%%c","t"),"ø","t"),"φ","t"),"f","t"),"d","t")</f>
        <v/>
      </c>
      <c r="J90">
        <f>SUBSTITUTE(SUBSTITUTE(SUBSTITUTE(SUBSTITUTE(SUBSTITUTE(SUBSTITUTE(LOWER(IF(ISNUMBER(FIND(";",J17)),MID(J17,FIND(";",J17)+1,99),J17))," ",""),"%%c","t"),"ø","t"),"φ","t"),"f","t"),"d","t")</f>
        <v/>
      </c>
      <c r="K90">
        <f>SUBSTITUTE(SUBSTITUTE(SUBSTITUTE(SUBSTITUTE(SUBSTITUTE(SUBSTITUTE(LOWER(IF(ISNUMBER(FIND(";",K17)),MID(K17,FIND(";",K17)+1,99),K17))," ",""),"%%c","t"),"ø","t"),"φ","t"),"f","t"),"d","t")</f>
        <v/>
      </c>
      <c r="L90">
        <f>SUBSTITUTE(SUBSTITUTE(SUBSTITUTE(SUBSTITUTE(SUBSTITUTE(SUBSTITUTE(LOWER(IF(ISNUMBER(FIND(";",L17)),MID(L17,FIND(";",L17)+1,99),L17))," ",""),"%%c","t"),"ø","t"),"φ","t"),"f","t"),"d","t")</f>
        <v/>
      </c>
      <c r="M90">
        <f>SUBSTITUTE(SUBSTITUTE(SUBSTITUTE(SUBSTITUTE(SUBSTITUTE(SUBSTITUTE(LOWER(IF(ISNUMBER(FIND(";",M17)),MID(M17,FIND(";",M17)+1,99),M17))," ",""),"%%c","t"),"ø","t"),"φ","t"),"f","t"),"d","t")</f>
        <v/>
      </c>
      <c r="N90">
        <f>SUBSTITUTE(SUBSTITUTE(SUBSTITUTE(SUBSTITUTE(SUBSTITUTE(SUBSTITUTE(LOWER(IF(ISNUMBER(FIND(";",N17)),MID(N17,FIND(";",N17)+1,99),N17))," ",""),"%%c","t"),"ø","t"),"φ","t"),"f","t"),"d","t")</f>
        <v/>
      </c>
      <c r="O90">
        <f>SUBSTITUTE(SUBSTITUTE(SUBSTITUTE(SUBSTITUTE(SUBSTITUTE(SUBSTITUTE(LOWER(IF(ISNUMBER(FIND(";",O17)),MID(O17,FIND(";",O17)+1,99),O17))," ",""),"%%c","t"),"ø","t"),"φ","t"),"f","t"),"d","t")</f>
        <v/>
      </c>
      <c r="P90">
        <f>SUBSTITUTE(SUBSTITUTE(SUBSTITUTE(SUBSTITUTE(SUBSTITUTE(SUBSTITUTE(LOWER(IF(ISNUMBER(FIND(";",P17)),MID(P17,FIND(";",P17)+1,99),P17))," ",""),"%%c","t"),"ø","t"),"φ","t"),"f","t"),"d","t")</f>
        <v/>
      </c>
      <c r="Q90">
        <f>SUBSTITUTE(SUBSTITUTE(SUBSTITUTE(SUBSTITUTE(SUBSTITUTE(SUBSTITUTE(LOWER(IF(ISNUMBER(FIND(";",Q17)),MID(Q17,FIND(";",Q17)+1,99),Q17))," ",""),"%%c","t"),"ø","t"),"φ","t"),"f","t"),"d","t")</f>
        <v/>
      </c>
      <c r="R90">
        <f>SUBSTITUTE(SUBSTITUTE(SUBSTITUTE(SUBSTITUTE(SUBSTITUTE(SUBSTITUTE(LOWER(IF(ISNUMBER(FIND(";",R17)),MID(R17,FIND(";",R17)+1,99),R17))," ",""),"%%c","t"),"ø","t"),"φ","t"),"f","t"),"d","t")</f>
        <v/>
      </c>
      <c r="S90">
        <f>SUBSTITUTE(SUBSTITUTE(SUBSTITUTE(SUBSTITUTE(SUBSTITUTE(SUBSTITUTE(LOWER(IF(ISNUMBER(FIND(";",S17)),MID(S17,FIND(";",S17)+1,99),S17))," ",""),"%%c","t"),"ø","t"),"φ","t"),"f","t"),"d","t")</f>
        <v/>
      </c>
      <c r="T90">
        <f>SUBSTITUTE(SUBSTITUTE(SUBSTITUTE(SUBSTITUTE(SUBSTITUTE(SUBSTITUTE(LOWER(IF(ISNUMBER(FIND(";",T17)),MID(T17,FIND(";",T17)+1,99),T17))," ",""),"%%c","t"),"ø","t"),"φ","t"),"f","t"),"d","t")</f>
        <v/>
      </c>
      <c r="U90">
        <f>SUBSTITUTE(SUBSTITUTE(SUBSTITUTE(SUBSTITUTE(SUBSTITUTE(SUBSTITUTE(LOWER(IF(ISNUMBER(FIND(";",U17)),MID(U17,FIND(";",U17)+1,99),U17))," ",""),"%%c","t"),"ø","t"),"φ","t"),"f","t"),"d","t")</f>
        <v/>
      </c>
      <c r="V90">
        <f>SUBSTITUTE(SUBSTITUTE(SUBSTITUTE(SUBSTITUTE(SUBSTITUTE(SUBSTITUTE(LOWER(IF(ISNUMBER(FIND(";",V17)),MID(V17,FIND(";",V17)+1,99),V17))," ",""),"%%c","t"),"ø","t"),"φ","t"),"f","t"),"d","t")</f>
        <v/>
      </c>
      <c r="W90">
        <f>SUBSTITUTE(SUBSTITUTE(SUBSTITUTE(SUBSTITUTE(SUBSTITUTE(SUBSTITUTE(LOWER(IF(ISNUMBER(FIND(";",W17)),MID(W17,FIND(";",W17)+1,99),W17))," ",""),"%%c","t"),"ø","t"),"φ","t"),"f","t"),"d","t")</f>
        <v/>
      </c>
      <c r="X90">
        <f>SUBSTITUTE(SUBSTITUTE(SUBSTITUTE(SUBSTITUTE(SUBSTITUTE(SUBSTITUTE(LOWER(IF(ISNUMBER(FIND(";",X17)),MID(X17,FIND(";",X17)+1,99),X17))," ",""),"%%c","t"),"ø","t"),"φ","t"),"f","t"),"d","t")</f>
        <v/>
      </c>
      <c r="Y90">
        <f>SUBSTITUTE(SUBSTITUTE(SUBSTITUTE(SUBSTITUTE(SUBSTITUTE(SUBSTITUTE(LOWER(IF(ISNUMBER(FIND(";",Y17)),MID(Y17,FIND(";",Y17)+1,99),Y17))," ",""),"%%c","t"),"ø","t"),"φ","t"),"f","t"),"d","t")</f>
        <v/>
      </c>
      <c r="Z90">
        <f>SUBSTITUTE(SUBSTITUTE(SUBSTITUTE(SUBSTITUTE(SUBSTITUTE(SUBSTITUTE(LOWER(IF(ISNUMBER(FIND(";",Z17)),MID(Z17,FIND(";",Z17)+1,99),Z17))," ",""),"%%c","t"),"ø","t"),"φ","t"),"f","t"),"d","t")</f>
        <v/>
      </c>
      <c r="AA90">
        <f>SUBSTITUTE(SUBSTITUTE(SUBSTITUTE(SUBSTITUTE(SUBSTITUTE(SUBSTITUTE(LOWER(IF(ISNUMBER(FIND(";",AA17)),MID(AA17,FIND(";",AA17)+1,99),AA17))," ",""),"%%c","t"),"ø","t"),"φ","t"),"f","t"),"d","t")</f>
        <v/>
      </c>
      <c r="AB90">
        <f>SUBSTITUTE(SUBSTITUTE(SUBSTITUTE(SUBSTITUTE(SUBSTITUTE(SUBSTITUTE(LOWER(IF(ISNUMBER(FIND(";",AB17)),MID(AB17,FIND(";",AB17)+1,99),AB17))," ",""),"%%c","t"),"ø","t"),"φ","t"),"f","t"),"d","t")</f>
        <v/>
      </c>
      <c r="AC90">
        <f>SUBSTITUTE(SUBSTITUTE(SUBSTITUTE(SUBSTITUTE(SUBSTITUTE(SUBSTITUTE(LOWER(IF(ISNUMBER(FIND(";",AC17)),MID(AC17,FIND(";",AC17)+1,99),AC17))," ",""),"%%c","t"),"ø","t"),"φ","t"),"f","t"),"d","t")</f>
        <v/>
      </c>
      <c r="AD90">
        <f>SUBSTITUTE(SUBSTITUTE(SUBSTITUTE(SUBSTITUTE(SUBSTITUTE(SUBSTITUTE(LOWER(IF(ISNUMBER(FIND(";",AD17)),MID(AD17,FIND(";",AD17)+1,99),AD17))," ",""),"%%c","t"),"ø","t"),"φ","t"),"f","t"),"d","t")</f>
        <v/>
      </c>
      <c r="AE90">
        <f>SUBSTITUTE(SUBSTITUTE(SUBSTITUTE(SUBSTITUTE(SUBSTITUTE(SUBSTITUTE(LOWER(IF(ISNUMBER(FIND(";",AE17)),MID(AE17,FIND(";",AE17)+1,99),AE17))," ",""),"%%c","t"),"ø","t"),"φ","t"),"f","t"),"d","t")</f>
        <v/>
      </c>
      <c r="AF90">
        <f>SUBSTITUTE(SUBSTITUTE(SUBSTITUTE(SUBSTITUTE(SUBSTITUTE(SUBSTITUTE(LOWER(IF(ISNUMBER(FIND(";",AF17)),MID(AF17,FIND(";",AF17)+1,99),AF17))," ",""),"%%c","t"),"ø","t"),"φ","t"),"f","t"),"d","t")</f>
        <v/>
      </c>
      <c r="AG90">
        <f>SUBSTITUTE(SUBSTITUTE(SUBSTITUTE(SUBSTITUTE(SUBSTITUTE(SUBSTITUTE(LOWER(IF(ISNUMBER(FIND(";",AG17)),MID(AG17,FIND(";",AG17)+1,99),AG17))," ",""),"%%c","t"),"ø","t"),"φ","t"),"f","t"),"d","t")</f>
        <v/>
      </c>
    </row>
    <row r="91" hidden="1" outlineLevel="1">
      <c r="A91" s="60" t="inlineStr">
        <is>
          <t>(phụ trợ) A_T5R</t>
        </is>
      </c>
      <c r="C91">
        <f>IFERROR(LEFT(LEFT(C90,FIND("+",C90&amp;"+")-1),FIND("t",LEFT(C90,FIND("+",C90&amp;"+")-1))-1)*MID(LEFT(C90,FIND("+",C90&amp;"+")-1),FIND("t",LEFT(C90,FIND("+",C90&amp;"+")-1))+1,2)^2*PI()/400,0)+IFERROR(LEFT(MID(C90,FIND("+",C90&amp;"+")+1,99),FIND("t",MID(C90,FIND("+",C90&amp;"+")+1,99))-1)*MID(MID(C90,FIND("+",C90&amp;"+")+1,99),FIND("t",MID(C90,FIND("+",C90&amp;"+")+1,99))+1,2)^2*PI()/400,0)</f>
        <v/>
      </c>
      <c r="D91">
        <f>IFERROR(LEFT(LEFT(D90,FIND("+",D90&amp;"+")-1),FIND("t",LEFT(D90,FIND("+",D90&amp;"+")-1))-1)*MID(LEFT(D90,FIND("+",D90&amp;"+")-1),FIND("t",LEFT(D90,FIND("+",D90&amp;"+")-1))+1,2)^2*PI()/400,0)+IFERROR(LEFT(MID(D90,FIND("+",D90&amp;"+")+1,99),FIND("t",MID(D90,FIND("+",D90&amp;"+")+1,99))-1)*MID(MID(D90,FIND("+",D90&amp;"+")+1,99),FIND("t",MID(D90,FIND("+",D90&amp;"+")+1,99))+1,2)^2*PI()/400,0)</f>
        <v/>
      </c>
      <c r="E91">
        <f>IFERROR(LEFT(LEFT(E90,FIND("+",E90&amp;"+")-1),FIND("t",LEFT(E90,FIND("+",E90&amp;"+")-1))-1)*MID(LEFT(E90,FIND("+",E90&amp;"+")-1),FIND("t",LEFT(E90,FIND("+",E90&amp;"+")-1))+1,2)^2*PI()/400,0)+IFERROR(LEFT(MID(E90,FIND("+",E90&amp;"+")+1,99),FIND("t",MID(E90,FIND("+",E90&amp;"+")+1,99))-1)*MID(MID(E90,FIND("+",E90&amp;"+")+1,99),FIND("t",MID(E90,FIND("+",E90&amp;"+")+1,99))+1,2)^2*PI()/400,0)</f>
        <v/>
      </c>
      <c r="F91">
        <f>IFERROR(LEFT(LEFT(F90,FIND("+",F90&amp;"+")-1),FIND("t",LEFT(F90,FIND("+",F90&amp;"+")-1))-1)*MID(LEFT(F90,FIND("+",F90&amp;"+")-1),FIND("t",LEFT(F90,FIND("+",F90&amp;"+")-1))+1,2)^2*PI()/400,0)+IFERROR(LEFT(MID(F90,FIND("+",F90&amp;"+")+1,99),FIND("t",MID(F90,FIND("+",F90&amp;"+")+1,99))-1)*MID(MID(F90,FIND("+",F90&amp;"+")+1,99),FIND("t",MID(F90,FIND("+",F90&amp;"+")+1,99))+1,2)^2*PI()/400,0)</f>
        <v/>
      </c>
      <c r="G91">
        <f>IFERROR(LEFT(LEFT(G90,FIND("+",G90&amp;"+")-1),FIND("t",LEFT(G90,FIND("+",G90&amp;"+")-1))-1)*MID(LEFT(G90,FIND("+",G90&amp;"+")-1),FIND("t",LEFT(G90,FIND("+",G90&amp;"+")-1))+1,2)^2*PI()/400,0)+IFERROR(LEFT(MID(G90,FIND("+",G90&amp;"+")+1,99),FIND("t",MID(G90,FIND("+",G90&amp;"+")+1,99))-1)*MID(MID(G90,FIND("+",G90&amp;"+")+1,99),FIND("t",MID(G90,FIND("+",G90&amp;"+")+1,99))+1,2)^2*PI()/400,0)</f>
        <v/>
      </c>
      <c r="H91">
        <f>IFERROR(LEFT(LEFT(H90,FIND("+",H90&amp;"+")-1),FIND("t",LEFT(H90,FIND("+",H90&amp;"+")-1))-1)*MID(LEFT(H90,FIND("+",H90&amp;"+")-1),FIND("t",LEFT(H90,FIND("+",H90&amp;"+")-1))+1,2)^2*PI()/400,0)+IFERROR(LEFT(MID(H90,FIND("+",H90&amp;"+")+1,99),FIND("t",MID(H90,FIND("+",H90&amp;"+")+1,99))-1)*MID(MID(H90,FIND("+",H90&amp;"+")+1,99),FIND("t",MID(H90,FIND("+",H90&amp;"+")+1,99))+1,2)^2*PI()/400,0)</f>
        <v/>
      </c>
      <c r="I91">
        <f>IFERROR(LEFT(LEFT(I90,FIND("+",I90&amp;"+")-1),FIND("t",LEFT(I90,FIND("+",I90&amp;"+")-1))-1)*MID(LEFT(I90,FIND("+",I90&amp;"+")-1),FIND("t",LEFT(I90,FIND("+",I90&amp;"+")-1))+1,2)^2*PI()/400,0)+IFERROR(LEFT(MID(I90,FIND("+",I90&amp;"+")+1,99),FIND("t",MID(I90,FIND("+",I90&amp;"+")+1,99))-1)*MID(MID(I90,FIND("+",I90&amp;"+")+1,99),FIND("t",MID(I90,FIND("+",I90&amp;"+")+1,99))+1,2)^2*PI()/400,0)</f>
        <v/>
      </c>
      <c r="J91">
        <f>IFERROR(LEFT(LEFT(J90,FIND("+",J90&amp;"+")-1),FIND("t",LEFT(J90,FIND("+",J90&amp;"+")-1))-1)*MID(LEFT(J90,FIND("+",J90&amp;"+")-1),FIND("t",LEFT(J90,FIND("+",J90&amp;"+")-1))+1,2)^2*PI()/400,0)+IFERROR(LEFT(MID(J90,FIND("+",J90&amp;"+")+1,99),FIND("t",MID(J90,FIND("+",J90&amp;"+")+1,99))-1)*MID(MID(J90,FIND("+",J90&amp;"+")+1,99),FIND("t",MID(J90,FIND("+",J90&amp;"+")+1,99))+1,2)^2*PI()/400,0)</f>
        <v/>
      </c>
      <c r="K91">
        <f>IFERROR(LEFT(LEFT(K90,FIND("+",K90&amp;"+")-1),FIND("t",LEFT(K90,FIND("+",K90&amp;"+")-1))-1)*MID(LEFT(K90,FIND("+",K90&amp;"+")-1),FIND("t",LEFT(K90,FIND("+",K90&amp;"+")-1))+1,2)^2*PI()/400,0)+IFERROR(LEFT(MID(K90,FIND("+",K90&amp;"+")+1,99),FIND("t",MID(K90,FIND("+",K90&amp;"+")+1,99))-1)*MID(MID(K90,FIND("+",K90&amp;"+")+1,99),FIND("t",MID(K90,FIND("+",K90&amp;"+")+1,99))+1,2)^2*PI()/400,0)</f>
        <v/>
      </c>
      <c r="L91">
        <f>IFERROR(LEFT(LEFT(L90,FIND("+",L90&amp;"+")-1),FIND("t",LEFT(L90,FIND("+",L90&amp;"+")-1))-1)*MID(LEFT(L90,FIND("+",L90&amp;"+")-1),FIND("t",LEFT(L90,FIND("+",L90&amp;"+")-1))+1,2)^2*PI()/400,0)+IFERROR(LEFT(MID(L90,FIND("+",L90&amp;"+")+1,99),FIND("t",MID(L90,FIND("+",L90&amp;"+")+1,99))-1)*MID(MID(L90,FIND("+",L90&amp;"+")+1,99),FIND("t",MID(L90,FIND("+",L90&amp;"+")+1,99))+1,2)^2*PI()/400,0)</f>
        <v/>
      </c>
      <c r="M91">
        <f>IFERROR(LEFT(LEFT(M90,FIND("+",M90&amp;"+")-1),FIND("t",LEFT(M90,FIND("+",M90&amp;"+")-1))-1)*MID(LEFT(M90,FIND("+",M90&amp;"+")-1),FIND("t",LEFT(M90,FIND("+",M90&amp;"+")-1))+1,2)^2*PI()/400,0)+IFERROR(LEFT(MID(M90,FIND("+",M90&amp;"+")+1,99),FIND("t",MID(M90,FIND("+",M90&amp;"+")+1,99))-1)*MID(MID(M90,FIND("+",M90&amp;"+")+1,99),FIND("t",MID(M90,FIND("+",M90&amp;"+")+1,99))+1,2)^2*PI()/400,0)</f>
        <v/>
      </c>
      <c r="N91">
        <f>IFERROR(LEFT(LEFT(N90,FIND("+",N90&amp;"+")-1),FIND("t",LEFT(N90,FIND("+",N90&amp;"+")-1))-1)*MID(LEFT(N90,FIND("+",N90&amp;"+")-1),FIND("t",LEFT(N90,FIND("+",N90&amp;"+")-1))+1,2)^2*PI()/400,0)+IFERROR(LEFT(MID(N90,FIND("+",N90&amp;"+")+1,99),FIND("t",MID(N90,FIND("+",N90&amp;"+")+1,99))-1)*MID(MID(N90,FIND("+",N90&amp;"+")+1,99),FIND("t",MID(N90,FIND("+",N90&amp;"+")+1,99))+1,2)^2*PI()/400,0)</f>
        <v/>
      </c>
      <c r="O91">
        <f>IFERROR(LEFT(LEFT(O90,FIND("+",O90&amp;"+")-1),FIND("t",LEFT(O90,FIND("+",O90&amp;"+")-1))-1)*MID(LEFT(O90,FIND("+",O90&amp;"+")-1),FIND("t",LEFT(O90,FIND("+",O90&amp;"+")-1))+1,2)^2*PI()/400,0)+IFERROR(LEFT(MID(O90,FIND("+",O90&amp;"+")+1,99),FIND("t",MID(O90,FIND("+",O90&amp;"+")+1,99))-1)*MID(MID(O90,FIND("+",O90&amp;"+")+1,99),FIND("t",MID(O90,FIND("+",O90&amp;"+")+1,99))+1,2)^2*PI()/400,0)</f>
        <v/>
      </c>
      <c r="P91">
        <f>IFERROR(LEFT(LEFT(P90,FIND("+",P90&amp;"+")-1),FIND("t",LEFT(P90,FIND("+",P90&amp;"+")-1))-1)*MID(LEFT(P90,FIND("+",P90&amp;"+")-1),FIND("t",LEFT(P90,FIND("+",P90&amp;"+")-1))+1,2)^2*PI()/400,0)+IFERROR(LEFT(MID(P90,FIND("+",P90&amp;"+")+1,99),FIND("t",MID(P90,FIND("+",P90&amp;"+")+1,99))-1)*MID(MID(P90,FIND("+",P90&amp;"+")+1,99),FIND("t",MID(P90,FIND("+",P90&amp;"+")+1,99))+1,2)^2*PI()/400,0)</f>
        <v/>
      </c>
      <c r="Q91">
        <f>IFERROR(LEFT(LEFT(Q90,FIND("+",Q90&amp;"+")-1),FIND("t",LEFT(Q90,FIND("+",Q90&amp;"+")-1))-1)*MID(LEFT(Q90,FIND("+",Q90&amp;"+")-1),FIND("t",LEFT(Q90,FIND("+",Q90&amp;"+")-1))+1,2)^2*PI()/400,0)+IFERROR(LEFT(MID(Q90,FIND("+",Q90&amp;"+")+1,99),FIND("t",MID(Q90,FIND("+",Q90&amp;"+")+1,99))-1)*MID(MID(Q90,FIND("+",Q90&amp;"+")+1,99),FIND("t",MID(Q90,FIND("+",Q90&amp;"+")+1,99))+1,2)^2*PI()/400,0)</f>
        <v/>
      </c>
      <c r="R91">
        <f>IFERROR(LEFT(LEFT(R90,FIND("+",R90&amp;"+")-1),FIND("t",LEFT(R90,FIND("+",R90&amp;"+")-1))-1)*MID(LEFT(R90,FIND("+",R90&amp;"+")-1),FIND("t",LEFT(R90,FIND("+",R90&amp;"+")-1))+1,2)^2*PI()/400,0)+IFERROR(LEFT(MID(R90,FIND("+",R90&amp;"+")+1,99),FIND("t",MID(R90,FIND("+",R90&amp;"+")+1,99))-1)*MID(MID(R90,FIND("+",R90&amp;"+")+1,99),FIND("t",MID(R90,FIND("+",R90&amp;"+")+1,99))+1,2)^2*PI()/400,0)</f>
        <v/>
      </c>
      <c r="S91">
        <f>IFERROR(LEFT(LEFT(S90,FIND("+",S90&amp;"+")-1),FIND("t",LEFT(S90,FIND("+",S90&amp;"+")-1))-1)*MID(LEFT(S90,FIND("+",S90&amp;"+")-1),FIND("t",LEFT(S90,FIND("+",S90&amp;"+")-1))+1,2)^2*PI()/400,0)+IFERROR(LEFT(MID(S90,FIND("+",S90&amp;"+")+1,99),FIND("t",MID(S90,FIND("+",S90&amp;"+")+1,99))-1)*MID(MID(S90,FIND("+",S90&amp;"+")+1,99),FIND("t",MID(S90,FIND("+",S90&amp;"+")+1,99))+1,2)^2*PI()/400,0)</f>
        <v/>
      </c>
      <c r="T91">
        <f>IFERROR(LEFT(LEFT(T90,FIND("+",T90&amp;"+")-1),FIND("t",LEFT(T90,FIND("+",T90&amp;"+")-1))-1)*MID(LEFT(T90,FIND("+",T90&amp;"+")-1),FIND("t",LEFT(T90,FIND("+",T90&amp;"+")-1))+1,2)^2*PI()/400,0)+IFERROR(LEFT(MID(T90,FIND("+",T90&amp;"+")+1,99),FIND("t",MID(T90,FIND("+",T90&amp;"+")+1,99))-1)*MID(MID(T90,FIND("+",T90&amp;"+")+1,99),FIND("t",MID(T90,FIND("+",T90&amp;"+")+1,99))+1,2)^2*PI()/400,0)</f>
        <v/>
      </c>
      <c r="U91">
        <f>IFERROR(LEFT(LEFT(U90,FIND("+",U90&amp;"+")-1),FIND("t",LEFT(U90,FIND("+",U90&amp;"+")-1))-1)*MID(LEFT(U90,FIND("+",U90&amp;"+")-1),FIND("t",LEFT(U90,FIND("+",U90&amp;"+")-1))+1,2)^2*PI()/400,0)+IFERROR(LEFT(MID(U90,FIND("+",U90&amp;"+")+1,99),FIND("t",MID(U90,FIND("+",U90&amp;"+")+1,99))-1)*MID(MID(U90,FIND("+",U90&amp;"+")+1,99),FIND("t",MID(U90,FIND("+",U90&amp;"+")+1,99))+1,2)^2*PI()/400,0)</f>
        <v/>
      </c>
      <c r="V91">
        <f>IFERROR(LEFT(LEFT(V90,FIND("+",V90&amp;"+")-1),FIND("t",LEFT(V90,FIND("+",V90&amp;"+")-1))-1)*MID(LEFT(V90,FIND("+",V90&amp;"+")-1),FIND("t",LEFT(V90,FIND("+",V90&amp;"+")-1))+1,2)^2*PI()/400,0)+IFERROR(LEFT(MID(V90,FIND("+",V90&amp;"+")+1,99),FIND("t",MID(V90,FIND("+",V90&amp;"+")+1,99))-1)*MID(MID(V90,FIND("+",V90&amp;"+")+1,99),FIND("t",MID(V90,FIND("+",V90&amp;"+")+1,99))+1,2)^2*PI()/400,0)</f>
        <v/>
      </c>
      <c r="W91">
        <f>IFERROR(LEFT(LEFT(W90,FIND("+",W90&amp;"+")-1),FIND("t",LEFT(W90,FIND("+",W90&amp;"+")-1))-1)*MID(LEFT(W90,FIND("+",W90&amp;"+")-1),FIND("t",LEFT(W90,FIND("+",W90&amp;"+")-1))+1,2)^2*PI()/400,0)+IFERROR(LEFT(MID(W90,FIND("+",W90&amp;"+")+1,99),FIND("t",MID(W90,FIND("+",W90&amp;"+")+1,99))-1)*MID(MID(W90,FIND("+",W90&amp;"+")+1,99),FIND("t",MID(W90,FIND("+",W90&amp;"+")+1,99))+1,2)^2*PI()/400,0)</f>
        <v/>
      </c>
      <c r="X91">
        <f>IFERROR(LEFT(LEFT(X90,FIND("+",X90&amp;"+")-1),FIND("t",LEFT(X90,FIND("+",X90&amp;"+")-1))-1)*MID(LEFT(X90,FIND("+",X90&amp;"+")-1),FIND("t",LEFT(X90,FIND("+",X90&amp;"+")-1))+1,2)^2*PI()/400,0)+IFERROR(LEFT(MID(X90,FIND("+",X90&amp;"+")+1,99),FIND("t",MID(X90,FIND("+",X90&amp;"+")+1,99))-1)*MID(MID(X90,FIND("+",X90&amp;"+")+1,99),FIND("t",MID(X90,FIND("+",X90&amp;"+")+1,99))+1,2)^2*PI()/400,0)</f>
        <v/>
      </c>
      <c r="Y91">
        <f>IFERROR(LEFT(LEFT(Y90,FIND("+",Y90&amp;"+")-1),FIND("t",LEFT(Y90,FIND("+",Y90&amp;"+")-1))-1)*MID(LEFT(Y90,FIND("+",Y90&amp;"+")-1),FIND("t",LEFT(Y90,FIND("+",Y90&amp;"+")-1))+1,2)^2*PI()/400,0)+IFERROR(LEFT(MID(Y90,FIND("+",Y90&amp;"+")+1,99),FIND("t",MID(Y90,FIND("+",Y90&amp;"+")+1,99))-1)*MID(MID(Y90,FIND("+",Y90&amp;"+")+1,99),FIND("t",MID(Y90,FIND("+",Y90&amp;"+")+1,99))+1,2)^2*PI()/400,0)</f>
        <v/>
      </c>
      <c r="Z91">
        <f>IFERROR(LEFT(LEFT(Z90,FIND("+",Z90&amp;"+")-1),FIND("t",LEFT(Z90,FIND("+",Z90&amp;"+")-1))-1)*MID(LEFT(Z90,FIND("+",Z90&amp;"+")-1),FIND("t",LEFT(Z90,FIND("+",Z90&amp;"+")-1))+1,2)^2*PI()/400,0)+IFERROR(LEFT(MID(Z90,FIND("+",Z90&amp;"+")+1,99),FIND("t",MID(Z90,FIND("+",Z90&amp;"+")+1,99))-1)*MID(MID(Z90,FIND("+",Z90&amp;"+")+1,99),FIND("t",MID(Z90,FIND("+",Z90&amp;"+")+1,99))+1,2)^2*PI()/400,0)</f>
        <v/>
      </c>
      <c r="AA91">
        <f>IFERROR(LEFT(LEFT(AA90,FIND("+",AA90&amp;"+")-1),FIND("t",LEFT(AA90,FIND("+",AA90&amp;"+")-1))-1)*MID(LEFT(AA90,FIND("+",AA90&amp;"+")-1),FIND("t",LEFT(AA90,FIND("+",AA90&amp;"+")-1))+1,2)^2*PI()/400,0)+IFERROR(LEFT(MID(AA90,FIND("+",AA90&amp;"+")+1,99),FIND("t",MID(AA90,FIND("+",AA90&amp;"+")+1,99))-1)*MID(MID(AA90,FIND("+",AA90&amp;"+")+1,99),FIND("t",MID(AA90,FIND("+",AA90&amp;"+")+1,99))+1,2)^2*PI()/400,0)</f>
        <v/>
      </c>
      <c r="AB91">
        <f>IFERROR(LEFT(LEFT(AB90,FIND("+",AB90&amp;"+")-1),FIND("t",LEFT(AB90,FIND("+",AB90&amp;"+")-1))-1)*MID(LEFT(AB90,FIND("+",AB90&amp;"+")-1),FIND("t",LEFT(AB90,FIND("+",AB90&amp;"+")-1))+1,2)^2*PI()/400,0)+IFERROR(LEFT(MID(AB90,FIND("+",AB90&amp;"+")+1,99),FIND("t",MID(AB90,FIND("+",AB90&amp;"+")+1,99))-1)*MID(MID(AB90,FIND("+",AB90&amp;"+")+1,99),FIND("t",MID(AB90,FIND("+",AB90&amp;"+")+1,99))+1,2)^2*PI()/400,0)</f>
        <v/>
      </c>
      <c r="AC91">
        <f>IFERROR(LEFT(LEFT(AC90,FIND("+",AC90&amp;"+")-1),FIND("t",LEFT(AC90,FIND("+",AC90&amp;"+")-1))-1)*MID(LEFT(AC90,FIND("+",AC90&amp;"+")-1),FIND("t",LEFT(AC90,FIND("+",AC90&amp;"+")-1))+1,2)^2*PI()/400,0)+IFERROR(LEFT(MID(AC90,FIND("+",AC90&amp;"+")+1,99),FIND("t",MID(AC90,FIND("+",AC90&amp;"+")+1,99))-1)*MID(MID(AC90,FIND("+",AC90&amp;"+")+1,99),FIND("t",MID(AC90,FIND("+",AC90&amp;"+")+1,99))+1,2)^2*PI()/400,0)</f>
        <v/>
      </c>
      <c r="AD91">
        <f>IFERROR(LEFT(LEFT(AD90,FIND("+",AD90&amp;"+")-1),FIND("t",LEFT(AD90,FIND("+",AD90&amp;"+")-1))-1)*MID(LEFT(AD90,FIND("+",AD90&amp;"+")-1),FIND("t",LEFT(AD90,FIND("+",AD90&amp;"+")-1))+1,2)^2*PI()/400,0)+IFERROR(LEFT(MID(AD90,FIND("+",AD90&amp;"+")+1,99),FIND("t",MID(AD90,FIND("+",AD90&amp;"+")+1,99))-1)*MID(MID(AD90,FIND("+",AD90&amp;"+")+1,99),FIND("t",MID(AD90,FIND("+",AD90&amp;"+")+1,99))+1,2)^2*PI()/400,0)</f>
        <v/>
      </c>
      <c r="AE91">
        <f>IFERROR(LEFT(LEFT(AE90,FIND("+",AE90&amp;"+")-1),FIND("t",LEFT(AE90,FIND("+",AE90&amp;"+")-1))-1)*MID(LEFT(AE90,FIND("+",AE90&amp;"+")-1),FIND("t",LEFT(AE90,FIND("+",AE90&amp;"+")-1))+1,2)^2*PI()/400,0)+IFERROR(LEFT(MID(AE90,FIND("+",AE90&amp;"+")+1,99),FIND("t",MID(AE90,FIND("+",AE90&amp;"+")+1,99))-1)*MID(MID(AE90,FIND("+",AE90&amp;"+")+1,99),FIND("t",MID(AE90,FIND("+",AE90&amp;"+")+1,99))+1,2)^2*PI()/400,0)</f>
        <v/>
      </c>
      <c r="AF91">
        <f>IFERROR(LEFT(LEFT(AF90,FIND("+",AF90&amp;"+")-1),FIND("t",LEFT(AF90,FIND("+",AF90&amp;"+")-1))-1)*MID(LEFT(AF90,FIND("+",AF90&amp;"+")-1),FIND("t",LEFT(AF90,FIND("+",AF90&amp;"+")-1))+1,2)^2*PI()/400,0)+IFERROR(LEFT(MID(AF90,FIND("+",AF90&amp;"+")+1,99),FIND("t",MID(AF90,FIND("+",AF90&amp;"+")+1,99))-1)*MID(MID(AF90,FIND("+",AF90&amp;"+")+1,99),FIND("t",MID(AF90,FIND("+",AF90&amp;"+")+1,99))+1,2)^2*PI()/400,0)</f>
        <v/>
      </c>
      <c r="AG91">
        <f>IFERROR(LEFT(LEFT(AG90,FIND("+",AG90&amp;"+")-1),FIND("t",LEFT(AG90,FIND("+",AG90&amp;"+")-1))-1)*MID(LEFT(AG90,FIND("+",AG90&amp;"+")-1),FIND("t",LEFT(AG90,FIND("+",AG90&amp;"+")-1))+1,2)^2*PI()/400,0)+IFERROR(LEFT(MID(AG90,FIND("+",AG90&amp;"+")+1,99),FIND("t",MID(AG90,FIND("+",AG90&amp;"+")+1,99))-1)*MID(MID(AG90,FIND("+",AG90&amp;"+")+1,99),FIND("t",MID(AG90,FIND("+",AG90&amp;"+")+1,99))+1,2)^2*PI()/400,0)</f>
        <v/>
      </c>
    </row>
    <row r="92" hidden="1" outlineLevel="1">
      <c r="A92" s="60" t="inlineStr">
        <is>
          <t>(phụ trợ) N_B0L</t>
        </is>
      </c>
      <c r="C92">
        <f>$B$126</f>
        <v/>
      </c>
      <c r="D92">
        <f>IFERROR(IF(ISNUMBER(MID(LOOKUP(2,1/ISNUMBER(FIND(";",$D$25:D$25)),$D$25:D$25),FIND(";",LOOKUP(2,1/ISNUMBER(FIND(";",$D$25:D$25)),$D$25:D$25))+1,99)*1),LEFT($B$126,FIND("t",$B$126))&amp;MID(LOOKUP(2,1/ISNUMBER(FIND(";",$D$25:D$25)),$D$25:D$25),FIND(";",LOOKUP(2,1/ISNUMBER(FIND(";",$D$25:D$25)),$D$25:D$25))+1,99),SUBSTITUTE(SUBSTITUTE(SUBSTITUTE(SUBSTITUTE(SUBSTITUTE(SUBSTITUTE(LOWER(MID(LOOKUP(2,1/ISNUMBER(FIND(";",$D$25:D$25)),$D$25:D$25),FIND(";",LOOKUP(2,1/ISNUMBER(FIND(";",$D$25:D$25)),$D$25:D$25))+1,99))," ",""),"%%c","t"),"ø","t"),"φ","t"),"f","t"),"d","t")),$B$126)</f>
        <v/>
      </c>
      <c r="E92">
        <f>IFERROR(IF(ISNUMBER(MID(LOOKUP(2,1/ISNUMBER(FIND(";",$D$25:D$25)),$D$25:D$25),FIND(";",LOOKUP(2,1/ISNUMBER(FIND(";",$D$25:D$25)),$D$25:D$25))+1,99)*1),LEFT($B$126,FIND("t",$B$126))&amp;MID(LOOKUP(2,1/ISNUMBER(FIND(";",$D$25:D$25)),$D$25:D$25),FIND(";",LOOKUP(2,1/ISNUMBER(FIND(";",$D$25:D$25)),$D$25:D$25))+1,99),SUBSTITUTE(SUBSTITUTE(SUBSTITUTE(SUBSTITUTE(SUBSTITUTE(SUBSTITUTE(LOWER(MID(LOOKUP(2,1/ISNUMBER(FIND(";",$D$25:D$25)),$D$25:D$25),FIND(";",LOOKUP(2,1/ISNUMBER(FIND(";",$D$25:D$25)),$D$25:D$25))+1,99))," ",""),"%%c","t"),"ø","t"),"φ","t"),"f","t"),"d","t")),$B$126)</f>
        <v/>
      </c>
      <c r="F92">
        <f>IFERROR(IF(ISNUMBER(MID(LOOKUP(2,1/ISNUMBER(FIND(";",$D$25:F$25)),$D$25:F$25),FIND(";",LOOKUP(2,1/ISNUMBER(FIND(";",$D$25:F$25)),$D$25:F$25))+1,99)*1),LEFT($B$126,FIND("t",$B$126))&amp;MID(LOOKUP(2,1/ISNUMBER(FIND(";",$D$25:F$25)),$D$25:F$25),FIND(";",LOOKUP(2,1/ISNUMBER(FIND(";",$D$25:F$25)),$D$25:F$25))+1,99),SUBSTITUTE(SUBSTITUTE(SUBSTITUTE(SUBSTITUTE(SUBSTITUTE(SUBSTITUTE(LOWER(MID(LOOKUP(2,1/ISNUMBER(FIND(";",$D$25:F$25)),$D$25:F$25),FIND(";",LOOKUP(2,1/ISNUMBER(FIND(";",$D$25:F$25)),$D$25:F$25))+1,99))," ",""),"%%c","t"),"ø","t"),"φ","t"),"f","t"),"d","t")),$B$126)</f>
        <v/>
      </c>
      <c r="G92">
        <f>IFERROR(IF(ISNUMBER(MID(LOOKUP(2,1/ISNUMBER(FIND(";",$D$25:F$25)),$D$25:F$25),FIND(";",LOOKUP(2,1/ISNUMBER(FIND(";",$D$25:F$25)),$D$25:F$25))+1,99)*1),LEFT($B$126,FIND("t",$B$126))&amp;MID(LOOKUP(2,1/ISNUMBER(FIND(";",$D$25:F$25)),$D$25:F$25),FIND(";",LOOKUP(2,1/ISNUMBER(FIND(";",$D$25:F$25)),$D$25:F$25))+1,99),SUBSTITUTE(SUBSTITUTE(SUBSTITUTE(SUBSTITUTE(SUBSTITUTE(SUBSTITUTE(LOWER(MID(LOOKUP(2,1/ISNUMBER(FIND(";",$D$25:F$25)),$D$25:F$25),FIND(";",LOOKUP(2,1/ISNUMBER(FIND(";",$D$25:F$25)),$D$25:F$25))+1,99))," ",""),"%%c","t"),"ø","t"),"φ","t"),"f","t"),"d","t")),$B$126)</f>
        <v/>
      </c>
      <c r="H92">
        <f>IFERROR(IF(ISNUMBER(MID(LOOKUP(2,1/ISNUMBER(FIND(";",$D$25:H$25)),$D$25:H$25),FIND(";",LOOKUP(2,1/ISNUMBER(FIND(";",$D$25:H$25)),$D$25:H$25))+1,99)*1),LEFT($B$126,FIND("t",$B$126))&amp;MID(LOOKUP(2,1/ISNUMBER(FIND(";",$D$25:H$25)),$D$25:H$25),FIND(";",LOOKUP(2,1/ISNUMBER(FIND(";",$D$25:H$25)),$D$25:H$25))+1,99),SUBSTITUTE(SUBSTITUTE(SUBSTITUTE(SUBSTITUTE(SUBSTITUTE(SUBSTITUTE(LOWER(MID(LOOKUP(2,1/ISNUMBER(FIND(";",$D$25:H$25)),$D$25:H$25),FIND(";",LOOKUP(2,1/ISNUMBER(FIND(";",$D$25:H$25)),$D$25:H$25))+1,99))," ",""),"%%c","t"),"ø","t"),"φ","t"),"f","t"),"d","t")),$B$126)</f>
        <v/>
      </c>
      <c r="I92">
        <f>IFERROR(IF(ISNUMBER(MID(LOOKUP(2,1/ISNUMBER(FIND(";",$D$25:H$25)),$D$25:H$25),FIND(";",LOOKUP(2,1/ISNUMBER(FIND(";",$D$25:H$25)),$D$25:H$25))+1,99)*1),LEFT($B$126,FIND("t",$B$126))&amp;MID(LOOKUP(2,1/ISNUMBER(FIND(";",$D$25:H$25)),$D$25:H$25),FIND(";",LOOKUP(2,1/ISNUMBER(FIND(";",$D$25:H$25)),$D$25:H$25))+1,99),SUBSTITUTE(SUBSTITUTE(SUBSTITUTE(SUBSTITUTE(SUBSTITUTE(SUBSTITUTE(LOWER(MID(LOOKUP(2,1/ISNUMBER(FIND(";",$D$25:H$25)),$D$25:H$25),FIND(";",LOOKUP(2,1/ISNUMBER(FIND(";",$D$25:H$25)),$D$25:H$25))+1,99))," ",""),"%%c","t"),"ø","t"),"φ","t"),"f","t"),"d","t")),$B$126)</f>
        <v/>
      </c>
      <c r="J92">
        <f>IFERROR(IF(ISNUMBER(MID(LOOKUP(2,1/ISNUMBER(FIND(";",$D$25:J$25)),$D$25:J$25),FIND(";",LOOKUP(2,1/ISNUMBER(FIND(";",$D$25:J$25)),$D$25:J$25))+1,99)*1),LEFT($B$126,FIND("t",$B$126))&amp;MID(LOOKUP(2,1/ISNUMBER(FIND(";",$D$25:J$25)),$D$25:J$25),FIND(";",LOOKUP(2,1/ISNUMBER(FIND(";",$D$25:J$25)),$D$25:J$25))+1,99),SUBSTITUTE(SUBSTITUTE(SUBSTITUTE(SUBSTITUTE(SUBSTITUTE(SUBSTITUTE(LOWER(MID(LOOKUP(2,1/ISNUMBER(FIND(";",$D$25:J$25)),$D$25:J$25),FIND(";",LOOKUP(2,1/ISNUMBER(FIND(";",$D$25:J$25)),$D$25:J$25))+1,99))," ",""),"%%c","t"),"ø","t"),"φ","t"),"f","t"),"d","t")),$B$126)</f>
        <v/>
      </c>
      <c r="K92">
        <f>IFERROR(IF(ISNUMBER(MID(LOOKUP(2,1/ISNUMBER(FIND(";",$D$25:J$25)),$D$25:J$25),FIND(";",LOOKUP(2,1/ISNUMBER(FIND(";",$D$25:J$25)),$D$25:J$25))+1,99)*1),LEFT($B$126,FIND("t",$B$126))&amp;MID(LOOKUP(2,1/ISNUMBER(FIND(";",$D$25:J$25)),$D$25:J$25),FIND(";",LOOKUP(2,1/ISNUMBER(FIND(";",$D$25:J$25)),$D$25:J$25))+1,99),SUBSTITUTE(SUBSTITUTE(SUBSTITUTE(SUBSTITUTE(SUBSTITUTE(SUBSTITUTE(LOWER(MID(LOOKUP(2,1/ISNUMBER(FIND(";",$D$25:J$25)),$D$25:J$25),FIND(";",LOOKUP(2,1/ISNUMBER(FIND(";",$D$25:J$25)),$D$25:J$25))+1,99))," ",""),"%%c","t"),"ø","t"),"φ","t"),"f","t"),"d","t")),$B$126)</f>
        <v/>
      </c>
      <c r="L92">
        <f>IFERROR(IF(ISNUMBER(MID(LOOKUP(2,1/ISNUMBER(FIND(";",$D$25:L$25)),$D$25:L$25),FIND(";",LOOKUP(2,1/ISNUMBER(FIND(";",$D$25:L$25)),$D$25:L$25))+1,99)*1),LEFT($B$126,FIND("t",$B$126))&amp;MID(LOOKUP(2,1/ISNUMBER(FIND(";",$D$25:L$25)),$D$25:L$25),FIND(";",LOOKUP(2,1/ISNUMBER(FIND(";",$D$25:L$25)),$D$25:L$25))+1,99),SUBSTITUTE(SUBSTITUTE(SUBSTITUTE(SUBSTITUTE(SUBSTITUTE(SUBSTITUTE(LOWER(MID(LOOKUP(2,1/ISNUMBER(FIND(";",$D$25:L$25)),$D$25:L$25),FIND(";",LOOKUP(2,1/ISNUMBER(FIND(";",$D$25:L$25)),$D$25:L$25))+1,99))," ",""),"%%c","t"),"ø","t"),"φ","t"),"f","t"),"d","t")),$B$126)</f>
        <v/>
      </c>
      <c r="M92">
        <f>IFERROR(IF(ISNUMBER(MID(LOOKUP(2,1/ISNUMBER(FIND(";",$D$25:L$25)),$D$25:L$25),FIND(";",LOOKUP(2,1/ISNUMBER(FIND(";",$D$25:L$25)),$D$25:L$25))+1,99)*1),LEFT($B$126,FIND("t",$B$126))&amp;MID(LOOKUP(2,1/ISNUMBER(FIND(";",$D$25:L$25)),$D$25:L$25),FIND(";",LOOKUP(2,1/ISNUMBER(FIND(";",$D$25:L$25)),$D$25:L$25))+1,99),SUBSTITUTE(SUBSTITUTE(SUBSTITUTE(SUBSTITUTE(SUBSTITUTE(SUBSTITUTE(LOWER(MID(LOOKUP(2,1/ISNUMBER(FIND(";",$D$25:L$25)),$D$25:L$25),FIND(";",LOOKUP(2,1/ISNUMBER(FIND(";",$D$25:L$25)),$D$25:L$25))+1,99))," ",""),"%%c","t"),"ø","t"),"φ","t"),"f","t"),"d","t")),$B$126)</f>
        <v/>
      </c>
      <c r="N92">
        <f>IFERROR(IF(ISNUMBER(MID(LOOKUP(2,1/ISNUMBER(FIND(";",$D$25:N$25)),$D$25:N$25),FIND(";",LOOKUP(2,1/ISNUMBER(FIND(";",$D$25:N$25)),$D$25:N$25))+1,99)*1),LEFT($B$126,FIND("t",$B$126))&amp;MID(LOOKUP(2,1/ISNUMBER(FIND(";",$D$25:N$25)),$D$25:N$25),FIND(";",LOOKUP(2,1/ISNUMBER(FIND(";",$D$25:N$25)),$D$25:N$25))+1,99),SUBSTITUTE(SUBSTITUTE(SUBSTITUTE(SUBSTITUTE(SUBSTITUTE(SUBSTITUTE(LOWER(MID(LOOKUP(2,1/ISNUMBER(FIND(";",$D$25:N$25)),$D$25:N$25),FIND(";",LOOKUP(2,1/ISNUMBER(FIND(";",$D$25:N$25)),$D$25:N$25))+1,99))," ",""),"%%c","t"),"ø","t"),"φ","t"),"f","t"),"d","t")),$B$126)</f>
        <v/>
      </c>
      <c r="O92">
        <f>IFERROR(IF(ISNUMBER(MID(LOOKUP(2,1/ISNUMBER(FIND(";",$D$25:N$25)),$D$25:N$25),FIND(";",LOOKUP(2,1/ISNUMBER(FIND(";",$D$25:N$25)),$D$25:N$25))+1,99)*1),LEFT($B$126,FIND("t",$B$126))&amp;MID(LOOKUP(2,1/ISNUMBER(FIND(";",$D$25:N$25)),$D$25:N$25),FIND(";",LOOKUP(2,1/ISNUMBER(FIND(";",$D$25:N$25)),$D$25:N$25))+1,99),SUBSTITUTE(SUBSTITUTE(SUBSTITUTE(SUBSTITUTE(SUBSTITUTE(SUBSTITUTE(LOWER(MID(LOOKUP(2,1/ISNUMBER(FIND(";",$D$25:N$25)),$D$25:N$25),FIND(";",LOOKUP(2,1/ISNUMBER(FIND(";",$D$25:N$25)),$D$25:N$25))+1,99))," ",""),"%%c","t"),"ø","t"),"φ","t"),"f","t"),"d","t")),$B$126)</f>
        <v/>
      </c>
      <c r="P92">
        <f>IFERROR(IF(ISNUMBER(MID(LOOKUP(2,1/ISNUMBER(FIND(";",$D$25:P$25)),$D$25:P$25),FIND(";",LOOKUP(2,1/ISNUMBER(FIND(";",$D$25:P$25)),$D$25:P$25))+1,99)*1),LEFT($B$126,FIND("t",$B$126))&amp;MID(LOOKUP(2,1/ISNUMBER(FIND(";",$D$25:P$25)),$D$25:P$25),FIND(";",LOOKUP(2,1/ISNUMBER(FIND(";",$D$25:P$25)),$D$25:P$25))+1,99),SUBSTITUTE(SUBSTITUTE(SUBSTITUTE(SUBSTITUTE(SUBSTITUTE(SUBSTITUTE(LOWER(MID(LOOKUP(2,1/ISNUMBER(FIND(";",$D$25:P$25)),$D$25:P$25),FIND(";",LOOKUP(2,1/ISNUMBER(FIND(";",$D$25:P$25)),$D$25:P$25))+1,99))," ",""),"%%c","t"),"ø","t"),"φ","t"),"f","t"),"d","t")),$B$126)</f>
        <v/>
      </c>
      <c r="Q92">
        <f>IFERROR(IF(ISNUMBER(MID(LOOKUP(2,1/ISNUMBER(FIND(";",$D$25:P$25)),$D$25:P$25),FIND(";",LOOKUP(2,1/ISNUMBER(FIND(";",$D$25:P$25)),$D$25:P$25))+1,99)*1),LEFT($B$126,FIND("t",$B$126))&amp;MID(LOOKUP(2,1/ISNUMBER(FIND(";",$D$25:P$25)),$D$25:P$25),FIND(";",LOOKUP(2,1/ISNUMBER(FIND(";",$D$25:P$25)),$D$25:P$25))+1,99),SUBSTITUTE(SUBSTITUTE(SUBSTITUTE(SUBSTITUTE(SUBSTITUTE(SUBSTITUTE(LOWER(MID(LOOKUP(2,1/ISNUMBER(FIND(";",$D$25:P$25)),$D$25:P$25),FIND(";",LOOKUP(2,1/ISNUMBER(FIND(";",$D$25:P$25)),$D$25:P$25))+1,99))," ",""),"%%c","t"),"ø","t"),"φ","t"),"f","t"),"d","t")),$B$126)</f>
        <v/>
      </c>
      <c r="R92">
        <f>IFERROR(IF(ISNUMBER(MID(LOOKUP(2,1/ISNUMBER(FIND(";",$D$25:R$25)),$D$25:R$25),FIND(";",LOOKUP(2,1/ISNUMBER(FIND(";",$D$25:R$25)),$D$25:R$25))+1,99)*1),LEFT($B$126,FIND("t",$B$126))&amp;MID(LOOKUP(2,1/ISNUMBER(FIND(";",$D$25:R$25)),$D$25:R$25),FIND(";",LOOKUP(2,1/ISNUMBER(FIND(";",$D$25:R$25)),$D$25:R$25))+1,99),SUBSTITUTE(SUBSTITUTE(SUBSTITUTE(SUBSTITUTE(SUBSTITUTE(SUBSTITUTE(LOWER(MID(LOOKUP(2,1/ISNUMBER(FIND(";",$D$25:R$25)),$D$25:R$25),FIND(";",LOOKUP(2,1/ISNUMBER(FIND(";",$D$25:R$25)),$D$25:R$25))+1,99))," ",""),"%%c","t"),"ø","t"),"φ","t"),"f","t"),"d","t")),$B$126)</f>
        <v/>
      </c>
      <c r="S92">
        <f>IFERROR(IF(ISNUMBER(MID(LOOKUP(2,1/ISNUMBER(FIND(";",$D$25:R$25)),$D$25:R$25),FIND(";",LOOKUP(2,1/ISNUMBER(FIND(";",$D$25:R$25)),$D$25:R$25))+1,99)*1),LEFT($B$126,FIND("t",$B$126))&amp;MID(LOOKUP(2,1/ISNUMBER(FIND(";",$D$25:R$25)),$D$25:R$25),FIND(";",LOOKUP(2,1/ISNUMBER(FIND(";",$D$25:R$25)),$D$25:R$25))+1,99),SUBSTITUTE(SUBSTITUTE(SUBSTITUTE(SUBSTITUTE(SUBSTITUTE(SUBSTITUTE(LOWER(MID(LOOKUP(2,1/ISNUMBER(FIND(";",$D$25:R$25)),$D$25:R$25),FIND(";",LOOKUP(2,1/ISNUMBER(FIND(";",$D$25:R$25)),$D$25:R$25))+1,99))," ",""),"%%c","t"),"ø","t"),"φ","t"),"f","t"),"d","t")),$B$126)</f>
        <v/>
      </c>
      <c r="T92">
        <f>IFERROR(IF(ISNUMBER(MID(LOOKUP(2,1/ISNUMBER(FIND(";",$D$25:T$25)),$D$25:T$25),FIND(";",LOOKUP(2,1/ISNUMBER(FIND(";",$D$25:T$25)),$D$25:T$25))+1,99)*1),LEFT($B$126,FIND("t",$B$126))&amp;MID(LOOKUP(2,1/ISNUMBER(FIND(";",$D$25:T$25)),$D$25:T$25),FIND(";",LOOKUP(2,1/ISNUMBER(FIND(";",$D$25:T$25)),$D$25:T$25))+1,99),SUBSTITUTE(SUBSTITUTE(SUBSTITUTE(SUBSTITUTE(SUBSTITUTE(SUBSTITUTE(LOWER(MID(LOOKUP(2,1/ISNUMBER(FIND(";",$D$25:T$25)),$D$25:T$25),FIND(";",LOOKUP(2,1/ISNUMBER(FIND(";",$D$25:T$25)),$D$25:T$25))+1,99))," ",""),"%%c","t"),"ø","t"),"φ","t"),"f","t"),"d","t")),$B$126)</f>
        <v/>
      </c>
      <c r="U92">
        <f>IFERROR(IF(ISNUMBER(MID(LOOKUP(2,1/ISNUMBER(FIND(";",$D$25:T$25)),$D$25:T$25),FIND(";",LOOKUP(2,1/ISNUMBER(FIND(";",$D$25:T$25)),$D$25:T$25))+1,99)*1),LEFT($B$126,FIND("t",$B$126))&amp;MID(LOOKUP(2,1/ISNUMBER(FIND(";",$D$25:T$25)),$D$25:T$25),FIND(";",LOOKUP(2,1/ISNUMBER(FIND(";",$D$25:T$25)),$D$25:T$25))+1,99),SUBSTITUTE(SUBSTITUTE(SUBSTITUTE(SUBSTITUTE(SUBSTITUTE(SUBSTITUTE(LOWER(MID(LOOKUP(2,1/ISNUMBER(FIND(";",$D$25:T$25)),$D$25:T$25),FIND(";",LOOKUP(2,1/ISNUMBER(FIND(";",$D$25:T$25)),$D$25:T$25))+1,99))," ",""),"%%c","t"),"ø","t"),"φ","t"),"f","t"),"d","t")),$B$126)</f>
        <v/>
      </c>
      <c r="V92">
        <f>IFERROR(IF(ISNUMBER(MID(LOOKUP(2,1/ISNUMBER(FIND(";",$D$25:V$25)),$D$25:V$25),FIND(";",LOOKUP(2,1/ISNUMBER(FIND(";",$D$25:V$25)),$D$25:V$25))+1,99)*1),LEFT($B$126,FIND("t",$B$126))&amp;MID(LOOKUP(2,1/ISNUMBER(FIND(";",$D$25:V$25)),$D$25:V$25),FIND(";",LOOKUP(2,1/ISNUMBER(FIND(";",$D$25:V$25)),$D$25:V$25))+1,99),SUBSTITUTE(SUBSTITUTE(SUBSTITUTE(SUBSTITUTE(SUBSTITUTE(SUBSTITUTE(LOWER(MID(LOOKUP(2,1/ISNUMBER(FIND(";",$D$25:V$25)),$D$25:V$25),FIND(";",LOOKUP(2,1/ISNUMBER(FIND(";",$D$25:V$25)),$D$25:V$25))+1,99))," ",""),"%%c","t"),"ø","t"),"φ","t"),"f","t"),"d","t")),$B$126)</f>
        <v/>
      </c>
      <c r="W92">
        <f>IFERROR(IF(ISNUMBER(MID(LOOKUP(2,1/ISNUMBER(FIND(";",$D$25:V$25)),$D$25:V$25),FIND(";",LOOKUP(2,1/ISNUMBER(FIND(";",$D$25:V$25)),$D$25:V$25))+1,99)*1),LEFT($B$126,FIND("t",$B$126))&amp;MID(LOOKUP(2,1/ISNUMBER(FIND(";",$D$25:V$25)),$D$25:V$25),FIND(";",LOOKUP(2,1/ISNUMBER(FIND(";",$D$25:V$25)),$D$25:V$25))+1,99),SUBSTITUTE(SUBSTITUTE(SUBSTITUTE(SUBSTITUTE(SUBSTITUTE(SUBSTITUTE(LOWER(MID(LOOKUP(2,1/ISNUMBER(FIND(";",$D$25:V$25)),$D$25:V$25),FIND(";",LOOKUP(2,1/ISNUMBER(FIND(";",$D$25:V$25)),$D$25:V$25))+1,99))," ",""),"%%c","t"),"ø","t"),"φ","t"),"f","t"),"d","t")),$B$126)</f>
        <v/>
      </c>
      <c r="X92">
        <f>IFERROR(IF(ISNUMBER(MID(LOOKUP(2,1/ISNUMBER(FIND(";",$D$25:X$25)),$D$25:X$25),FIND(";",LOOKUP(2,1/ISNUMBER(FIND(";",$D$25:X$25)),$D$25:X$25))+1,99)*1),LEFT($B$126,FIND("t",$B$126))&amp;MID(LOOKUP(2,1/ISNUMBER(FIND(";",$D$25:X$25)),$D$25:X$25),FIND(";",LOOKUP(2,1/ISNUMBER(FIND(";",$D$25:X$25)),$D$25:X$25))+1,99),SUBSTITUTE(SUBSTITUTE(SUBSTITUTE(SUBSTITUTE(SUBSTITUTE(SUBSTITUTE(LOWER(MID(LOOKUP(2,1/ISNUMBER(FIND(";",$D$25:X$25)),$D$25:X$25),FIND(";",LOOKUP(2,1/ISNUMBER(FIND(";",$D$25:X$25)),$D$25:X$25))+1,99))," ",""),"%%c","t"),"ø","t"),"φ","t"),"f","t"),"d","t")),$B$126)</f>
        <v/>
      </c>
      <c r="Y92">
        <f>IFERROR(IF(ISNUMBER(MID(LOOKUP(2,1/ISNUMBER(FIND(";",$D$25:X$25)),$D$25:X$25),FIND(";",LOOKUP(2,1/ISNUMBER(FIND(";",$D$25:X$25)),$D$25:X$25))+1,99)*1),LEFT($B$126,FIND("t",$B$126))&amp;MID(LOOKUP(2,1/ISNUMBER(FIND(";",$D$25:X$25)),$D$25:X$25),FIND(";",LOOKUP(2,1/ISNUMBER(FIND(";",$D$25:X$25)),$D$25:X$25))+1,99),SUBSTITUTE(SUBSTITUTE(SUBSTITUTE(SUBSTITUTE(SUBSTITUTE(SUBSTITUTE(LOWER(MID(LOOKUP(2,1/ISNUMBER(FIND(";",$D$25:X$25)),$D$25:X$25),FIND(";",LOOKUP(2,1/ISNUMBER(FIND(";",$D$25:X$25)),$D$25:X$25))+1,99))," ",""),"%%c","t"),"ø","t"),"φ","t"),"f","t"),"d","t")),$B$126)</f>
        <v/>
      </c>
      <c r="Z92">
        <f>IFERROR(IF(ISNUMBER(MID(LOOKUP(2,1/ISNUMBER(FIND(";",$D$25:Z$25)),$D$25:Z$25),FIND(";",LOOKUP(2,1/ISNUMBER(FIND(";",$D$25:Z$25)),$D$25:Z$25))+1,99)*1),LEFT($B$126,FIND("t",$B$126))&amp;MID(LOOKUP(2,1/ISNUMBER(FIND(";",$D$25:Z$25)),$D$25:Z$25),FIND(";",LOOKUP(2,1/ISNUMBER(FIND(";",$D$25:Z$25)),$D$25:Z$25))+1,99),SUBSTITUTE(SUBSTITUTE(SUBSTITUTE(SUBSTITUTE(SUBSTITUTE(SUBSTITUTE(LOWER(MID(LOOKUP(2,1/ISNUMBER(FIND(";",$D$25:Z$25)),$D$25:Z$25),FIND(";",LOOKUP(2,1/ISNUMBER(FIND(";",$D$25:Z$25)),$D$25:Z$25))+1,99))," ",""),"%%c","t"),"ø","t"),"φ","t"),"f","t"),"d","t")),$B$126)</f>
        <v/>
      </c>
      <c r="AA92">
        <f>IFERROR(IF(ISNUMBER(MID(LOOKUP(2,1/ISNUMBER(FIND(";",$D$25:Z$25)),$D$25:Z$25),FIND(";",LOOKUP(2,1/ISNUMBER(FIND(";",$D$25:Z$25)),$D$25:Z$25))+1,99)*1),LEFT($B$126,FIND("t",$B$126))&amp;MID(LOOKUP(2,1/ISNUMBER(FIND(";",$D$25:Z$25)),$D$25:Z$25),FIND(";",LOOKUP(2,1/ISNUMBER(FIND(";",$D$25:Z$25)),$D$25:Z$25))+1,99),SUBSTITUTE(SUBSTITUTE(SUBSTITUTE(SUBSTITUTE(SUBSTITUTE(SUBSTITUTE(LOWER(MID(LOOKUP(2,1/ISNUMBER(FIND(";",$D$25:Z$25)),$D$25:Z$25),FIND(";",LOOKUP(2,1/ISNUMBER(FIND(";",$D$25:Z$25)),$D$25:Z$25))+1,99))," ",""),"%%c","t"),"ø","t"),"φ","t"),"f","t"),"d","t")),$B$126)</f>
        <v/>
      </c>
      <c r="AB92">
        <f>IFERROR(IF(ISNUMBER(MID(LOOKUP(2,1/ISNUMBER(FIND(";",$D$25:AB$25)),$D$25:AB$25),FIND(";",LOOKUP(2,1/ISNUMBER(FIND(";",$D$25:AB$25)),$D$25:AB$25))+1,99)*1),LEFT($B$126,FIND("t",$B$126))&amp;MID(LOOKUP(2,1/ISNUMBER(FIND(";",$D$25:AB$25)),$D$25:AB$25),FIND(";",LOOKUP(2,1/ISNUMBER(FIND(";",$D$25:AB$25)),$D$25:AB$25))+1,99),SUBSTITUTE(SUBSTITUTE(SUBSTITUTE(SUBSTITUTE(SUBSTITUTE(SUBSTITUTE(LOWER(MID(LOOKUP(2,1/ISNUMBER(FIND(";",$D$25:AB$25)),$D$25:AB$25),FIND(";",LOOKUP(2,1/ISNUMBER(FIND(";",$D$25:AB$25)),$D$25:AB$25))+1,99))," ",""),"%%c","t"),"ø","t"),"φ","t"),"f","t"),"d","t")),$B$126)</f>
        <v/>
      </c>
      <c r="AC92">
        <f>IFERROR(IF(ISNUMBER(MID(LOOKUP(2,1/ISNUMBER(FIND(";",$D$25:AB$25)),$D$25:AB$25),FIND(";",LOOKUP(2,1/ISNUMBER(FIND(";",$D$25:AB$25)),$D$25:AB$25))+1,99)*1),LEFT($B$126,FIND("t",$B$126))&amp;MID(LOOKUP(2,1/ISNUMBER(FIND(";",$D$25:AB$25)),$D$25:AB$25),FIND(";",LOOKUP(2,1/ISNUMBER(FIND(";",$D$25:AB$25)),$D$25:AB$25))+1,99),SUBSTITUTE(SUBSTITUTE(SUBSTITUTE(SUBSTITUTE(SUBSTITUTE(SUBSTITUTE(LOWER(MID(LOOKUP(2,1/ISNUMBER(FIND(";",$D$25:AB$25)),$D$25:AB$25),FIND(";",LOOKUP(2,1/ISNUMBER(FIND(";",$D$25:AB$25)),$D$25:AB$25))+1,99))," ",""),"%%c","t"),"ø","t"),"φ","t"),"f","t"),"d","t")),$B$126)</f>
        <v/>
      </c>
      <c r="AD92">
        <f>IFERROR(IF(ISNUMBER(MID(LOOKUP(2,1/ISNUMBER(FIND(";",$D$25:AD$25)),$D$25:AD$25),FIND(";",LOOKUP(2,1/ISNUMBER(FIND(";",$D$25:AD$25)),$D$25:AD$25))+1,99)*1),LEFT($B$126,FIND("t",$B$126))&amp;MID(LOOKUP(2,1/ISNUMBER(FIND(";",$D$25:AD$25)),$D$25:AD$25),FIND(";",LOOKUP(2,1/ISNUMBER(FIND(";",$D$25:AD$25)),$D$25:AD$25))+1,99),SUBSTITUTE(SUBSTITUTE(SUBSTITUTE(SUBSTITUTE(SUBSTITUTE(SUBSTITUTE(LOWER(MID(LOOKUP(2,1/ISNUMBER(FIND(";",$D$25:AD$25)),$D$25:AD$25),FIND(";",LOOKUP(2,1/ISNUMBER(FIND(";",$D$25:AD$25)),$D$25:AD$25))+1,99))," ",""),"%%c","t"),"ø","t"),"φ","t"),"f","t"),"d","t")),$B$126)</f>
        <v/>
      </c>
      <c r="AE92">
        <f>IFERROR(IF(ISNUMBER(MID(LOOKUP(2,1/ISNUMBER(FIND(";",$D$25:AD$25)),$D$25:AD$25),FIND(";",LOOKUP(2,1/ISNUMBER(FIND(";",$D$25:AD$25)),$D$25:AD$25))+1,99)*1),LEFT($B$126,FIND("t",$B$126))&amp;MID(LOOKUP(2,1/ISNUMBER(FIND(";",$D$25:AD$25)),$D$25:AD$25),FIND(";",LOOKUP(2,1/ISNUMBER(FIND(";",$D$25:AD$25)),$D$25:AD$25))+1,99),SUBSTITUTE(SUBSTITUTE(SUBSTITUTE(SUBSTITUTE(SUBSTITUTE(SUBSTITUTE(LOWER(MID(LOOKUP(2,1/ISNUMBER(FIND(";",$D$25:AD$25)),$D$25:AD$25),FIND(";",LOOKUP(2,1/ISNUMBER(FIND(";",$D$25:AD$25)),$D$25:AD$25))+1,99))," ",""),"%%c","t"),"ø","t"),"φ","t"),"f","t"),"d","t")),$B$126)</f>
        <v/>
      </c>
      <c r="AF92">
        <f>IFERROR(IF(ISNUMBER(MID(LOOKUP(2,1/ISNUMBER(FIND(";",$D$25:AF$25)),$D$25:AF$25),FIND(";",LOOKUP(2,1/ISNUMBER(FIND(";",$D$25:AF$25)),$D$25:AF$25))+1,99)*1),LEFT($B$126,FIND("t",$B$126))&amp;MID(LOOKUP(2,1/ISNUMBER(FIND(";",$D$25:AF$25)),$D$25:AF$25),FIND(";",LOOKUP(2,1/ISNUMBER(FIND(";",$D$25:AF$25)),$D$25:AF$25))+1,99),SUBSTITUTE(SUBSTITUTE(SUBSTITUTE(SUBSTITUTE(SUBSTITUTE(SUBSTITUTE(LOWER(MID(LOOKUP(2,1/ISNUMBER(FIND(";",$D$25:AF$25)),$D$25:AF$25),FIND(";",LOOKUP(2,1/ISNUMBER(FIND(";",$D$25:AF$25)),$D$25:AF$25))+1,99))," ",""),"%%c","t"),"ø","t"),"φ","t"),"f","t"),"d","t")),$B$126)</f>
        <v/>
      </c>
      <c r="AG92">
        <f>IFERROR(IF(ISNUMBER(MID(LOOKUP(2,1/ISNUMBER(FIND(";",$D$25:AF$25)),$D$25:AF$25),FIND(";",LOOKUP(2,1/ISNUMBER(FIND(";",$D$25:AF$25)),$D$25:AF$25))+1,99)*1),LEFT($B$126,FIND("t",$B$126))&amp;MID(LOOKUP(2,1/ISNUMBER(FIND(";",$D$25:AF$25)),$D$25:AF$25),FIND(";",LOOKUP(2,1/ISNUMBER(FIND(";",$D$25:AF$25)),$D$25:AF$25))+1,99),SUBSTITUTE(SUBSTITUTE(SUBSTITUTE(SUBSTITUTE(SUBSTITUTE(SUBSTITUTE(LOWER(MID(LOOKUP(2,1/ISNUMBER(FIND(";",$D$25:AF$25)),$D$25:AF$25),FIND(";",LOOKUP(2,1/ISNUMBER(FIND(";",$D$25:AF$25)),$D$25:AF$25))+1,99))," ",""),"%%c","t"),"ø","t"),"φ","t"),"f","t"),"d","t")),$B$126)</f>
        <v/>
      </c>
    </row>
    <row r="93" hidden="1" outlineLevel="1">
      <c r="A93" s="60" t="inlineStr">
        <is>
          <t>(phụ trợ) A_B0L</t>
        </is>
      </c>
      <c r="C93">
        <f>IFERROR(LEFT(LEFT(C92,FIND("+",C92&amp;"+")-1),FIND("t",LEFT(C92,FIND("+",C92&amp;"+")-1))-1)*MID(LEFT(C92,FIND("+",C92&amp;"+")-1),FIND("t",LEFT(C92,FIND("+",C92&amp;"+")-1))+1,2)^2*PI()/400,0)+IFERROR(LEFT(MID(C92,FIND("+",C92&amp;"+")+1,99),FIND("t",MID(C92,FIND("+",C92&amp;"+")+1,99))-1)*MID(MID(C92,FIND("+",C92&amp;"+")+1,99),FIND("t",MID(C92,FIND("+",C92&amp;"+")+1,99))+1,2)^2*PI()/400,0)</f>
        <v/>
      </c>
      <c r="D93">
        <f>IFERROR(LEFT(LEFT(D92,FIND("+",D92&amp;"+")-1),FIND("t",LEFT(D92,FIND("+",D92&amp;"+")-1))-1)*MID(LEFT(D92,FIND("+",D92&amp;"+")-1),FIND("t",LEFT(D92,FIND("+",D92&amp;"+")-1))+1,2)^2*PI()/400,0)+IFERROR(LEFT(MID(D92,FIND("+",D92&amp;"+")+1,99),FIND("t",MID(D92,FIND("+",D92&amp;"+")+1,99))-1)*MID(MID(D92,FIND("+",D92&amp;"+")+1,99),FIND("t",MID(D92,FIND("+",D92&amp;"+")+1,99))+1,2)^2*PI()/400,0)</f>
        <v/>
      </c>
      <c r="E93">
        <f>IFERROR(LEFT(LEFT(E92,FIND("+",E92&amp;"+")-1),FIND("t",LEFT(E92,FIND("+",E92&amp;"+")-1))-1)*MID(LEFT(E92,FIND("+",E92&amp;"+")-1),FIND("t",LEFT(E92,FIND("+",E92&amp;"+")-1))+1,2)^2*PI()/400,0)+IFERROR(LEFT(MID(E92,FIND("+",E92&amp;"+")+1,99),FIND("t",MID(E92,FIND("+",E92&amp;"+")+1,99))-1)*MID(MID(E92,FIND("+",E92&amp;"+")+1,99),FIND("t",MID(E92,FIND("+",E92&amp;"+")+1,99))+1,2)^2*PI()/400,0)</f>
        <v/>
      </c>
      <c r="F93">
        <f>IFERROR(LEFT(LEFT(F92,FIND("+",F92&amp;"+")-1),FIND("t",LEFT(F92,FIND("+",F92&amp;"+")-1))-1)*MID(LEFT(F92,FIND("+",F92&amp;"+")-1),FIND("t",LEFT(F92,FIND("+",F92&amp;"+")-1))+1,2)^2*PI()/400,0)+IFERROR(LEFT(MID(F92,FIND("+",F92&amp;"+")+1,99),FIND("t",MID(F92,FIND("+",F92&amp;"+")+1,99))-1)*MID(MID(F92,FIND("+",F92&amp;"+")+1,99),FIND("t",MID(F92,FIND("+",F92&amp;"+")+1,99))+1,2)^2*PI()/400,0)</f>
        <v/>
      </c>
      <c r="G93">
        <f>IFERROR(LEFT(LEFT(G92,FIND("+",G92&amp;"+")-1),FIND("t",LEFT(G92,FIND("+",G92&amp;"+")-1))-1)*MID(LEFT(G92,FIND("+",G92&amp;"+")-1),FIND("t",LEFT(G92,FIND("+",G92&amp;"+")-1))+1,2)^2*PI()/400,0)+IFERROR(LEFT(MID(G92,FIND("+",G92&amp;"+")+1,99),FIND("t",MID(G92,FIND("+",G92&amp;"+")+1,99))-1)*MID(MID(G92,FIND("+",G92&amp;"+")+1,99),FIND("t",MID(G92,FIND("+",G92&amp;"+")+1,99))+1,2)^2*PI()/400,0)</f>
        <v/>
      </c>
      <c r="H93">
        <f>IFERROR(LEFT(LEFT(H92,FIND("+",H92&amp;"+")-1),FIND("t",LEFT(H92,FIND("+",H92&amp;"+")-1))-1)*MID(LEFT(H92,FIND("+",H92&amp;"+")-1),FIND("t",LEFT(H92,FIND("+",H92&amp;"+")-1))+1,2)^2*PI()/400,0)+IFERROR(LEFT(MID(H92,FIND("+",H92&amp;"+")+1,99),FIND("t",MID(H92,FIND("+",H92&amp;"+")+1,99))-1)*MID(MID(H92,FIND("+",H92&amp;"+")+1,99),FIND("t",MID(H92,FIND("+",H92&amp;"+")+1,99))+1,2)^2*PI()/400,0)</f>
        <v/>
      </c>
      <c r="I93">
        <f>IFERROR(LEFT(LEFT(I92,FIND("+",I92&amp;"+")-1),FIND("t",LEFT(I92,FIND("+",I92&amp;"+")-1))-1)*MID(LEFT(I92,FIND("+",I92&amp;"+")-1),FIND("t",LEFT(I92,FIND("+",I92&amp;"+")-1))+1,2)^2*PI()/400,0)+IFERROR(LEFT(MID(I92,FIND("+",I92&amp;"+")+1,99),FIND("t",MID(I92,FIND("+",I92&amp;"+")+1,99))-1)*MID(MID(I92,FIND("+",I92&amp;"+")+1,99),FIND("t",MID(I92,FIND("+",I92&amp;"+")+1,99))+1,2)^2*PI()/400,0)</f>
        <v/>
      </c>
      <c r="J93">
        <f>IFERROR(LEFT(LEFT(J92,FIND("+",J92&amp;"+")-1),FIND("t",LEFT(J92,FIND("+",J92&amp;"+")-1))-1)*MID(LEFT(J92,FIND("+",J92&amp;"+")-1),FIND("t",LEFT(J92,FIND("+",J92&amp;"+")-1))+1,2)^2*PI()/400,0)+IFERROR(LEFT(MID(J92,FIND("+",J92&amp;"+")+1,99),FIND("t",MID(J92,FIND("+",J92&amp;"+")+1,99))-1)*MID(MID(J92,FIND("+",J92&amp;"+")+1,99),FIND("t",MID(J92,FIND("+",J92&amp;"+")+1,99))+1,2)^2*PI()/400,0)</f>
        <v/>
      </c>
      <c r="K93">
        <f>IFERROR(LEFT(LEFT(K92,FIND("+",K92&amp;"+")-1),FIND("t",LEFT(K92,FIND("+",K92&amp;"+")-1))-1)*MID(LEFT(K92,FIND("+",K92&amp;"+")-1),FIND("t",LEFT(K92,FIND("+",K92&amp;"+")-1))+1,2)^2*PI()/400,0)+IFERROR(LEFT(MID(K92,FIND("+",K92&amp;"+")+1,99),FIND("t",MID(K92,FIND("+",K92&amp;"+")+1,99))-1)*MID(MID(K92,FIND("+",K92&amp;"+")+1,99),FIND("t",MID(K92,FIND("+",K92&amp;"+")+1,99))+1,2)^2*PI()/400,0)</f>
        <v/>
      </c>
      <c r="L93">
        <f>IFERROR(LEFT(LEFT(L92,FIND("+",L92&amp;"+")-1),FIND("t",LEFT(L92,FIND("+",L92&amp;"+")-1))-1)*MID(LEFT(L92,FIND("+",L92&amp;"+")-1),FIND("t",LEFT(L92,FIND("+",L92&amp;"+")-1))+1,2)^2*PI()/400,0)+IFERROR(LEFT(MID(L92,FIND("+",L92&amp;"+")+1,99),FIND("t",MID(L92,FIND("+",L92&amp;"+")+1,99))-1)*MID(MID(L92,FIND("+",L92&amp;"+")+1,99),FIND("t",MID(L92,FIND("+",L92&amp;"+")+1,99))+1,2)^2*PI()/400,0)</f>
        <v/>
      </c>
      <c r="M93">
        <f>IFERROR(LEFT(LEFT(M92,FIND("+",M92&amp;"+")-1),FIND("t",LEFT(M92,FIND("+",M92&amp;"+")-1))-1)*MID(LEFT(M92,FIND("+",M92&amp;"+")-1),FIND("t",LEFT(M92,FIND("+",M92&amp;"+")-1))+1,2)^2*PI()/400,0)+IFERROR(LEFT(MID(M92,FIND("+",M92&amp;"+")+1,99),FIND("t",MID(M92,FIND("+",M92&amp;"+")+1,99))-1)*MID(MID(M92,FIND("+",M92&amp;"+")+1,99),FIND("t",MID(M92,FIND("+",M92&amp;"+")+1,99))+1,2)^2*PI()/400,0)</f>
        <v/>
      </c>
      <c r="N93">
        <f>IFERROR(LEFT(LEFT(N92,FIND("+",N92&amp;"+")-1),FIND("t",LEFT(N92,FIND("+",N92&amp;"+")-1))-1)*MID(LEFT(N92,FIND("+",N92&amp;"+")-1),FIND("t",LEFT(N92,FIND("+",N92&amp;"+")-1))+1,2)^2*PI()/400,0)+IFERROR(LEFT(MID(N92,FIND("+",N92&amp;"+")+1,99),FIND("t",MID(N92,FIND("+",N92&amp;"+")+1,99))-1)*MID(MID(N92,FIND("+",N92&amp;"+")+1,99),FIND("t",MID(N92,FIND("+",N92&amp;"+")+1,99))+1,2)^2*PI()/400,0)</f>
        <v/>
      </c>
      <c r="O93">
        <f>IFERROR(LEFT(LEFT(O92,FIND("+",O92&amp;"+")-1),FIND("t",LEFT(O92,FIND("+",O92&amp;"+")-1))-1)*MID(LEFT(O92,FIND("+",O92&amp;"+")-1),FIND("t",LEFT(O92,FIND("+",O92&amp;"+")-1))+1,2)^2*PI()/400,0)+IFERROR(LEFT(MID(O92,FIND("+",O92&amp;"+")+1,99),FIND("t",MID(O92,FIND("+",O92&amp;"+")+1,99))-1)*MID(MID(O92,FIND("+",O92&amp;"+")+1,99),FIND("t",MID(O92,FIND("+",O92&amp;"+")+1,99))+1,2)^2*PI()/400,0)</f>
        <v/>
      </c>
      <c r="P93">
        <f>IFERROR(LEFT(LEFT(P92,FIND("+",P92&amp;"+")-1),FIND("t",LEFT(P92,FIND("+",P92&amp;"+")-1))-1)*MID(LEFT(P92,FIND("+",P92&amp;"+")-1),FIND("t",LEFT(P92,FIND("+",P92&amp;"+")-1))+1,2)^2*PI()/400,0)+IFERROR(LEFT(MID(P92,FIND("+",P92&amp;"+")+1,99),FIND("t",MID(P92,FIND("+",P92&amp;"+")+1,99))-1)*MID(MID(P92,FIND("+",P92&amp;"+")+1,99),FIND("t",MID(P92,FIND("+",P92&amp;"+")+1,99))+1,2)^2*PI()/400,0)</f>
        <v/>
      </c>
      <c r="Q93">
        <f>IFERROR(LEFT(LEFT(Q92,FIND("+",Q92&amp;"+")-1),FIND("t",LEFT(Q92,FIND("+",Q92&amp;"+")-1))-1)*MID(LEFT(Q92,FIND("+",Q92&amp;"+")-1),FIND("t",LEFT(Q92,FIND("+",Q92&amp;"+")-1))+1,2)^2*PI()/400,0)+IFERROR(LEFT(MID(Q92,FIND("+",Q92&amp;"+")+1,99),FIND("t",MID(Q92,FIND("+",Q92&amp;"+")+1,99))-1)*MID(MID(Q92,FIND("+",Q92&amp;"+")+1,99),FIND("t",MID(Q92,FIND("+",Q92&amp;"+")+1,99))+1,2)^2*PI()/400,0)</f>
        <v/>
      </c>
      <c r="R93">
        <f>IFERROR(LEFT(LEFT(R92,FIND("+",R92&amp;"+")-1),FIND("t",LEFT(R92,FIND("+",R92&amp;"+")-1))-1)*MID(LEFT(R92,FIND("+",R92&amp;"+")-1),FIND("t",LEFT(R92,FIND("+",R92&amp;"+")-1))+1,2)^2*PI()/400,0)+IFERROR(LEFT(MID(R92,FIND("+",R92&amp;"+")+1,99),FIND("t",MID(R92,FIND("+",R92&amp;"+")+1,99))-1)*MID(MID(R92,FIND("+",R92&amp;"+")+1,99),FIND("t",MID(R92,FIND("+",R92&amp;"+")+1,99))+1,2)^2*PI()/400,0)</f>
        <v/>
      </c>
      <c r="S93">
        <f>IFERROR(LEFT(LEFT(S92,FIND("+",S92&amp;"+")-1),FIND("t",LEFT(S92,FIND("+",S92&amp;"+")-1))-1)*MID(LEFT(S92,FIND("+",S92&amp;"+")-1),FIND("t",LEFT(S92,FIND("+",S92&amp;"+")-1))+1,2)^2*PI()/400,0)+IFERROR(LEFT(MID(S92,FIND("+",S92&amp;"+")+1,99),FIND("t",MID(S92,FIND("+",S92&amp;"+")+1,99))-1)*MID(MID(S92,FIND("+",S92&amp;"+")+1,99),FIND("t",MID(S92,FIND("+",S92&amp;"+")+1,99))+1,2)^2*PI()/400,0)</f>
        <v/>
      </c>
      <c r="T93">
        <f>IFERROR(LEFT(LEFT(T92,FIND("+",T92&amp;"+")-1),FIND("t",LEFT(T92,FIND("+",T92&amp;"+")-1))-1)*MID(LEFT(T92,FIND("+",T92&amp;"+")-1),FIND("t",LEFT(T92,FIND("+",T92&amp;"+")-1))+1,2)^2*PI()/400,0)+IFERROR(LEFT(MID(T92,FIND("+",T92&amp;"+")+1,99),FIND("t",MID(T92,FIND("+",T92&amp;"+")+1,99))-1)*MID(MID(T92,FIND("+",T92&amp;"+")+1,99),FIND("t",MID(T92,FIND("+",T92&amp;"+")+1,99))+1,2)^2*PI()/400,0)</f>
        <v/>
      </c>
      <c r="U93">
        <f>IFERROR(LEFT(LEFT(U92,FIND("+",U92&amp;"+")-1),FIND("t",LEFT(U92,FIND("+",U92&amp;"+")-1))-1)*MID(LEFT(U92,FIND("+",U92&amp;"+")-1),FIND("t",LEFT(U92,FIND("+",U92&amp;"+")-1))+1,2)^2*PI()/400,0)+IFERROR(LEFT(MID(U92,FIND("+",U92&amp;"+")+1,99),FIND("t",MID(U92,FIND("+",U92&amp;"+")+1,99))-1)*MID(MID(U92,FIND("+",U92&amp;"+")+1,99),FIND("t",MID(U92,FIND("+",U92&amp;"+")+1,99))+1,2)^2*PI()/400,0)</f>
        <v/>
      </c>
      <c r="V93">
        <f>IFERROR(LEFT(LEFT(V92,FIND("+",V92&amp;"+")-1),FIND("t",LEFT(V92,FIND("+",V92&amp;"+")-1))-1)*MID(LEFT(V92,FIND("+",V92&amp;"+")-1),FIND("t",LEFT(V92,FIND("+",V92&amp;"+")-1))+1,2)^2*PI()/400,0)+IFERROR(LEFT(MID(V92,FIND("+",V92&amp;"+")+1,99),FIND("t",MID(V92,FIND("+",V92&amp;"+")+1,99))-1)*MID(MID(V92,FIND("+",V92&amp;"+")+1,99),FIND("t",MID(V92,FIND("+",V92&amp;"+")+1,99))+1,2)^2*PI()/400,0)</f>
        <v/>
      </c>
      <c r="W93">
        <f>IFERROR(LEFT(LEFT(W92,FIND("+",W92&amp;"+")-1),FIND("t",LEFT(W92,FIND("+",W92&amp;"+")-1))-1)*MID(LEFT(W92,FIND("+",W92&amp;"+")-1),FIND("t",LEFT(W92,FIND("+",W92&amp;"+")-1))+1,2)^2*PI()/400,0)+IFERROR(LEFT(MID(W92,FIND("+",W92&amp;"+")+1,99),FIND("t",MID(W92,FIND("+",W92&amp;"+")+1,99))-1)*MID(MID(W92,FIND("+",W92&amp;"+")+1,99),FIND("t",MID(W92,FIND("+",W92&amp;"+")+1,99))+1,2)^2*PI()/400,0)</f>
        <v/>
      </c>
      <c r="X93">
        <f>IFERROR(LEFT(LEFT(X92,FIND("+",X92&amp;"+")-1),FIND("t",LEFT(X92,FIND("+",X92&amp;"+")-1))-1)*MID(LEFT(X92,FIND("+",X92&amp;"+")-1),FIND("t",LEFT(X92,FIND("+",X92&amp;"+")-1))+1,2)^2*PI()/400,0)+IFERROR(LEFT(MID(X92,FIND("+",X92&amp;"+")+1,99),FIND("t",MID(X92,FIND("+",X92&amp;"+")+1,99))-1)*MID(MID(X92,FIND("+",X92&amp;"+")+1,99),FIND("t",MID(X92,FIND("+",X92&amp;"+")+1,99))+1,2)^2*PI()/400,0)</f>
        <v/>
      </c>
      <c r="Y93">
        <f>IFERROR(LEFT(LEFT(Y92,FIND("+",Y92&amp;"+")-1),FIND("t",LEFT(Y92,FIND("+",Y92&amp;"+")-1))-1)*MID(LEFT(Y92,FIND("+",Y92&amp;"+")-1),FIND("t",LEFT(Y92,FIND("+",Y92&amp;"+")-1))+1,2)^2*PI()/400,0)+IFERROR(LEFT(MID(Y92,FIND("+",Y92&amp;"+")+1,99),FIND("t",MID(Y92,FIND("+",Y92&amp;"+")+1,99))-1)*MID(MID(Y92,FIND("+",Y92&amp;"+")+1,99),FIND("t",MID(Y92,FIND("+",Y92&amp;"+")+1,99))+1,2)^2*PI()/400,0)</f>
        <v/>
      </c>
      <c r="Z93">
        <f>IFERROR(LEFT(LEFT(Z92,FIND("+",Z92&amp;"+")-1),FIND("t",LEFT(Z92,FIND("+",Z92&amp;"+")-1))-1)*MID(LEFT(Z92,FIND("+",Z92&amp;"+")-1),FIND("t",LEFT(Z92,FIND("+",Z92&amp;"+")-1))+1,2)^2*PI()/400,0)+IFERROR(LEFT(MID(Z92,FIND("+",Z92&amp;"+")+1,99),FIND("t",MID(Z92,FIND("+",Z92&amp;"+")+1,99))-1)*MID(MID(Z92,FIND("+",Z92&amp;"+")+1,99),FIND("t",MID(Z92,FIND("+",Z92&amp;"+")+1,99))+1,2)^2*PI()/400,0)</f>
        <v/>
      </c>
      <c r="AA93">
        <f>IFERROR(LEFT(LEFT(AA92,FIND("+",AA92&amp;"+")-1),FIND("t",LEFT(AA92,FIND("+",AA92&amp;"+")-1))-1)*MID(LEFT(AA92,FIND("+",AA92&amp;"+")-1),FIND("t",LEFT(AA92,FIND("+",AA92&amp;"+")-1))+1,2)^2*PI()/400,0)+IFERROR(LEFT(MID(AA92,FIND("+",AA92&amp;"+")+1,99),FIND("t",MID(AA92,FIND("+",AA92&amp;"+")+1,99))-1)*MID(MID(AA92,FIND("+",AA92&amp;"+")+1,99),FIND("t",MID(AA92,FIND("+",AA92&amp;"+")+1,99))+1,2)^2*PI()/400,0)</f>
        <v/>
      </c>
      <c r="AB93">
        <f>IFERROR(LEFT(LEFT(AB92,FIND("+",AB92&amp;"+")-1),FIND("t",LEFT(AB92,FIND("+",AB92&amp;"+")-1))-1)*MID(LEFT(AB92,FIND("+",AB92&amp;"+")-1),FIND("t",LEFT(AB92,FIND("+",AB92&amp;"+")-1))+1,2)^2*PI()/400,0)+IFERROR(LEFT(MID(AB92,FIND("+",AB92&amp;"+")+1,99),FIND("t",MID(AB92,FIND("+",AB92&amp;"+")+1,99))-1)*MID(MID(AB92,FIND("+",AB92&amp;"+")+1,99),FIND("t",MID(AB92,FIND("+",AB92&amp;"+")+1,99))+1,2)^2*PI()/400,0)</f>
        <v/>
      </c>
      <c r="AC93">
        <f>IFERROR(LEFT(LEFT(AC92,FIND("+",AC92&amp;"+")-1),FIND("t",LEFT(AC92,FIND("+",AC92&amp;"+")-1))-1)*MID(LEFT(AC92,FIND("+",AC92&amp;"+")-1),FIND("t",LEFT(AC92,FIND("+",AC92&amp;"+")-1))+1,2)^2*PI()/400,0)+IFERROR(LEFT(MID(AC92,FIND("+",AC92&amp;"+")+1,99),FIND("t",MID(AC92,FIND("+",AC92&amp;"+")+1,99))-1)*MID(MID(AC92,FIND("+",AC92&amp;"+")+1,99),FIND("t",MID(AC92,FIND("+",AC92&amp;"+")+1,99))+1,2)^2*PI()/400,0)</f>
        <v/>
      </c>
      <c r="AD93">
        <f>IFERROR(LEFT(LEFT(AD92,FIND("+",AD92&amp;"+")-1),FIND("t",LEFT(AD92,FIND("+",AD92&amp;"+")-1))-1)*MID(LEFT(AD92,FIND("+",AD92&amp;"+")-1),FIND("t",LEFT(AD92,FIND("+",AD92&amp;"+")-1))+1,2)^2*PI()/400,0)+IFERROR(LEFT(MID(AD92,FIND("+",AD92&amp;"+")+1,99),FIND("t",MID(AD92,FIND("+",AD92&amp;"+")+1,99))-1)*MID(MID(AD92,FIND("+",AD92&amp;"+")+1,99),FIND("t",MID(AD92,FIND("+",AD92&amp;"+")+1,99))+1,2)^2*PI()/400,0)</f>
        <v/>
      </c>
      <c r="AE93">
        <f>IFERROR(LEFT(LEFT(AE92,FIND("+",AE92&amp;"+")-1),FIND("t",LEFT(AE92,FIND("+",AE92&amp;"+")-1))-1)*MID(LEFT(AE92,FIND("+",AE92&amp;"+")-1),FIND("t",LEFT(AE92,FIND("+",AE92&amp;"+")-1))+1,2)^2*PI()/400,0)+IFERROR(LEFT(MID(AE92,FIND("+",AE92&amp;"+")+1,99),FIND("t",MID(AE92,FIND("+",AE92&amp;"+")+1,99))-1)*MID(MID(AE92,FIND("+",AE92&amp;"+")+1,99),FIND("t",MID(AE92,FIND("+",AE92&amp;"+")+1,99))+1,2)^2*PI()/400,0)</f>
        <v/>
      </c>
      <c r="AF93">
        <f>IFERROR(LEFT(LEFT(AF92,FIND("+",AF92&amp;"+")-1),FIND("t",LEFT(AF92,FIND("+",AF92&amp;"+")-1))-1)*MID(LEFT(AF92,FIND("+",AF92&amp;"+")-1),FIND("t",LEFT(AF92,FIND("+",AF92&amp;"+")-1))+1,2)^2*PI()/400,0)+IFERROR(LEFT(MID(AF92,FIND("+",AF92&amp;"+")+1,99),FIND("t",MID(AF92,FIND("+",AF92&amp;"+")+1,99))-1)*MID(MID(AF92,FIND("+",AF92&amp;"+")+1,99),FIND("t",MID(AF92,FIND("+",AF92&amp;"+")+1,99))+1,2)^2*PI()/400,0)</f>
        <v/>
      </c>
      <c r="AG93">
        <f>IFERROR(LEFT(LEFT(AG92,FIND("+",AG92&amp;"+")-1),FIND("t",LEFT(AG92,FIND("+",AG92&amp;"+")-1))-1)*MID(LEFT(AG92,FIND("+",AG92&amp;"+")-1),FIND("t",LEFT(AG92,FIND("+",AG92&amp;"+")-1))+1,2)^2*PI()/400,0)+IFERROR(LEFT(MID(AG92,FIND("+",AG92&amp;"+")+1,99),FIND("t",MID(AG92,FIND("+",AG92&amp;"+")+1,99))-1)*MID(MID(AG92,FIND("+",AG92&amp;"+")+1,99),FIND("t",MID(AG92,FIND("+",AG92&amp;"+")+1,99))+1,2)^2*PI()/400,0)</f>
        <v/>
      </c>
    </row>
    <row r="94" hidden="1" outlineLevel="1">
      <c r="A94" s="60" t="inlineStr">
        <is>
          <t>(phụ trợ) N_B0R</t>
        </is>
      </c>
      <c r="C94">
        <f>IFERROR(IF(ISNUMBER(MID(LOOKUP(2,1/ISNUMBER(FIND(";",$D$25:D$25)),$D$25:D$25),FIND(";",LOOKUP(2,1/ISNUMBER(FIND(";",$D$25:D$25)),$D$25:D$25))+1,99)*1),LEFT($B$126,FIND("t",$B$126))&amp;MID(LOOKUP(2,1/ISNUMBER(FIND(";",$D$25:D$25)),$D$25:D$25),FIND(";",LOOKUP(2,1/ISNUMBER(FIND(";",$D$25:D$25)),$D$25:D$25))+1,99),SUBSTITUTE(SUBSTITUTE(SUBSTITUTE(SUBSTITUTE(SUBSTITUTE(SUBSTITUTE(LOWER(MID(LOOKUP(2,1/ISNUMBER(FIND(";",$D$25:D$25)),$D$25:D$25),FIND(";",LOOKUP(2,1/ISNUMBER(FIND(";",$D$25:D$25)),$D$25:D$25))+1,99))," ",""),"%%c","t"),"ø","t"),"φ","t"),"f","t"),"d","t")),$B$126)</f>
        <v/>
      </c>
      <c r="D94">
        <f>IFERROR(IF(ISNUMBER(MID(LOOKUP(2,1/ISNUMBER(FIND(";",$D$25:D$25)),$D$25:D$25),FIND(";",LOOKUP(2,1/ISNUMBER(FIND(";",$D$25:D$25)),$D$25:D$25))+1,99)*1),LEFT($B$126,FIND("t",$B$126))&amp;MID(LOOKUP(2,1/ISNUMBER(FIND(";",$D$25:D$25)),$D$25:D$25),FIND(";",LOOKUP(2,1/ISNUMBER(FIND(";",$D$25:D$25)),$D$25:D$25))+1,99),SUBSTITUTE(SUBSTITUTE(SUBSTITUTE(SUBSTITUTE(SUBSTITUTE(SUBSTITUTE(LOWER(MID(LOOKUP(2,1/ISNUMBER(FIND(";",$D$25:D$25)),$D$25:D$25),FIND(";",LOOKUP(2,1/ISNUMBER(FIND(";",$D$25:D$25)),$D$25:D$25))+1,99))," ",""),"%%c","t"),"ø","t"),"φ","t"),"f","t"),"d","t")),$B$126)</f>
        <v/>
      </c>
      <c r="E94">
        <f>IFERROR(IF(ISNUMBER(MID(LOOKUP(2,1/ISNUMBER(FIND(";",$D$25:F$25)),$D$25:F$25),FIND(";",LOOKUP(2,1/ISNUMBER(FIND(";",$D$25:F$25)),$D$25:F$25))+1,99)*1),LEFT($B$126,FIND("t",$B$126))&amp;MID(LOOKUP(2,1/ISNUMBER(FIND(";",$D$25:F$25)),$D$25:F$25),FIND(";",LOOKUP(2,1/ISNUMBER(FIND(";",$D$25:F$25)),$D$25:F$25))+1,99),SUBSTITUTE(SUBSTITUTE(SUBSTITUTE(SUBSTITUTE(SUBSTITUTE(SUBSTITUTE(LOWER(MID(LOOKUP(2,1/ISNUMBER(FIND(";",$D$25:F$25)),$D$25:F$25),FIND(";",LOOKUP(2,1/ISNUMBER(FIND(";",$D$25:F$25)),$D$25:F$25))+1,99))," ",""),"%%c","t"),"ø","t"),"φ","t"),"f","t"),"d","t")),$B$126)</f>
        <v/>
      </c>
      <c r="F94">
        <f>IFERROR(IF(ISNUMBER(MID(LOOKUP(2,1/ISNUMBER(FIND(";",$D$25:F$25)),$D$25:F$25),FIND(";",LOOKUP(2,1/ISNUMBER(FIND(";",$D$25:F$25)),$D$25:F$25))+1,99)*1),LEFT($B$126,FIND("t",$B$126))&amp;MID(LOOKUP(2,1/ISNUMBER(FIND(";",$D$25:F$25)),$D$25:F$25),FIND(";",LOOKUP(2,1/ISNUMBER(FIND(";",$D$25:F$25)),$D$25:F$25))+1,99),SUBSTITUTE(SUBSTITUTE(SUBSTITUTE(SUBSTITUTE(SUBSTITUTE(SUBSTITUTE(LOWER(MID(LOOKUP(2,1/ISNUMBER(FIND(";",$D$25:F$25)),$D$25:F$25),FIND(";",LOOKUP(2,1/ISNUMBER(FIND(";",$D$25:F$25)),$D$25:F$25))+1,99))," ",""),"%%c","t"),"ø","t"),"φ","t"),"f","t"),"d","t")),$B$126)</f>
        <v/>
      </c>
      <c r="G94">
        <f>IFERROR(IF(ISNUMBER(MID(LOOKUP(2,1/ISNUMBER(FIND(";",$D$25:H$25)),$D$25:H$25),FIND(";",LOOKUP(2,1/ISNUMBER(FIND(";",$D$25:H$25)),$D$25:H$25))+1,99)*1),LEFT($B$126,FIND("t",$B$126))&amp;MID(LOOKUP(2,1/ISNUMBER(FIND(";",$D$25:H$25)),$D$25:H$25),FIND(";",LOOKUP(2,1/ISNUMBER(FIND(";",$D$25:H$25)),$D$25:H$25))+1,99),SUBSTITUTE(SUBSTITUTE(SUBSTITUTE(SUBSTITUTE(SUBSTITUTE(SUBSTITUTE(LOWER(MID(LOOKUP(2,1/ISNUMBER(FIND(";",$D$25:H$25)),$D$25:H$25),FIND(";",LOOKUP(2,1/ISNUMBER(FIND(";",$D$25:H$25)),$D$25:H$25))+1,99))," ",""),"%%c","t"),"ø","t"),"φ","t"),"f","t"),"d","t")),$B$126)</f>
        <v/>
      </c>
      <c r="H94">
        <f>IFERROR(IF(ISNUMBER(MID(LOOKUP(2,1/ISNUMBER(FIND(";",$D$25:H$25)),$D$25:H$25),FIND(";",LOOKUP(2,1/ISNUMBER(FIND(";",$D$25:H$25)),$D$25:H$25))+1,99)*1),LEFT($B$126,FIND("t",$B$126))&amp;MID(LOOKUP(2,1/ISNUMBER(FIND(";",$D$25:H$25)),$D$25:H$25),FIND(";",LOOKUP(2,1/ISNUMBER(FIND(";",$D$25:H$25)),$D$25:H$25))+1,99),SUBSTITUTE(SUBSTITUTE(SUBSTITUTE(SUBSTITUTE(SUBSTITUTE(SUBSTITUTE(LOWER(MID(LOOKUP(2,1/ISNUMBER(FIND(";",$D$25:H$25)),$D$25:H$25),FIND(";",LOOKUP(2,1/ISNUMBER(FIND(";",$D$25:H$25)),$D$25:H$25))+1,99))," ",""),"%%c","t"),"ø","t"),"φ","t"),"f","t"),"d","t")),$B$126)</f>
        <v/>
      </c>
      <c r="I94">
        <f>IFERROR(IF(ISNUMBER(MID(LOOKUP(2,1/ISNUMBER(FIND(";",$D$25:J$25)),$D$25:J$25),FIND(";",LOOKUP(2,1/ISNUMBER(FIND(";",$D$25:J$25)),$D$25:J$25))+1,99)*1),LEFT($B$126,FIND("t",$B$126))&amp;MID(LOOKUP(2,1/ISNUMBER(FIND(";",$D$25:J$25)),$D$25:J$25),FIND(";",LOOKUP(2,1/ISNUMBER(FIND(";",$D$25:J$25)),$D$25:J$25))+1,99),SUBSTITUTE(SUBSTITUTE(SUBSTITUTE(SUBSTITUTE(SUBSTITUTE(SUBSTITUTE(LOWER(MID(LOOKUP(2,1/ISNUMBER(FIND(";",$D$25:J$25)),$D$25:J$25),FIND(";",LOOKUP(2,1/ISNUMBER(FIND(";",$D$25:J$25)),$D$25:J$25))+1,99))," ",""),"%%c","t"),"ø","t"),"φ","t"),"f","t"),"d","t")),$B$126)</f>
        <v/>
      </c>
      <c r="J94">
        <f>IFERROR(IF(ISNUMBER(MID(LOOKUP(2,1/ISNUMBER(FIND(";",$D$25:J$25)),$D$25:J$25),FIND(";",LOOKUP(2,1/ISNUMBER(FIND(";",$D$25:J$25)),$D$25:J$25))+1,99)*1),LEFT($B$126,FIND("t",$B$126))&amp;MID(LOOKUP(2,1/ISNUMBER(FIND(";",$D$25:J$25)),$D$25:J$25),FIND(";",LOOKUP(2,1/ISNUMBER(FIND(";",$D$25:J$25)),$D$25:J$25))+1,99),SUBSTITUTE(SUBSTITUTE(SUBSTITUTE(SUBSTITUTE(SUBSTITUTE(SUBSTITUTE(LOWER(MID(LOOKUP(2,1/ISNUMBER(FIND(";",$D$25:J$25)),$D$25:J$25),FIND(";",LOOKUP(2,1/ISNUMBER(FIND(";",$D$25:J$25)),$D$25:J$25))+1,99))," ",""),"%%c","t"),"ø","t"),"φ","t"),"f","t"),"d","t")),$B$126)</f>
        <v/>
      </c>
      <c r="K94">
        <f>IFERROR(IF(ISNUMBER(MID(LOOKUP(2,1/ISNUMBER(FIND(";",$D$25:L$25)),$D$25:L$25),FIND(";",LOOKUP(2,1/ISNUMBER(FIND(";",$D$25:L$25)),$D$25:L$25))+1,99)*1),LEFT($B$126,FIND("t",$B$126))&amp;MID(LOOKUP(2,1/ISNUMBER(FIND(";",$D$25:L$25)),$D$25:L$25),FIND(";",LOOKUP(2,1/ISNUMBER(FIND(";",$D$25:L$25)),$D$25:L$25))+1,99),SUBSTITUTE(SUBSTITUTE(SUBSTITUTE(SUBSTITUTE(SUBSTITUTE(SUBSTITUTE(LOWER(MID(LOOKUP(2,1/ISNUMBER(FIND(";",$D$25:L$25)),$D$25:L$25),FIND(";",LOOKUP(2,1/ISNUMBER(FIND(";",$D$25:L$25)),$D$25:L$25))+1,99))," ",""),"%%c","t"),"ø","t"),"φ","t"),"f","t"),"d","t")),$B$126)</f>
        <v/>
      </c>
      <c r="L94">
        <f>IFERROR(IF(ISNUMBER(MID(LOOKUP(2,1/ISNUMBER(FIND(";",$D$25:L$25)),$D$25:L$25),FIND(";",LOOKUP(2,1/ISNUMBER(FIND(";",$D$25:L$25)),$D$25:L$25))+1,99)*1),LEFT($B$126,FIND("t",$B$126))&amp;MID(LOOKUP(2,1/ISNUMBER(FIND(";",$D$25:L$25)),$D$25:L$25),FIND(";",LOOKUP(2,1/ISNUMBER(FIND(";",$D$25:L$25)),$D$25:L$25))+1,99),SUBSTITUTE(SUBSTITUTE(SUBSTITUTE(SUBSTITUTE(SUBSTITUTE(SUBSTITUTE(LOWER(MID(LOOKUP(2,1/ISNUMBER(FIND(";",$D$25:L$25)),$D$25:L$25),FIND(";",LOOKUP(2,1/ISNUMBER(FIND(";",$D$25:L$25)),$D$25:L$25))+1,99))," ",""),"%%c","t"),"ø","t"),"φ","t"),"f","t"),"d","t")),$B$126)</f>
        <v/>
      </c>
      <c r="M94">
        <f>IFERROR(IF(ISNUMBER(MID(LOOKUP(2,1/ISNUMBER(FIND(";",$D$25:N$25)),$D$25:N$25),FIND(";",LOOKUP(2,1/ISNUMBER(FIND(";",$D$25:N$25)),$D$25:N$25))+1,99)*1),LEFT($B$126,FIND("t",$B$126))&amp;MID(LOOKUP(2,1/ISNUMBER(FIND(";",$D$25:N$25)),$D$25:N$25),FIND(";",LOOKUP(2,1/ISNUMBER(FIND(";",$D$25:N$25)),$D$25:N$25))+1,99),SUBSTITUTE(SUBSTITUTE(SUBSTITUTE(SUBSTITUTE(SUBSTITUTE(SUBSTITUTE(LOWER(MID(LOOKUP(2,1/ISNUMBER(FIND(";",$D$25:N$25)),$D$25:N$25),FIND(";",LOOKUP(2,1/ISNUMBER(FIND(";",$D$25:N$25)),$D$25:N$25))+1,99))," ",""),"%%c","t"),"ø","t"),"φ","t"),"f","t"),"d","t")),$B$126)</f>
        <v/>
      </c>
      <c r="N94">
        <f>IFERROR(IF(ISNUMBER(MID(LOOKUP(2,1/ISNUMBER(FIND(";",$D$25:N$25)),$D$25:N$25),FIND(";",LOOKUP(2,1/ISNUMBER(FIND(";",$D$25:N$25)),$D$25:N$25))+1,99)*1),LEFT($B$126,FIND("t",$B$126))&amp;MID(LOOKUP(2,1/ISNUMBER(FIND(";",$D$25:N$25)),$D$25:N$25),FIND(";",LOOKUP(2,1/ISNUMBER(FIND(";",$D$25:N$25)),$D$25:N$25))+1,99),SUBSTITUTE(SUBSTITUTE(SUBSTITUTE(SUBSTITUTE(SUBSTITUTE(SUBSTITUTE(LOWER(MID(LOOKUP(2,1/ISNUMBER(FIND(";",$D$25:N$25)),$D$25:N$25),FIND(";",LOOKUP(2,1/ISNUMBER(FIND(";",$D$25:N$25)),$D$25:N$25))+1,99))," ",""),"%%c","t"),"ø","t"),"φ","t"),"f","t"),"d","t")),$B$126)</f>
        <v/>
      </c>
      <c r="O94">
        <f>IFERROR(IF(ISNUMBER(MID(LOOKUP(2,1/ISNUMBER(FIND(";",$D$25:P$25)),$D$25:P$25),FIND(";",LOOKUP(2,1/ISNUMBER(FIND(";",$D$25:P$25)),$D$25:P$25))+1,99)*1),LEFT($B$126,FIND("t",$B$126))&amp;MID(LOOKUP(2,1/ISNUMBER(FIND(";",$D$25:P$25)),$D$25:P$25),FIND(";",LOOKUP(2,1/ISNUMBER(FIND(";",$D$25:P$25)),$D$25:P$25))+1,99),SUBSTITUTE(SUBSTITUTE(SUBSTITUTE(SUBSTITUTE(SUBSTITUTE(SUBSTITUTE(LOWER(MID(LOOKUP(2,1/ISNUMBER(FIND(";",$D$25:P$25)),$D$25:P$25),FIND(";",LOOKUP(2,1/ISNUMBER(FIND(";",$D$25:P$25)),$D$25:P$25))+1,99))," ",""),"%%c","t"),"ø","t"),"φ","t"),"f","t"),"d","t")),$B$126)</f>
        <v/>
      </c>
      <c r="P94">
        <f>IFERROR(IF(ISNUMBER(MID(LOOKUP(2,1/ISNUMBER(FIND(";",$D$25:P$25)),$D$25:P$25),FIND(";",LOOKUP(2,1/ISNUMBER(FIND(";",$D$25:P$25)),$D$25:P$25))+1,99)*1),LEFT($B$126,FIND("t",$B$126))&amp;MID(LOOKUP(2,1/ISNUMBER(FIND(";",$D$25:P$25)),$D$25:P$25),FIND(";",LOOKUP(2,1/ISNUMBER(FIND(";",$D$25:P$25)),$D$25:P$25))+1,99),SUBSTITUTE(SUBSTITUTE(SUBSTITUTE(SUBSTITUTE(SUBSTITUTE(SUBSTITUTE(LOWER(MID(LOOKUP(2,1/ISNUMBER(FIND(";",$D$25:P$25)),$D$25:P$25),FIND(";",LOOKUP(2,1/ISNUMBER(FIND(";",$D$25:P$25)),$D$25:P$25))+1,99))," ",""),"%%c","t"),"ø","t"),"φ","t"),"f","t"),"d","t")),$B$126)</f>
        <v/>
      </c>
      <c r="Q94">
        <f>IFERROR(IF(ISNUMBER(MID(LOOKUP(2,1/ISNUMBER(FIND(";",$D$25:R$25)),$D$25:R$25),FIND(";",LOOKUP(2,1/ISNUMBER(FIND(";",$D$25:R$25)),$D$25:R$25))+1,99)*1),LEFT($B$126,FIND("t",$B$126))&amp;MID(LOOKUP(2,1/ISNUMBER(FIND(";",$D$25:R$25)),$D$25:R$25),FIND(";",LOOKUP(2,1/ISNUMBER(FIND(";",$D$25:R$25)),$D$25:R$25))+1,99),SUBSTITUTE(SUBSTITUTE(SUBSTITUTE(SUBSTITUTE(SUBSTITUTE(SUBSTITUTE(LOWER(MID(LOOKUP(2,1/ISNUMBER(FIND(";",$D$25:R$25)),$D$25:R$25),FIND(";",LOOKUP(2,1/ISNUMBER(FIND(";",$D$25:R$25)),$D$25:R$25))+1,99))," ",""),"%%c","t"),"ø","t"),"φ","t"),"f","t"),"d","t")),$B$126)</f>
        <v/>
      </c>
      <c r="R94">
        <f>IFERROR(IF(ISNUMBER(MID(LOOKUP(2,1/ISNUMBER(FIND(";",$D$25:R$25)),$D$25:R$25),FIND(";",LOOKUP(2,1/ISNUMBER(FIND(";",$D$25:R$25)),$D$25:R$25))+1,99)*1),LEFT($B$126,FIND("t",$B$126))&amp;MID(LOOKUP(2,1/ISNUMBER(FIND(";",$D$25:R$25)),$D$25:R$25),FIND(";",LOOKUP(2,1/ISNUMBER(FIND(";",$D$25:R$25)),$D$25:R$25))+1,99),SUBSTITUTE(SUBSTITUTE(SUBSTITUTE(SUBSTITUTE(SUBSTITUTE(SUBSTITUTE(LOWER(MID(LOOKUP(2,1/ISNUMBER(FIND(";",$D$25:R$25)),$D$25:R$25),FIND(";",LOOKUP(2,1/ISNUMBER(FIND(";",$D$25:R$25)),$D$25:R$25))+1,99))," ",""),"%%c","t"),"ø","t"),"φ","t"),"f","t"),"d","t")),$B$126)</f>
        <v/>
      </c>
      <c r="S94">
        <f>IFERROR(IF(ISNUMBER(MID(LOOKUP(2,1/ISNUMBER(FIND(";",$D$25:T$25)),$D$25:T$25),FIND(";",LOOKUP(2,1/ISNUMBER(FIND(";",$D$25:T$25)),$D$25:T$25))+1,99)*1),LEFT($B$126,FIND("t",$B$126))&amp;MID(LOOKUP(2,1/ISNUMBER(FIND(";",$D$25:T$25)),$D$25:T$25),FIND(";",LOOKUP(2,1/ISNUMBER(FIND(";",$D$25:T$25)),$D$25:T$25))+1,99),SUBSTITUTE(SUBSTITUTE(SUBSTITUTE(SUBSTITUTE(SUBSTITUTE(SUBSTITUTE(LOWER(MID(LOOKUP(2,1/ISNUMBER(FIND(";",$D$25:T$25)),$D$25:T$25),FIND(";",LOOKUP(2,1/ISNUMBER(FIND(";",$D$25:T$25)),$D$25:T$25))+1,99))," ",""),"%%c","t"),"ø","t"),"φ","t"),"f","t"),"d","t")),$B$126)</f>
        <v/>
      </c>
      <c r="T94">
        <f>IFERROR(IF(ISNUMBER(MID(LOOKUP(2,1/ISNUMBER(FIND(";",$D$25:T$25)),$D$25:T$25),FIND(";",LOOKUP(2,1/ISNUMBER(FIND(";",$D$25:T$25)),$D$25:T$25))+1,99)*1),LEFT($B$126,FIND("t",$B$126))&amp;MID(LOOKUP(2,1/ISNUMBER(FIND(";",$D$25:T$25)),$D$25:T$25),FIND(";",LOOKUP(2,1/ISNUMBER(FIND(";",$D$25:T$25)),$D$25:T$25))+1,99),SUBSTITUTE(SUBSTITUTE(SUBSTITUTE(SUBSTITUTE(SUBSTITUTE(SUBSTITUTE(LOWER(MID(LOOKUP(2,1/ISNUMBER(FIND(";",$D$25:T$25)),$D$25:T$25),FIND(";",LOOKUP(2,1/ISNUMBER(FIND(";",$D$25:T$25)),$D$25:T$25))+1,99))," ",""),"%%c","t"),"ø","t"),"φ","t"),"f","t"),"d","t")),$B$126)</f>
        <v/>
      </c>
      <c r="U94">
        <f>IFERROR(IF(ISNUMBER(MID(LOOKUP(2,1/ISNUMBER(FIND(";",$D$25:V$25)),$D$25:V$25),FIND(";",LOOKUP(2,1/ISNUMBER(FIND(";",$D$25:V$25)),$D$25:V$25))+1,99)*1),LEFT($B$126,FIND("t",$B$126))&amp;MID(LOOKUP(2,1/ISNUMBER(FIND(";",$D$25:V$25)),$D$25:V$25),FIND(";",LOOKUP(2,1/ISNUMBER(FIND(";",$D$25:V$25)),$D$25:V$25))+1,99),SUBSTITUTE(SUBSTITUTE(SUBSTITUTE(SUBSTITUTE(SUBSTITUTE(SUBSTITUTE(LOWER(MID(LOOKUP(2,1/ISNUMBER(FIND(";",$D$25:V$25)),$D$25:V$25),FIND(";",LOOKUP(2,1/ISNUMBER(FIND(";",$D$25:V$25)),$D$25:V$25))+1,99))," ",""),"%%c","t"),"ø","t"),"φ","t"),"f","t"),"d","t")),$B$126)</f>
        <v/>
      </c>
      <c r="V94">
        <f>IFERROR(IF(ISNUMBER(MID(LOOKUP(2,1/ISNUMBER(FIND(";",$D$25:V$25)),$D$25:V$25),FIND(";",LOOKUP(2,1/ISNUMBER(FIND(";",$D$25:V$25)),$D$25:V$25))+1,99)*1),LEFT($B$126,FIND("t",$B$126))&amp;MID(LOOKUP(2,1/ISNUMBER(FIND(";",$D$25:V$25)),$D$25:V$25),FIND(";",LOOKUP(2,1/ISNUMBER(FIND(";",$D$25:V$25)),$D$25:V$25))+1,99),SUBSTITUTE(SUBSTITUTE(SUBSTITUTE(SUBSTITUTE(SUBSTITUTE(SUBSTITUTE(LOWER(MID(LOOKUP(2,1/ISNUMBER(FIND(";",$D$25:V$25)),$D$25:V$25),FIND(";",LOOKUP(2,1/ISNUMBER(FIND(";",$D$25:V$25)),$D$25:V$25))+1,99))," ",""),"%%c","t"),"ø","t"),"φ","t"),"f","t"),"d","t")),$B$126)</f>
        <v/>
      </c>
      <c r="W94">
        <f>IFERROR(IF(ISNUMBER(MID(LOOKUP(2,1/ISNUMBER(FIND(";",$D$25:X$25)),$D$25:X$25),FIND(";",LOOKUP(2,1/ISNUMBER(FIND(";",$D$25:X$25)),$D$25:X$25))+1,99)*1),LEFT($B$126,FIND("t",$B$126))&amp;MID(LOOKUP(2,1/ISNUMBER(FIND(";",$D$25:X$25)),$D$25:X$25),FIND(";",LOOKUP(2,1/ISNUMBER(FIND(";",$D$25:X$25)),$D$25:X$25))+1,99),SUBSTITUTE(SUBSTITUTE(SUBSTITUTE(SUBSTITUTE(SUBSTITUTE(SUBSTITUTE(LOWER(MID(LOOKUP(2,1/ISNUMBER(FIND(";",$D$25:X$25)),$D$25:X$25),FIND(";",LOOKUP(2,1/ISNUMBER(FIND(";",$D$25:X$25)),$D$25:X$25))+1,99))," ",""),"%%c","t"),"ø","t"),"φ","t"),"f","t"),"d","t")),$B$126)</f>
        <v/>
      </c>
      <c r="X94">
        <f>IFERROR(IF(ISNUMBER(MID(LOOKUP(2,1/ISNUMBER(FIND(";",$D$25:X$25)),$D$25:X$25),FIND(";",LOOKUP(2,1/ISNUMBER(FIND(";",$D$25:X$25)),$D$25:X$25))+1,99)*1),LEFT($B$126,FIND("t",$B$126))&amp;MID(LOOKUP(2,1/ISNUMBER(FIND(";",$D$25:X$25)),$D$25:X$25),FIND(";",LOOKUP(2,1/ISNUMBER(FIND(";",$D$25:X$25)),$D$25:X$25))+1,99),SUBSTITUTE(SUBSTITUTE(SUBSTITUTE(SUBSTITUTE(SUBSTITUTE(SUBSTITUTE(LOWER(MID(LOOKUP(2,1/ISNUMBER(FIND(";",$D$25:X$25)),$D$25:X$25),FIND(";",LOOKUP(2,1/ISNUMBER(FIND(";",$D$25:X$25)),$D$25:X$25))+1,99))," ",""),"%%c","t"),"ø","t"),"φ","t"),"f","t"),"d","t")),$B$126)</f>
        <v/>
      </c>
      <c r="Y94">
        <f>IFERROR(IF(ISNUMBER(MID(LOOKUP(2,1/ISNUMBER(FIND(";",$D$25:Z$25)),$D$25:Z$25),FIND(";",LOOKUP(2,1/ISNUMBER(FIND(";",$D$25:Z$25)),$D$25:Z$25))+1,99)*1),LEFT($B$126,FIND("t",$B$126))&amp;MID(LOOKUP(2,1/ISNUMBER(FIND(";",$D$25:Z$25)),$D$25:Z$25),FIND(";",LOOKUP(2,1/ISNUMBER(FIND(";",$D$25:Z$25)),$D$25:Z$25))+1,99),SUBSTITUTE(SUBSTITUTE(SUBSTITUTE(SUBSTITUTE(SUBSTITUTE(SUBSTITUTE(LOWER(MID(LOOKUP(2,1/ISNUMBER(FIND(";",$D$25:Z$25)),$D$25:Z$25),FIND(";",LOOKUP(2,1/ISNUMBER(FIND(";",$D$25:Z$25)),$D$25:Z$25))+1,99))," ",""),"%%c","t"),"ø","t"),"φ","t"),"f","t"),"d","t")),$B$126)</f>
        <v/>
      </c>
      <c r="Z94">
        <f>IFERROR(IF(ISNUMBER(MID(LOOKUP(2,1/ISNUMBER(FIND(";",$D$25:Z$25)),$D$25:Z$25),FIND(";",LOOKUP(2,1/ISNUMBER(FIND(";",$D$25:Z$25)),$D$25:Z$25))+1,99)*1),LEFT($B$126,FIND("t",$B$126))&amp;MID(LOOKUP(2,1/ISNUMBER(FIND(";",$D$25:Z$25)),$D$25:Z$25),FIND(";",LOOKUP(2,1/ISNUMBER(FIND(";",$D$25:Z$25)),$D$25:Z$25))+1,99),SUBSTITUTE(SUBSTITUTE(SUBSTITUTE(SUBSTITUTE(SUBSTITUTE(SUBSTITUTE(LOWER(MID(LOOKUP(2,1/ISNUMBER(FIND(";",$D$25:Z$25)),$D$25:Z$25),FIND(";",LOOKUP(2,1/ISNUMBER(FIND(";",$D$25:Z$25)),$D$25:Z$25))+1,99))," ",""),"%%c","t"),"ø","t"),"φ","t"),"f","t"),"d","t")),$B$126)</f>
        <v/>
      </c>
      <c r="AA94">
        <f>IFERROR(IF(ISNUMBER(MID(LOOKUP(2,1/ISNUMBER(FIND(";",$D$25:AB$25)),$D$25:AB$25),FIND(";",LOOKUP(2,1/ISNUMBER(FIND(";",$D$25:AB$25)),$D$25:AB$25))+1,99)*1),LEFT($B$126,FIND("t",$B$126))&amp;MID(LOOKUP(2,1/ISNUMBER(FIND(";",$D$25:AB$25)),$D$25:AB$25),FIND(";",LOOKUP(2,1/ISNUMBER(FIND(";",$D$25:AB$25)),$D$25:AB$25))+1,99),SUBSTITUTE(SUBSTITUTE(SUBSTITUTE(SUBSTITUTE(SUBSTITUTE(SUBSTITUTE(LOWER(MID(LOOKUP(2,1/ISNUMBER(FIND(";",$D$25:AB$25)),$D$25:AB$25),FIND(";",LOOKUP(2,1/ISNUMBER(FIND(";",$D$25:AB$25)),$D$25:AB$25))+1,99))," ",""),"%%c","t"),"ø","t"),"φ","t"),"f","t"),"d","t")),$B$126)</f>
        <v/>
      </c>
      <c r="AB94">
        <f>IFERROR(IF(ISNUMBER(MID(LOOKUP(2,1/ISNUMBER(FIND(";",$D$25:AB$25)),$D$25:AB$25),FIND(";",LOOKUP(2,1/ISNUMBER(FIND(";",$D$25:AB$25)),$D$25:AB$25))+1,99)*1),LEFT($B$126,FIND("t",$B$126))&amp;MID(LOOKUP(2,1/ISNUMBER(FIND(";",$D$25:AB$25)),$D$25:AB$25),FIND(";",LOOKUP(2,1/ISNUMBER(FIND(";",$D$25:AB$25)),$D$25:AB$25))+1,99),SUBSTITUTE(SUBSTITUTE(SUBSTITUTE(SUBSTITUTE(SUBSTITUTE(SUBSTITUTE(LOWER(MID(LOOKUP(2,1/ISNUMBER(FIND(";",$D$25:AB$25)),$D$25:AB$25),FIND(";",LOOKUP(2,1/ISNUMBER(FIND(";",$D$25:AB$25)),$D$25:AB$25))+1,99))," ",""),"%%c","t"),"ø","t"),"φ","t"),"f","t"),"d","t")),$B$126)</f>
        <v/>
      </c>
      <c r="AC94">
        <f>IFERROR(IF(ISNUMBER(MID(LOOKUP(2,1/ISNUMBER(FIND(";",$D$25:AD$25)),$D$25:AD$25),FIND(";",LOOKUP(2,1/ISNUMBER(FIND(";",$D$25:AD$25)),$D$25:AD$25))+1,99)*1),LEFT($B$126,FIND("t",$B$126))&amp;MID(LOOKUP(2,1/ISNUMBER(FIND(";",$D$25:AD$25)),$D$25:AD$25),FIND(";",LOOKUP(2,1/ISNUMBER(FIND(";",$D$25:AD$25)),$D$25:AD$25))+1,99),SUBSTITUTE(SUBSTITUTE(SUBSTITUTE(SUBSTITUTE(SUBSTITUTE(SUBSTITUTE(LOWER(MID(LOOKUP(2,1/ISNUMBER(FIND(";",$D$25:AD$25)),$D$25:AD$25),FIND(";",LOOKUP(2,1/ISNUMBER(FIND(";",$D$25:AD$25)),$D$25:AD$25))+1,99))," ",""),"%%c","t"),"ø","t"),"φ","t"),"f","t"),"d","t")),$B$126)</f>
        <v/>
      </c>
      <c r="AD94">
        <f>IFERROR(IF(ISNUMBER(MID(LOOKUP(2,1/ISNUMBER(FIND(";",$D$25:AD$25)),$D$25:AD$25),FIND(";",LOOKUP(2,1/ISNUMBER(FIND(";",$D$25:AD$25)),$D$25:AD$25))+1,99)*1),LEFT($B$126,FIND("t",$B$126))&amp;MID(LOOKUP(2,1/ISNUMBER(FIND(";",$D$25:AD$25)),$D$25:AD$25),FIND(";",LOOKUP(2,1/ISNUMBER(FIND(";",$D$25:AD$25)),$D$25:AD$25))+1,99),SUBSTITUTE(SUBSTITUTE(SUBSTITUTE(SUBSTITUTE(SUBSTITUTE(SUBSTITUTE(LOWER(MID(LOOKUP(2,1/ISNUMBER(FIND(";",$D$25:AD$25)),$D$25:AD$25),FIND(";",LOOKUP(2,1/ISNUMBER(FIND(";",$D$25:AD$25)),$D$25:AD$25))+1,99))," ",""),"%%c","t"),"ø","t"),"φ","t"),"f","t"),"d","t")),$B$126)</f>
        <v/>
      </c>
      <c r="AE94">
        <f>IFERROR(IF(ISNUMBER(MID(LOOKUP(2,1/ISNUMBER(FIND(";",$D$25:AF$25)),$D$25:AF$25),FIND(";",LOOKUP(2,1/ISNUMBER(FIND(";",$D$25:AF$25)),$D$25:AF$25))+1,99)*1),LEFT($B$126,FIND("t",$B$126))&amp;MID(LOOKUP(2,1/ISNUMBER(FIND(";",$D$25:AF$25)),$D$25:AF$25),FIND(";",LOOKUP(2,1/ISNUMBER(FIND(";",$D$25:AF$25)),$D$25:AF$25))+1,99),SUBSTITUTE(SUBSTITUTE(SUBSTITUTE(SUBSTITUTE(SUBSTITUTE(SUBSTITUTE(LOWER(MID(LOOKUP(2,1/ISNUMBER(FIND(";",$D$25:AF$25)),$D$25:AF$25),FIND(";",LOOKUP(2,1/ISNUMBER(FIND(";",$D$25:AF$25)),$D$25:AF$25))+1,99))," ",""),"%%c","t"),"ø","t"),"φ","t"),"f","t"),"d","t")),$B$126)</f>
        <v/>
      </c>
      <c r="AF94">
        <f>IFERROR(IF(ISNUMBER(MID(LOOKUP(2,1/ISNUMBER(FIND(";",$D$25:AF$25)),$D$25:AF$25),FIND(";",LOOKUP(2,1/ISNUMBER(FIND(";",$D$25:AF$25)),$D$25:AF$25))+1,99)*1),LEFT($B$126,FIND("t",$B$126))&amp;MID(LOOKUP(2,1/ISNUMBER(FIND(";",$D$25:AF$25)),$D$25:AF$25),FIND(";",LOOKUP(2,1/ISNUMBER(FIND(";",$D$25:AF$25)),$D$25:AF$25))+1,99),SUBSTITUTE(SUBSTITUTE(SUBSTITUTE(SUBSTITUTE(SUBSTITUTE(SUBSTITUTE(LOWER(MID(LOOKUP(2,1/ISNUMBER(FIND(";",$D$25:AF$25)),$D$25:AF$25),FIND(";",LOOKUP(2,1/ISNUMBER(FIND(";",$D$25:AF$25)),$D$25:AF$25))+1,99))," ",""),"%%c","t"),"ø","t"),"φ","t"),"f","t"),"d","t")),$B$126)</f>
        <v/>
      </c>
      <c r="AG94">
        <f>IFERROR(IF(ISNUMBER(MID(LOOKUP(2,1/ISNUMBER(FIND(";",$D$25:AH$25)),$D$25:AH$25),FIND(";",LOOKUP(2,1/ISNUMBER(FIND(";",$D$25:AH$25)),$D$25:AH$25))+1,99)*1),LEFT($B$126,FIND("t",$B$126))&amp;MID(LOOKUP(2,1/ISNUMBER(FIND(";",$D$25:AH$25)),$D$25:AH$25),FIND(";",LOOKUP(2,1/ISNUMBER(FIND(";",$D$25:AH$25)),$D$25:AH$25))+1,99),SUBSTITUTE(SUBSTITUTE(SUBSTITUTE(SUBSTITUTE(SUBSTITUTE(SUBSTITUTE(LOWER(MID(LOOKUP(2,1/ISNUMBER(FIND(";",$D$25:AH$25)),$D$25:AH$25),FIND(";",LOOKUP(2,1/ISNUMBER(FIND(";",$D$25:AH$25)),$D$25:AH$25))+1,99))," ",""),"%%c","t"),"ø","t"),"φ","t"),"f","t"),"d","t")),$B$126)</f>
        <v/>
      </c>
    </row>
    <row r="95" hidden="1" outlineLevel="1">
      <c r="A95" s="60" t="inlineStr">
        <is>
          <t>(phụ trợ) A_B0R</t>
        </is>
      </c>
      <c r="C95">
        <f>IFERROR(LEFT(LEFT(C94,FIND("+",C94&amp;"+")-1),FIND("t",LEFT(C94,FIND("+",C94&amp;"+")-1))-1)*MID(LEFT(C94,FIND("+",C94&amp;"+")-1),FIND("t",LEFT(C94,FIND("+",C94&amp;"+")-1))+1,2)^2*PI()/400,0)+IFERROR(LEFT(MID(C94,FIND("+",C94&amp;"+")+1,99),FIND("t",MID(C94,FIND("+",C94&amp;"+")+1,99))-1)*MID(MID(C94,FIND("+",C94&amp;"+")+1,99),FIND("t",MID(C94,FIND("+",C94&amp;"+")+1,99))+1,2)^2*PI()/400,0)</f>
        <v/>
      </c>
      <c r="D95">
        <f>IFERROR(LEFT(LEFT(D94,FIND("+",D94&amp;"+")-1),FIND("t",LEFT(D94,FIND("+",D94&amp;"+")-1))-1)*MID(LEFT(D94,FIND("+",D94&amp;"+")-1),FIND("t",LEFT(D94,FIND("+",D94&amp;"+")-1))+1,2)^2*PI()/400,0)+IFERROR(LEFT(MID(D94,FIND("+",D94&amp;"+")+1,99),FIND("t",MID(D94,FIND("+",D94&amp;"+")+1,99))-1)*MID(MID(D94,FIND("+",D94&amp;"+")+1,99),FIND("t",MID(D94,FIND("+",D94&amp;"+")+1,99))+1,2)^2*PI()/400,0)</f>
        <v/>
      </c>
      <c r="E95">
        <f>IFERROR(LEFT(LEFT(E94,FIND("+",E94&amp;"+")-1),FIND("t",LEFT(E94,FIND("+",E94&amp;"+")-1))-1)*MID(LEFT(E94,FIND("+",E94&amp;"+")-1),FIND("t",LEFT(E94,FIND("+",E94&amp;"+")-1))+1,2)^2*PI()/400,0)+IFERROR(LEFT(MID(E94,FIND("+",E94&amp;"+")+1,99),FIND("t",MID(E94,FIND("+",E94&amp;"+")+1,99))-1)*MID(MID(E94,FIND("+",E94&amp;"+")+1,99),FIND("t",MID(E94,FIND("+",E94&amp;"+")+1,99))+1,2)^2*PI()/400,0)</f>
        <v/>
      </c>
      <c r="F95">
        <f>IFERROR(LEFT(LEFT(F94,FIND("+",F94&amp;"+")-1),FIND("t",LEFT(F94,FIND("+",F94&amp;"+")-1))-1)*MID(LEFT(F94,FIND("+",F94&amp;"+")-1),FIND("t",LEFT(F94,FIND("+",F94&amp;"+")-1))+1,2)^2*PI()/400,0)+IFERROR(LEFT(MID(F94,FIND("+",F94&amp;"+")+1,99),FIND("t",MID(F94,FIND("+",F94&amp;"+")+1,99))-1)*MID(MID(F94,FIND("+",F94&amp;"+")+1,99),FIND("t",MID(F94,FIND("+",F94&amp;"+")+1,99))+1,2)^2*PI()/400,0)</f>
        <v/>
      </c>
      <c r="G95">
        <f>IFERROR(LEFT(LEFT(G94,FIND("+",G94&amp;"+")-1),FIND("t",LEFT(G94,FIND("+",G94&amp;"+")-1))-1)*MID(LEFT(G94,FIND("+",G94&amp;"+")-1),FIND("t",LEFT(G94,FIND("+",G94&amp;"+")-1))+1,2)^2*PI()/400,0)+IFERROR(LEFT(MID(G94,FIND("+",G94&amp;"+")+1,99),FIND("t",MID(G94,FIND("+",G94&amp;"+")+1,99))-1)*MID(MID(G94,FIND("+",G94&amp;"+")+1,99),FIND("t",MID(G94,FIND("+",G94&amp;"+")+1,99))+1,2)^2*PI()/400,0)</f>
        <v/>
      </c>
      <c r="H95">
        <f>IFERROR(LEFT(LEFT(H94,FIND("+",H94&amp;"+")-1),FIND("t",LEFT(H94,FIND("+",H94&amp;"+")-1))-1)*MID(LEFT(H94,FIND("+",H94&amp;"+")-1),FIND("t",LEFT(H94,FIND("+",H94&amp;"+")-1))+1,2)^2*PI()/400,0)+IFERROR(LEFT(MID(H94,FIND("+",H94&amp;"+")+1,99),FIND("t",MID(H94,FIND("+",H94&amp;"+")+1,99))-1)*MID(MID(H94,FIND("+",H94&amp;"+")+1,99),FIND("t",MID(H94,FIND("+",H94&amp;"+")+1,99))+1,2)^2*PI()/400,0)</f>
        <v/>
      </c>
      <c r="I95">
        <f>IFERROR(LEFT(LEFT(I94,FIND("+",I94&amp;"+")-1),FIND("t",LEFT(I94,FIND("+",I94&amp;"+")-1))-1)*MID(LEFT(I94,FIND("+",I94&amp;"+")-1),FIND("t",LEFT(I94,FIND("+",I94&amp;"+")-1))+1,2)^2*PI()/400,0)+IFERROR(LEFT(MID(I94,FIND("+",I94&amp;"+")+1,99),FIND("t",MID(I94,FIND("+",I94&amp;"+")+1,99))-1)*MID(MID(I94,FIND("+",I94&amp;"+")+1,99),FIND("t",MID(I94,FIND("+",I94&amp;"+")+1,99))+1,2)^2*PI()/400,0)</f>
        <v/>
      </c>
      <c r="J95">
        <f>IFERROR(LEFT(LEFT(J94,FIND("+",J94&amp;"+")-1),FIND("t",LEFT(J94,FIND("+",J94&amp;"+")-1))-1)*MID(LEFT(J94,FIND("+",J94&amp;"+")-1),FIND("t",LEFT(J94,FIND("+",J94&amp;"+")-1))+1,2)^2*PI()/400,0)+IFERROR(LEFT(MID(J94,FIND("+",J94&amp;"+")+1,99),FIND("t",MID(J94,FIND("+",J94&amp;"+")+1,99))-1)*MID(MID(J94,FIND("+",J94&amp;"+")+1,99),FIND("t",MID(J94,FIND("+",J94&amp;"+")+1,99))+1,2)^2*PI()/400,0)</f>
        <v/>
      </c>
      <c r="K95">
        <f>IFERROR(LEFT(LEFT(K94,FIND("+",K94&amp;"+")-1),FIND("t",LEFT(K94,FIND("+",K94&amp;"+")-1))-1)*MID(LEFT(K94,FIND("+",K94&amp;"+")-1),FIND("t",LEFT(K94,FIND("+",K94&amp;"+")-1))+1,2)^2*PI()/400,0)+IFERROR(LEFT(MID(K94,FIND("+",K94&amp;"+")+1,99),FIND("t",MID(K94,FIND("+",K94&amp;"+")+1,99))-1)*MID(MID(K94,FIND("+",K94&amp;"+")+1,99),FIND("t",MID(K94,FIND("+",K94&amp;"+")+1,99))+1,2)^2*PI()/400,0)</f>
        <v/>
      </c>
      <c r="L95">
        <f>IFERROR(LEFT(LEFT(L94,FIND("+",L94&amp;"+")-1),FIND("t",LEFT(L94,FIND("+",L94&amp;"+")-1))-1)*MID(LEFT(L94,FIND("+",L94&amp;"+")-1),FIND("t",LEFT(L94,FIND("+",L94&amp;"+")-1))+1,2)^2*PI()/400,0)+IFERROR(LEFT(MID(L94,FIND("+",L94&amp;"+")+1,99),FIND("t",MID(L94,FIND("+",L94&amp;"+")+1,99))-1)*MID(MID(L94,FIND("+",L94&amp;"+")+1,99),FIND("t",MID(L94,FIND("+",L94&amp;"+")+1,99))+1,2)^2*PI()/400,0)</f>
        <v/>
      </c>
      <c r="M95">
        <f>IFERROR(LEFT(LEFT(M94,FIND("+",M94&amp;"+")-1),FIND("t",LEFT(M94,FIND("+",M94&amp;"+")-1))-1)*MID(LEFT(M94,FIND("+",M94&amp;"+")-1),FIND("t",LEFT(M94,FIND("+",M94&amp;"+")-1))+1,2)^2*PI()/400,0)+IFERROR(LEFT(MID(M94,FIND("+",M94&amp;"+")+1,99),FIND("t",MID(M94,FIND("+",M94&amp;"+")+1,99))-1)*MID(MID(M94,FIND("+",M94&amp;"+")+1,99),FIND("t",MID(M94,FIND("+",M94&amp;"+")+1,99))+1,2)^2*PI()/400,0)</f>
        <v/>
      </c>
      <c r="N95">
        <f>IFERROR(LEFT(LEFT(N94,FIND("+",N94&amp;"+")-1),FIND("t",LEFT(N94,FIND("+",N94&amp;"+")-1))-1)*MID(LEFT(N94,FIND("+",N94&amp;"+")-1),FIND("t",LEFT(N94,FIND("+",N94&amp;"+")-1))+1,2)^2*PI()/400,0)+IFERROR(LEFT(MID(N94,FIND("+",N94&amp;"+")+1,99),FIND("t",MID(N94,FIND("+",N94&amp;"+")+1,99))-1)*MID(MID(N94,FIND("+",N94&amp;"+")+1,99),FIND("t",MID(N94,FIND("+",N94&amp;"+")+1,99))+1,2)^2*PI()/400,0)</f>
        <v/>
      </c>
      <c r="O95">
        <f>IFERROR(LEFT(LEFT(O94,FIND("+",O94&amp;"+")-1),FIND("t",LEFT(O94,FIND("+",O94&amp;"+")-1))-1)*MID(LEFT(O94,FIND("+",O94&amp;"+")-1),FIND("t",LEFT(O94,FIND("+",O94&amp;"+")-1))+1,2)^2*PI()/400,0)+IFERROR(LEFT(MID(O94,FIND("+",O94&amp;"+")+1,99),FIND("t",MID(O94,FIND("+",O94&amp;"+")+1,99))-1)*MID(MID(O94,FIND("+",O94&amp;"+")+1,99),FIND("t",MID(O94,FIND("+",O94&amp;"+")+1,99))+1,2)^2*PI()/400,0)</f>
        <v/>
      </c>
      <c r="P95">
        <f>IFERROR(LEFT(LEFT(P94,FIND("+",P94&amp;"+")-1),FIND("t",LEFT(P94,FIND("+",P94&amp;"+")-1))-1)*MID(LEFT(P94,FIND("+",P94&amp;"+")-1),FIND("t",LEFT(P94,FIND("+",P94&amp;"+")-1))+1,2)^2*PI()/400,0)+IFERROR(LEFT(MID(P94,FIND("+",P94&amp;"+")+1,99),FIND("t",MID(P94,FIND("+",P94&amp;"+")+1,99))-1)*MID(MID(P94,FIND("+",P94&amp;"+")+1,99),FIND("t",MID(P94,FIND("+",P94&amp;"+")+1,99))+1,2)^2*PI()/400,0)</f>
        <v/>
      </c>
      <c r="Q95">
        <f>IFERROR(LEFT(LEFT(Q94,FIND("+",Q94&amp;"+")-1),FIND("t",LEFT(Q94,FIND("+",Q94&amp;"+")-1))-1)*MID(LEFT(Q94,FIND("+",Q94&amp;"+")-1),FIND("t",LEFT(Q94,FIND("+",Q94&amp;"+")-1))+1,2)^2*PI()/400,0)+IFERROR(LEFT(MID(Q94,FIND("+",Q94&amp;"+")+1,99),FIND("t",MID(Q94,FIND("+",Q94&amp;"+")+1,99))-1)*MID(MID(Q94,FIND("+",Q94&amp;"+")+1,99),FIND("t",MID(Q94,FIND("+",Q94&amp;"+")+1,99))+1,2)^2*PI()/400,0)</f>
        <v/>
      </c>
      <c r="R95">
        <f>IFERROR(LEFT(LEFT(R94,FIND("+",R94&amp;"+")-1),FIND("t",LEFT(R94,FIND("+",R94&amp;"+")-1))-1)*MID(LEFT(R94,FIND("+",R94&amp;"+")-1),FIND("t",LEFT(R94,FIND("+",R94&amp;"+")-1))+1,2)^2*PI()/400,0)+IFERROR(LEFT(MID(R94,FIND("+",R94&amp;"+")+1,99),FIND("t",MID(R94,FIND("+",R94&amp;"+")+1,99))-1)*MID(MID(R94,FIND("+",R94&amp;"+")+1,99),FIND("t",MID(R94,FIND("+",R94&amp;"+")+1,99))+1,2)^2*PI()/400,0)</f>
        <v/>
      </c>
      <c r="S95">
        <f>IFERROR(LEFT(LEFT(S94,FIND("+",S94&amp;"+")-1),FIND("t",LEFT(S94,FIND("+",S94&amp;"+")-1))-1)*MID(LEFT(S94,FIND("+",S94&amp;"+")-1),FIND("t",LEFT(S94,FIND("+",S94&amp;"+")-1))+1,2)^2*PI()/400,0)+IFERROR(LEFT(MID(S94,FIND("+",S94&amp;"+")+1,99),FIND("t",MID(S94,FIND("+",S94&amp;"+")+1,99))-1)*MID(MID(S94,FIND("+",S94&amp;"+")+1,99),FIND("t",MID(S94,FIND("+",S94&amp;"+")+1,99))+1,2)^2*PI()/400,0)</f>
        <v/>
      </c>
      <c r="T95">
        <f>IFERROR(LEFT(LEFT(T94,FIND("+",T94&amp;"+")-1),FIND("t",LEFT(T94,FIND("+",T94&amp;"+")-1))-1)*MID(LEFT(T94,FIND("+",T94&amp;"+")-1),FIND("t",LEFT(T94,FIND("+",T94&amp;"+")-1))+1,2)^2*PI()/400,0)+IFERROR(LEFT(MID(T94,FIND("+",T94&amp;"+")+1,99),FIND("t",MID(T94,FIND("+",T94&amp;"+")+1,99))-1)*MID(MID(T94,FIND("+",T94&amp;"+")+1,99),FIND("t",MID(T94,FIND("+",T94&amp;"+")+1,99))+1,2)^2*PI()/400,0)</f>
        <v/>
      </c>
      <c r="U95">
        <f>IFERROR(LEFT(LEFT(U94,FIND("+",U94&amp;"+")-1),FIND("t",LEFT(U94,FIND("+",U94&amp;"+")-1))-1)*MID(LEFT(U94,FIND("+",U94&amp;"+")-1),FIND("t",LEFT(U94,FIND("+",U94&amp;"+")-1))+1,2)^2*PI()/400,0)+IFERROR(LEFT(MID(U94,FIND("+",U94&amp;"+")+1,99),FIND("t",MID(U94,FIND("+",U94&amp;"+")+1,99))-1)*MID(MID(U94,FIND("+",U94&amp;"+")+1,99),FIND("t",MID(U94,FIND("+",U94&amp;"+")+1,99))+1,2)^2*PI()/400,0)</f>
        <v/>
      </c>
      <c r="V95">
        <f>IFERROR(LEFT(LEFT(V94,FIND("+",V94&amp;"+")-1),FIND("t",LEFT(V94,FIND("+",V94&amp;"+")-1))-1)*MID(LEFT(V94,FIND("+",V94&amp;"+")-1),FIND("t",LEFT(V94,FIND("+",V94&amp;"+")-1))+1,2)^2*PI()/400,0)+IFERROR(LEFT(MID(V94,FIND("+",V94&amp;"+")+1,99),FIND("t",MID(V94,FIND("+",V94&amp;"+")+1,99))-1)*MID(MID(V94,FIND("+",V94&amp;"+")+1,99),FIND("t",MID(V94,FIND("+",V94&amp;"+")+1,99))+1,2)^2*PI()/400,0)</f>
        <v/>
      </c>
      <c r="W95">
        <f>IFERROR(LEFT(LEFT(W94,FIND("+",W94&amp;"+")-1),FIND("t",LEFT(W94,FIND("+",W94&amp;"+")-1))-1)*MID(LEFT(W94,FIND("+",W94&amp;"+")-1),FIND("t",LEFT(W94,FIND("+",W94&amp;"+")-1))+1,2)^2*PI()/400,0)+IFERROR(LEFT(MID(W94,FIND("+",W94&amp;"+")+1,99),FIND("t",MID(W94,FIND("+",W94&amp;"+")+1,99))-1)*MID(MID(W94,FIND("+",W94&amp;"+")+1,99),FIND("t",MID(W94,FIND("+",W94&amp;"+")+1,99))+1,2)^2*PI()/400,0)</f>
        <v/>
      </c>
      <c r="X95">
        <f>IFERROR(LEFT(LEFT(X94,FIND("+",X94&amp;"+")-1),FIND("t",LEFT(X94,FIND("+",X94&amp;"+")-1))-1)*MID(LEFT(X94,FIND("+",X94&amp;"+")-1),FIND("t",LEFT(X94,FIND("+",X94&amp;"+")-1))+1,2)^2*PI()/400,0)+IFERROR(LEFT(MID(X94,FIND("+",X94&amp;"+")+1,99),FIND("t",MID(X94,FIND("+",X94&amp;"+")+1,99))-1)*MID(MID(X94,FIND("+",X94&amp;"+")+1,99),FIND("t",MID(X94,FIND("+",X94&amp;"+")+1,99))+1,2)^2*PI()/400,0)</f>
        <v/>
      </c>
      <c r="Y95">
        <f>IFERROR(LEFT(LEFT(Y94,FIND("+",Y94&amp;"+")-1),FIND("t",LEFT(Y94,FIND("+",Y94&amp;"+")-1))-1)*MID(LEFT(Y94,FIND("+",Y94&amp;"+")-1),FIND("t",LEFT(Y94,FIND("+",Y94&amp;"+")-1))+1,2)^2*PI()/400,0)+IFERROR(LEFT(MID(Y94,FIND("+",Y94&amp;"+")+1,99),FIND("t",MID(Y94,FIND("+",Y94&amp;"+")+1,99))-1)*MID(MID(Y94,FIND("+",Y94&amp;"+")+1,99),FIND("t",MID(Y94,FIND("+",Y94&amp;"+")+1,99))+1,2)^2*PI()/400,0)</f>
        <v/>
      </c>
      <c r="Z95">
        <f>IFERROR(LEFT(LEFT(Z94,FIND("+",Z94&amp;"+")-1),FIND("t",LEFT(Z94,FIND("+",Z94&amp;"+")-1))-1)*MID(LEFT(Z94,FIND("+",Z94&amp;"+")-1),FIND("t",LEFT(Z94,FIND("+",Z94&amp;"+")-1))+1,2)^2*PI()/400,0)+IFERROR(LEFT(MID(Z94,FIND("+",Z94&amp;"+")+1,99),FIND("t",MID(Z94,FIND("+",Z94&amp;"+")+1,99))-1)*MID(MID(Z94,FIND("+",Z94&amp;"+")+1,99),FIND("t",MID(Z94,FIND("+",Z94&amp;"+")+1,99))+1,2)^2*PI()/400,0)</f>
        <v/>
      </c>
      <c r="AA95">
        <f>IFERROR(LEFT(LEFT(AA94,FIND("+",AA94&amp;"+")-1),FIND("t",LEFT(AA94,FIND("+",AA94&amp;"+")-1))-1)*MID(LEFT(AA94,FIND("+",AA94&amp;"+")-1),FIND("t",LEFT(AA94,FIND("+",AA94&amp;"+")-1))+1,2)^2*PI()/400,0)+IFERROR(LEFT(MID(AA94,FIND("+",AA94&amp;"+")+1,99),FIND("t",MID(AA94,FIND("+",AA94&amp;"+")+1,99))-1)*MID(MID(AA94,FIND("+",AA94&amp;"+")+1,99),FIND("t",MID(AA94,FIND("+",AA94&amp;"+")+1,99))+1,2)^2*PI()/400,0)</f>
        <v/>
      </c>
      <c r="AB95">
        <f>IFERROR(LEFT(LEFT(AB94,FIND("+",AB94&amp;"+")-1),FIND("t",LEFT(AB94,FIND("+",AB94&amp;"+")-1))-1)*MID(LEFT(AB94,FIND("+",AB94&amp;"+")-1),FIND("t",LEFT(AB94,FIND("+",AB94&amp;"+")-1))+1,2)^2*PI()/400,0)+IFERROR(LEFT(MID(AB94,FIND("+",AB94&amp;"+")+1,99),FIND("t",MID(AB94,FIND("+",AB94&amp;"+")+1,99))-1)*MID(MID(AB94,FIND("+",AB94&amp;"+")+1,99),FIND("t",MID(AB94,FIND("+",AB94&amp;"+")+1,99))+1,2)^2*PI()/400,0)</f>
        <v/>
      </c>
      <c r="AC95">
        <f>IFERROR(LEFT(LEFT(AC94,FIND("+",AC94&amp;"+")-1),FIND("t",LEFT(AC94,FIND("+",AC94&amp;"+")-1))-1)*MID(LEFT(AC94,FIND("+",AC94&amp;"+")-1),FIND("t",LEFT(AC94,FIND("+",AC94&amp;"+")-1))+1,2)^2*PI()/400,0)+IFERROR(LEFT(MID(AC94,FIND("+",AC94&amp;"+")+1,99),FIND("t",MID(AC94,FIND("+",AC94&amp;"+")+1,99))-1)*MID(MID(AC94,FIND("+",AC94&amp;"+")+1,99),FIND("t",MID(AC94,FIND("+",AC94&amp;"+")+1,99))+1,2)^2*PI()/400,0)</f>
        <v/>
      </c>
      <c r="AD95">
        <f>IFERROR(LEFT(LEFT(AD94,FIND("+",AD94&amp;"+")-1),FIND("t",LEFT(AD94,FIND("+",AD94&amp;"+")-1))-1)*MID(LEFT(AD94,FIND("+",AD94&amp;"+")-1),FIND("t",LEFT(AD94,FIND("+",AD94&amp;"+")-1))+1,2)^2*PI()/400,0)+IFERROR(LEFT(MID(AD94,FIND("+",AD94&amp;"+")+1,99),FIND("t",MID(AD94,FIND("+",AD94&amp;"+")+1,99))-1)*MID(MID(AD94,FIND("+",AD94&amp;"+")+1,99),FIND("t",MID(AD94,FIND("+",AD94&amp;"+")+1,99))+1,2)^2*PI()/400,0)</f>
        <v/>
      </c>
      <c r="AE95">
        <f>IFERROR(LEFT(LEFT(AE94,FIND("+",AE94&amp;"+")-1),FIND("t",LEFT(AE94,FIND("+",AE94&amp;"+")-1))-1)*MID(LEFT(AE94,FIND("+",AE94&amp;"+")-1),FIND("t",LEFT(AE94,FIND("+",AE94&amp;"+")-1))+1,2)^2*PI()/400,0)+IFERROR(LEFT(MID(AE94,FIND("+",AE94&amp;"+")+1,99),FIND("t",MID(AE94,FIND("+",AE94&amp;"+")+1,99))-1)*MID(MID(AE94,FIND("+",AE94&amp;"+")+1,99),FIND("t",MID(AE94,FIND("+",AE94&amp;"+")+1,99))+1,2)^2*PI()/400,0)</f>
        <v/>
      </c>
      <c r="AF95">
        <f>IFERROR(LEFT(LEFT(AF94,FIND("+",AF94&amp;"+")-1),FIND("t",LEFT(AF94,FIND("+",AF94&amp;"+")-1))-1)*MID(LEFT(AF94,FIND("+",AF94&amp;"+")-1),FIND("t",LEFT(AF94,FIND("+",AF94&amp;"+")-1))+1,2)^2*PI()/400,0)+IFERROR(LEFT(MID(AF94,FIND("+",AF94&amp;"+")+1,99),FIND("t",MID(AF94,FIND("+",AF94&amp;"+")+1,99))-1)*MID(MID(AF94,FIND("+",AF94&amp;"+")+1,99),FIND("t",MID(AF94,FIND("+",AF94&amp;"+")+1,99))+1,2)^2*PI()/400,0)</f>
        <v/>
      </c>
      <c r="AG95">
        <f>IFERROR(LEFT(LEFT(AG94,FIND("+",AG94&amp;"+")-1),FIND("t",LEFT(AG94,FIND("+",AG94&amp;"+")-1))-1)*MID(LEFT(AG94,FIND("+",AG94&amp;"+")-1),FIND("t",LEFT(AG94,FIND("+",AG94&amp;"+")-1))+1,2)^2*PI()/400,0)+IFERROR(LEFT(MID(AG94,FIND("+",AG94&amp;"+")+1,99),FIND("t",MID(AG94,FIND("+",AG94&amp;"+")+1,99))-1)*MID(MID(AG94,FIND("+",AG94&amp;"+")+1,99),FIND("t",MID(AG94,FIND("+",AG94&amp;"+")+1,99))+1,2)^2*PI()/400,0)</f>
        <v/>
      </c>
    </row>
    <row r="96" hidden="1" outlineLevel="1">
      <c r="A96" s="60" t="inlineStr">
        <is>
          <t>(phụ trợ) N_B1L</t>
        </is>
      </c>
      <c r="C96">
        <f>SUBSTITUTE(SUBSTITUTE(SUBSTITUTE(SUBSTITUTE(SUBSTITUTE(SUBSTITUTE(LOWER(IF(ISNUMBER(FIND(";",C22)),LEFT(C22,FIND(";",C22)-1),C22))," ",""),"%%c","t"),"ø","t"),"φ","t"),"f","t"),"d","t")</f>
        <v/>
      </c>
      <c r="D96">
        <f>SUBSTITUTE(SUBSTITUTE(SUBSTITUTE(SUBSTITUTE(SUBSTITUTE(SUBSTITUTE(LOWER(IF(ISNUMBER(FIND(";",D22)),LEFT(D22,FIND(";",D22)-1),D22))," ",""),"%%c","t"),"ø","t"),"φ","t"),"f","t"),"d","t")</f>
        <v/>
      </c>
      <c r="E96">
        <f>SUBSTITUTE(SUBSTITUTE(SUBSTITUTE(SUBSTITUTE(SUBSTITUTE(SUBSTITUTE(LOWER(IF(ISNUMBER(FIND(";",E22)),LEFT(E22,FIND(";",E22)-1),E22))," ",""),"%%c","t"),"ø","t"),"φ","t"),"f","t"),"d","t")</f>
        <v/>
      </c>
      <c r="F96">
        <f>SUBSTITUTE(SUBSTITUTE(SUBSTITUTE(SUBSTITUTE(SUBSTITUTE(SUBSTITUTE(LOWER(IF(ISNUMBER(FIND(";",F22)),LEFT(F22,FIND(";",F22)-1),F22))," ",""),"%%c","t"),"ø","t"),"φ","t"),"f","t"),"d","t")</f>
        <v/>
      </c>
      <c r="G96">
        <f>SUBSTITUTE(SUBSTITUTE(SUBSTITUTE(SUBSTITUTE(SUBSTITUTE(SUBSTITUTE(LOWER(IF(ISNUMBER(FIND(";",G22)),LEFT(G22,FIND(";",G22)-1),G22))," ",""),"%%c","t"),"ø","t"),"φ","t"),"f","t"),"d","t")</f>
        <v/>
      </c>
      <c r="H96">
        <f>SUBSTITUTE(SUBSTITUTE(SUBSTITUTE(SUBSTITUTE(SUBSTITUTE(SUBSTITUTE(LOWER(IF(ISNUMBER(FIND(";",H22)),LEFT(H22,FIND(";",H22)-1),H22))," ",""),"%%c","t"),"ø","t"),"φ","t"),"f","t"),"d","t")</f>
        <v/>
      </c>
      <c r="I96">
        <f>SUBSTITUTE(SUBSTITUTE(SUBSTITUTE(SUBSTITUTE(SUBSTITUTE(SUBSTITUTE(LOWER(IF(ISNUMBER(FIND(";",I22)),LEFT(I22,FIND(";",I22)-1),I22))," ",""),"%%c","t"),"ø","t"),"φ","t"),"f","t"),"d","t")</f>
        <v/>
      </c>
      <c r="J96">
        <f>SUBSTITUTE(SUBSTITUTE(SUBSTITUTE(SUBSTITUTE(SUBSTITUTE(SUBSTITUTE(LOWER(IF(ISNUMBER(FIND(";",J22)),LEFT(J22,FIND(";",J22)-1),J22))," ",""),"%%c","t"),"ø","t"),"φ","t"),"f","t"),"d","t")</f>
        <v/>
      </c>
      <c r="K96">
        <f>SUBSTITUTE(SUBSTITUTE(SUBSTITUTE(SUBSTITUTE(SUBSTITUTE(SUBSTITUTE(LOWER(IF(ISNUMBER(FIND(";",K22)),LEFT(K22,FIND(";",K22)-1),K22))," ",""),"%%c","t"),"ø","t"),"φ","t"),"f","t"),"d","t")</f>
        <v/>
      </c>
      <c r="L96">
        <f>SUBSTITUTE(SUBSTITUTE(SUBSTITUTE(SUBSTITUTE(SUBSTITUTE(SUBSTITUTE(LOWER(IF(ISNUMBER(FIND(";",L22)),LEFT(L22,FIND(";",L22)-1),L22))," ",""),"%%c","t"),"ø","t"),"φ","t"),"f","t"),"d","t")</f>
        <v/>
      </c>
      <c r="M96">
        <f>SUBSTITUTE(SUBSTITUTE(SUBSTITUTE(SUBSTITUTE(SUBSTITUTE(SUBSTITUTE(LOWER(IF(ISNUMBER(FIND(";",M22)),LEFT(M22,FIND(";",M22)-1),M22))," ",""),"%%c","t"),"ø","t"),"φ","t"),"f","t"),"d","t")</f>
        <v/>
      </c>
      <c r="N96">
        <f>SUBSTITUTE(SUBSTITUTE(SUBSTITUTE(SUBSTITUTE(SUBSTITUTE(SUBSTITUTE(LOWER(IF(ISNUMBER(FIND(";",N22)),LEFT(N22,FIND(";",N22)-1),N22))," ",""),"%%c","t"),"ø","t"),"φ","t"),"f","t"),"d","t")</f>
        <v/>
      </c>
      <c r="O96">
        <f>SUBSTITUTE(SUBSTITUTE(SUBSTITUTE(SUBSTITUTE(SUBSTITUTE(SUBSTITUTE(LOWER(IF(ISNUMBER(FIND(";",O22)),LEFT(O22,FIND(";",O22)-1),O22))," ",""),"%%c","t"),"ø","t"),"φ","t"),"f","t"),"d","t")</f>
        <v/>
      </c>
      <c r="P96">
        <f>SUBSTITUTE(SUBSTITUTE(SUBSTITUTE(SUBSTITUTE(SUBSTITUTE(SUBSTITUTE(LOWER(IF(ISNUMBER(FIND(";",P22)),LEFT(P22,FIND(";",P22)-1),P22))," ",""),"%%c","t"),"ø","t"),"φ","t"),"f","t"),"d","t")</f>
        <v/>
      </c>
      <c r="Q96">
        <f>SUBSTITUTE(SUBSTITUTE(SUBSTITUTE(SUBSTITUTE(SUBSTITUTE(SUBSTITUTE(LOWER(IF(ISNUMBER(FIND(";",Q22)),LEFT(Q22,FIND(";",Q22)-1),Q22))," ",""),"%%c","t"),"ø","t"),"φ","t"),"f","t"),"d","t")</f>
        <v/>
      </c>
      <c r="R96">
        <f>SUBSTITUTE(SUBSTITUTE(SUBSTITUTE(SUBSTITUTE(SUBSTITUTE(SUBSTITUTE(LOWER(IF(ISNUMBER(FIND(";",R22)),LEFT(R22,FIND(";",R22)-1),R22))," ",""),"%%c","t"),"ø","t"),"φ","t"),"f","t"),"d","t")</f>
        <v/>
      </c>
      <c r="S96">
        <f>SUBSTITUTE(SUBSTITUTE(SUBSTITUTE(SUBSTITUTE(SUBSTITUTE(SUBSTITUTE(LOWER(IF(ISNUMBER(FIND(";",S22)),LEFT(S22,FIND(";",S22)-1),S22))," ",""),"%%c","t"),"ø","t"),"φ","t"),"f","t"),"d","t")</f>
        <v/>
      </c>
      <c r="T96">
        <f>SUBSTITUTE(SUBSTITUTE(SUBSTITUTE(SUBSTITUTE(SUBSTITUTE(SUBSTITUTE(LOWER(IF(ISNUMBER(FIND(";",T22)),LEFT(T22,FIND(";",T22)-1),T22))," ",""),"%%c","t"),"ø","t"),"φ","t"),"f","t"),"d","t")</f>
        <v/>
      </c>
      <c r="U96">
        <f>SUBSTITUTE(SUBSTITUTE(SUBSTITUTE(SUBSTITUTE(SUBSTITUTE(SUBSTITUTE(LOWER(IF(ISNUMBER(FIND(";",U22)),LEFT(U22,FIND(";",U22)-1),U22))," ",""),"%%c","t"),"ø","t"),"φ","t"),"f","t"),"d","t")</f>
        <v/>
      </c>
      <c r="V96">
        <f>SUBSTITUTE(SUBSTITUTE(SUBSTITUTE(SUBSTITUTE(SUBSTITUTE(SUBSTITUTE(LOWER(IF(ISNUMBER(FIND(";",V22)),LEFT(V22,FIND(";",V22)-1),V22))," ",""),"%%c","t"),"ø","t"),"φ","t"),"f","t"),"d","t")</f>
        <v/>
      </c>
      <c r="W96">
        <f>SUBSTITUTE(SUBSTITUTE(SUBSTITUTE(SUBSTITUTE(SUBSTITUTE(SUBSTITUTE(LOWER(IF(ISNUMBER(FIND(";",W22)),LEFT(W22,FIND(";",W22)-1),W22))," ",""),"%%c","t"),"ø","t"),"φ","t"),"f","t"),"d","t")</f>
        <v/>
      </c>
      <c r="X96">
        <f>SUBSTITUTE(SUBSTITUTE(SUBSTITUTE(SUBSTITUTE(SUBSTITUTE(SUBSTITUTE(LOWER(IF(ISNUMBER(FIND(";",X22)),LEFT(X22,FIND(";",X22)-1),X22))," ",""),"%%c","t"),"ø","t"),"φ","t"),"f","t"),"d","t")</f>
        <v/>
      </c>
      <c r="Y96">
        <f>SUBSTITUTE(SUBSTITUTE(SUBSTITUTE(SUBSTITUTE(SUBSTITUTE(SUBSTITUTE(LOWER(IF(ISNUMBER(FIND(";",Y22)),LEFT(Y22,FIND(";",Y22)-1),Y22))," ",""),"%%c","t"),"ø","t"),"φ","t"),"f","t"),"d","t")</f>
        <v/>
      </c>
      <c r="Z96">
        <f>SUBSTITUTE(SUBSTITUTE(SUBSTITUTE(SUBSTITUTE(SUBSTITUTE(SUBSTITUTE(LOWER(IF(ISNUMBER(FIND(";",Z22)),LEFT(Z22,FIND(";",Z22)-1),Z22))," ",""),"%%c","t"),"ø","t"),"φ","t"),"f","t"),"d","t")</f>
        <v/>
      </c>
      <c r="AA96">
        <f>SUBSTITUTE(SUBSTITUTE(SUBSTITUTE(SUBSTITUTE(SUBSTITUTE(SUBSTITUTE(LOWER(IF(ISNUMBER(FIND(";",AA22)),LEFT(AA22,FIND(";",AA22)-1),AA22))," ",""),"%%c","t"),"ø","t"),"φ","t"),"f","t"),"d","t")</f>
        <v/>
      </c>
      <c r="AB96">
        <f>SUBSTITUTE(SUBSTITUTE(SUBSTITUTE(SUBSTITUTE(SUBSTITUTE(SUBSTITUTE(LOWER(IF(ISNUMBER(FIND(";",AB22)),LEFT(AB22,FIND(";",AB22)-1),AB22))," ",""),"%%c","t"),"ø","t"),"φ","t"),"f","t"),"d","t")</f>
        <v/>
      </c>
      <c r="AC96">
        <f>SUBSTITUTE(SUBSTITUTE(SUBSTITUTE(SUBSTITUTE(SUBSTITUTE(SUBSTITUTE(LOWER(IF(ISNUMBER(FIND(";",AC22)),LEFT(AC22,FIND(";",AC22)-1),AC22))," ",""),"%%c","t"),"ø","t"),"φ","t"),"f","t"),"d","t")</f>
        <v/>
      </c>
      <c r="AD96">
        <f>SUBSTITUTE(SUBSTITUTE(SUBSTITUTE(SUBSTITUTE(SUBSTITUTE(SUBSTITUTE(LOWER(IF(ISNUMBER(FIND(";",AD22)),LEFT(AD22,FIND(";",AD22)-1),AD22))," ",""),"%%c","t"),"ø","t"),"φ","t"),"f","t"),"d","t")</f>
        <v/>
      </c>
      <c r="AE96">
        <f>SUBSTITUTE(SUBSTITUTE(SUBSTITUTE(SUBSTITUTE(SUBSTITUTE(SUBSTITUTE(LOWER(IF(ISNUMBER(FIND(";",AE22)),LEFT(AE22,FIND(";",AE22)-1),AE22))," ",""),"%%c","t"),"ø","t"),"φ","t"),"f","t"),"d","t")</f>
        <v/>
      </c>
      <c r="AF96">
        <f>SUBSTITUTE(SUBSTITUTE(SUBSTITUTE(SUBSTITUTE(SUBSTITUTE(SUBSTITUTE(LOWER(IF(ISNUMBER(FIND(";",AF22)),LEFT(AF22,FIND(";",AF22)-1),AF22))," ",""),"%%c","t"),"ø","t"),"φ","t"),"f","t"),"d","t")</f>
        <v/>
      </c>
      <c r="AG96">
        <f>SUBSTITUTE(SUBSTITUTE(SUBSTITUTE(SUBSTITUTE(SUBSTITUTE(SUBSTITUTE(LOWER(IF(ISNUMBER(FIND(";",AG22)),LEFT(AG22,FIND(";",AG22)-1),AG22))," ",""),"%%c","t"),"ø","t"),"φ","t"),"f","t"),"d","t")</f>
        <v/>
      </c>
    </row>
    <row r="97" hidden="1" outlineLevel="1">
      <c r="A97" s="60" t="inlineStr">
        <is>
          <t>(phụ trợ) A_B1L</t>
        </is>
      </c>
      <c r="C97">
        <f>IFERROR(LEFT(LEFT(C96,FIND("+",C96&amp;"+")-1),FIND("t",LEFT(C96,FIND("+",C96&amp;"+")-1))-1)*MID(LEFT(C96,FIND("+",C96&amp;"+")-1),FIND("t",LEFT(C96,FIND("+",C96&amp;"+")-1))+1,2)^2*PI()/400,0)+IFERROR(LEFT(MID(C96,FIND("+",C96&amp;"+")+1,99),FIND("t",MID(C96,FIND("+",C96&amp;"+")+1,99))-1)*MID(MID(C96,FIND("+",C96&amp;"+")+1,99),FIND("t",MID(C96,FIND("+",C96&amp;"+")+1,99))+1,2)^2*PI()/400,0)</f>
        <v/>
      </c>
      <c r="D97">
        <f>IFERROR(LEFT(LEFT(D96,FIND("+",D96&amp;"+")-1),FIND("t",LEFT(D96,FIND("+",D96&amp;"+")-1))-1)*MID(LEFT(D96,FIND("+",D96&amp;"+")-1),FIND("t",LEFT(D96,FIND("+",D96&amp;"+")-1))+1,2)^2*PI()/400,0)+IFERROR(LEFT(MID(D96,FIND("+",D96&amp;"+")+1,99),FIND("t",MID(D96,FIND("+",D96&amp;"+")+1,99))-1)*MID(MID(D96,FIND("+",D96&amp;"+")+1,99),FIND("t",MID(D96,FIND("+",D96&amp;"+")+1,99))+1,2)^2*PI()/400,0)</f>
        <v/>
      </c>
      <c r="E97">
        <f>IFERROR(LEFT(LEFT(E96,FIND("+",E96&amp;"+")-1),FIND("t",LEFT(E96,FIND("+",E96&amp;"+")-1))-1)*MID(LEFT(E96,FIND("+",E96&amp;"+")-1),FIND("t",LEFT(E96,FIND("+",E96&amp;"+")-1))+1,2)^2*PI()/400,0)+IFERROR(LEFT(MID(E96,FIND("+",E96&amp;"+")+1,99),FIND("t",MID(E96,FIND("+",E96&amp;"+")+1,99))-1)*MID(MID(E96,FIND("+",E96&amp;"+")+1,99),FIND("t",MID(E96,FIND("+",E96&amp;"+")+1,99))+1,2)^2*PI()/400,0)</f>
        <v/>
      </c>
      <c r="F97">
        <f>IFERROR(LEFT(LEFT(F96,FIND("+",F96&amp;"+")-1),FIND("t",LEFT(F96,FIND("+",F96&amp;"+")-1))-1)*MID(LEFT(F96,FIND("+",F96&amp;"+")-1),FIND("t",LEFT(F96,FIND("+",F96&amp;"+")-1))+1,2)^2*PI()/400,0)+IFERROR(LEFT(MID(F96,FIND("+",F96&amp;"+")+1,99),FIND("t",MID(F96,FIND("+",F96&amp;"+")+1,99))-1)*MID(MID(F96,FIND("+",F96&amp;"+")+1,99),FIND("t",MID(F96,FIND("+",F96&amp;"+")+1,99))+1,2)^2*PI()/400,0)</f>
        <v/>
      </c>
      <c r="G97">
        <f>IFERROR(LEFT(LEFT(G96,FIND("+",G96&amp;"+")-1),FIND("t",LEFT(G96,FIND("+",G96&amp;"+")-1))-1)*MID(LEFT(G96,FIND("+",G96&amp;"+")-1),FIND("t",LEFT(G96,FIND("+",G96&amp;"+")-1))+1,2)^2*PI()/400,0)+IFERROR(LEFT(MID(G96,FIND("+",G96&amp;"+")+1,99),FIND("t",MID(G96,FIND("+",G96&amp;"+")+1,99))-1)*MID(MID(G96,FIND("+",G96&amp;"+")+1,99),FIND("t",MID(G96,FIND("+",G96&amp;"+")+1,99))+1,2)^2*PI()/400,0)</f>
        <v/>
      </c>
      <c r="H97">
        <f>IFERROR(LEFT(LEFT(H96,FIND("+",H96&amp;"+")-1),FIND("t",LEFT(H96,FIND("+",H96&amp;"+")-1))-1)*MID(LEFT(H96,FIND("+",H96&amp;"+")-1),FIND("t",LEFT(H96,FIND("+",H96&amp;"+")-1))+1,2)^2*PI()/400,0)+IFERROR(LEFT(MID(H96,FIND("+",H96&amp;"+")+1,99),FIND("t",MID(H96,FIND("+",H96&amp;"+")+1,99))-1)*MID(MID(H96,FIND("+",H96&amp;"+")+1,99),FIND("t",MID(H96,FIND("+",H96&amp;"+")+1,99))+1,2)^2*PI()/400,0)</f>
        <v/>
      </c>
      <c r="I97">
        <f>IFERROR(LEFT(LEFT(I96,FIND("+",I96&amp;"+")-1),FIND("t",LEFT(I96,FIND("+",I96&amp;"+")-1))-1)*MID(LEFT(I96,FIND("+",I96&amp;"+")-1),FIND("t",LEFT(I96,FIND("+",I96&amp;"+")-1))+1,2)^2*PI()/400,0)+IFERROR(LEFT(MID(I96,FIND("+",I96&amp;"+")+1,99),FIND("t",MID(I96,FIND("+",I96&amp;"+")+1,99))-1)*MID(MID(I96,FIND("+",I96&amp;"+")+1,99),FIND("t",MID(I96,FIND("+",I96&amp;"+")+1,99))+1,2)^2*PI()/400,0)</f>
        <v/>
      </c>
      <c r="J97">
        <f>IFERROR(LEFT(LEFT(J96,FIND("+",J96&amp;"+")-1),FIND("t",LEFT(J96,FIND("+",J96&amp;"+")-1))-1)*MID(LEFT(J96,FIND("+",J96&amp;"+")-1),FIND("t",LEFT(J96,FIND("+",J96&amp;"+")-1))+1,2)^2*PI()/400,0)+IFERROR(LEFT(MID(J96,FIND("+",J96&amp;"+")+1,99),FIND("t",MID(J96,FIND("+",J96&amp;"+")+1,99))-1)*MID(MID(J96,FIND("+",J96&amp;"+")+1,99),FIND("t",MID(J96,FIND("+",J96&amp;"+")+1,99))+1,2)^2*PI()/400,0)</f>
        <v/>
      </c>
      <c r="K97">
        <f>IFERROR(LEFT(LEFT(K96,FIND("+",K96&amp;"+")-1),FIND("t",LEFT(K96,FIND("+",K96&amp;"+")-1))-1)*MID(LEFT(K96,FIND("+",K96&amp;"+")-1),FIND("t",LEFT(K96,FIND("+",K96&amp;"+")-1))+1,2)^2*PI()/400,0)+IFERROR(LEFT(MID(K96,FIND("+",K96&amp;"+")+1,99),FIND("t",MID(K96,FIND("+",K96&amp;"+")+1,99))-1)*MID(MID(K96,FIND("+",K96&amp;"+")+1,99),FIND("t",MID(K96,FIND("+",K96&amp;"+")+1,99))+1,2)^2*PI()/400,0)</f>
        <v/>
      </c>
      <c r="L97">
        <f>IFERROR(LEFT(LEFT(L96,FIND("+",L96&amp;"+")-1),FIND("t",LEFT(L96,FIND("+",L96&amp;"+")-1))-1)*MID(LEFT(L96,FIND("+",L96&amp;"+")-1),FIND("t",LEFT(L96,FIND("+",L96&amp;"+")-1))+1,2)^2*PI()/400,0)+IFERROR(LEFT(MID(L96,FIND("+",L96&amp;"+")+1,99),FIND("t",MID(L96,FIND("+",L96&amp;"+")+1,99))-1)*MID(MID(L96,FIND("+",L96&amp;"+")+1,99),FIND("t",MID(L96,FIND("+",L96&amp;"+")+1,99))+1,2)^2*PI()/400,0)</f>
        <v/>
      </c>
      <c r="M97">
        <f>IFERROR(LEFT(LEFT(M96,FIND("+",M96&amp;"+")-1),FIND("t",LEFT(M96,FIND("+",M96&amp;"+")-1))-1)*MID(LEFT(M96,FIND("+",M96&amp;"+")-1),FIND("t",LEFT(M96,FIND("+",M96&amp;"+")-1))+1,2)^2*PI()/400,0)+IFERROR(LEFT(MID(M96,FIND("+",M96&amp;"+")+1,99),FIND("t",MID(M96,FIND("+",M96&amp;"+")+1,99))-1)*MID(MID(M96,FIND("+",M96&amp;"+")+1,99),FIND("t",MID(M96,FIND("+",M96&amp;"+")+1,99))+1,2)^2*PI()/400,0)</f>
        <v/>
      </c>
      <c r="N97">
        <f>IFERROR(LEFT(LEFT(N96,FIND("+",N96&amp;"+")-1),FIND("t",LEFT(N96,FIND("+",N96&amp;"+")-1))-1)*MID(LEFT(N96,FIND("+",N96&amp;"+")-1),FIND("t",LEFT(N96,FIND("+",N96&amp;"+")-1))+1,2)^2*PI()/400,0)+IFERROR(LEFT(MID(N96,FIND("+",N96&amp;"+")+1,99),FIND("t",MID(N96,FIND("+",N96&amp;"+")+1,99))-1)*MID(MID(N96,FIND("+",N96&amp;"+")+1,99),FIND("t",MID(N96,FIND("+",N96&amp;"+")+1,99))+1,2)^2*PI()/400,0)</f>
        <v/>
      </c>
      <c r="O97">
        <f>IFERROR(LEFT(LEFT(O96,FIND("+",O96&amp;"+")-1),FIND("t",LEFT(O96,FIND("+",O96&amp;"+")-1))-1)*MID(LEFT(O96,FIND("+",O96&amp;"+")-1),FIND("t",LEFT(O96,FIND("+",O96&amp;"+")-1))+1,2)^2*PI()/400,0)+IFERROR(LEFT(MID(O96,FIND("+",O96&amp;"+")+1,99),FIND("t",MID(O96,FIND("+",O96&amp;"+")+1,99))-1)*MID(MID(O96,FIND("+",O96&amp;"+")+1,99),FIND("t",MID(O96,FIND("+",O96&amp;"+")+1,99))+1,2)^2*PI()/400,0)</f>
        <v/>
      </c>
      <c r="P97">
        <f>IFERROR(LEFT(LEFT(P96,FIND("+",P96&amp;"+")-1),FIND("t",LEFT(P96,FIND("+",P96&amp;"+")-1))-1)*MID(LEFT(P96,FIND("+",P96&amp;"+")-1),FIND("t",LEFT(P96,FIND("+",P96&amp;"+")-1))+1,2)^2*PI()/400,0)+IFERROR(LEFT(MID(P96,FIND("+",P96&amp;"+")+1,99),FIND("t",MID(P96,FIND("+",P96&amp;"+")+1,99))-1)*MID(MID(P96,FIND("+",P96&amp;"+")+1,99),FIND("t",MID(P96,FIND("+",P96&amp;"+")+1,99))+1,2)^2*PI()/400,0)</f>
        <v/>
      </c>
      <c r="Q97">
        <f>IFERROR(LEFT(LEFT(Q96,FIND("+",Q96&amp;"+")-1),FIND("t",LEFT(Q96,FIND("+",Q96&amp;"+")-1))-1)*MID(LEFT(Q96,FIND("+",Q96&amp;"+")-1),FIND("t",LEFT(Q96,FIND("+",Q96&amp;"+")-1))+1,2)^2*PI()/400,0)+IFERROR(LEFT(MID(Q96,FIND("+",Q96&amp;"+")+1,99),FIND("t",MID(Q96,FIND("+",Q96&amp;"+")+1,99))-1)*MID(MID(Q96,FIND("+",Q96&amp;"+")+1,99),FIND("t",MID(Q96,FIND("+",Q96&amp;"+")+1,99))+1,2)^2*PI()/400,0)</f>
        <v/>
      </c>
      <c r="R97">
        <f>IFERROR(LEFT(LEFT(R96,FIND("+",R96&amp;"+")-1),FIND("t",LEFT(R96,FIND("+",R96&amp;"+")-1))-1)*MID(LEFT(R96,FIND("+",R96&amp;"+")-1),FIND("t",LEFT(R96,FIND("+",R96&amp;"+")-1))+1,2)^2*PI()/400,0)+IFERROR(LEFT(MID(R96,FIND("+",R96&amp;"+")+1,99),FIND("t",MID(R96,FIND("+",R96&amp;"+")+1,99))-1)*MID(MID(R96,FIND("+",R96&amp;"+")+1,99),FIND("t",MID(R96,FIND("+",R96&amp;"+")+1,99))+1,2)^2*PI()/400,0)</f>
        <v/>
      </c>
      <c r="S97">
        <f>IFERROR(LEFT(LEFT(S96,FIND("+",S96&amp;"+")-1),FIND("t",LEFT(S96,FIND("+",S96&amp;"+")-1))-1)*MID(LEFT(S96,FIND("+",S96&amp;"+")-1),FIND("t",LEFT(S96,FIND("+",S96&amp;"+")-1))+1,2)^2*PI()/400,0)+IFERROR(LEFT(MID(S96,FIND("+",S96&amp;"+")+1,99),FIND("t",MID(S96,FIND("+",S96&amp;"+")+1,99))-1)*MID(MID(S96,FIND("+",S96&amp;"+")+1,99),FIND("t",MID(S96,FIND("+",S96&amp;"+")+1,99))+1,2)^2*PI()/400,0)</f>
        <v/>
      </c>
      <c r="T97">
        <f>IFERROR(LEFT(LEFT(T96,FIND("+",T96&amp;"+")-1),FIND("t",LEFT(T96,FIND("+",T96&amp;"+")-1))-1)*MID(LEFT(T96,FIND("+",T96&amp;"+")-1),FIND("t",LEFT(T96,FIND("+",T96&amp;"+")-1))+1,2)^2*PI()/400,0)+IFERROR(LEFT(MID(T96,FIND("+",T96&amp;"+")+1,99),FIND("t",MID(T96,FIND("+",T96&amp;"+")+1,99))-1)*MID(MID(T96,FIND("+",T96&amp;"+")+1,99),FIND("t",MID(T96,FIND("+",T96&amp;"+")+1,99))+1,2)^2*PI()/400,0)</f>
        <v/>
      </c>
      <c r="U97">
        <f>IFERROR(LEFT(LEFT(U96,FIND("+",U96&amp;"+")-1),FIND("t",LEFT(U96,FIND("+",U96&amp;"+")-1))-1)*MID(LEFT(U96,FIND("+",U96&amp;"+")-1),FIND("t",LEFT(U96,FIND("+",U96&amp;"+")-1))+1,2)^2*PI()/400,0)+IFERROR(LEFT(MID(U96,FIND("+",U96&amp;"+")+1,99),FIND("t",MID(U96,FIND("+",U96&amp;"+")+1,99))-1)*MID(MID(U96,FIND("+",U96&amp;"+")+1,99),FIND("t",MID(U96,FIND("+",U96&amp;"+")+1,99))+1,2)^2*PI()/400,0)</f>
        <v/>
      </c>
      <c r="V97">
        <f>IFERROR(LEFT(LEFT(V96,FIND("+",V96&amp;"+")-1),FIND("t",LEFT(V96,FIND("+",V96&amp;"+")-1))-1)*MID(LEFT(V96,FIND("+",V96&amp;"+")-1),FIND("t",LEFT(V96,FIND("+",V96&amp;"+")-1))+1,2)^2*PI()/400,0)+IFERROR(LEFT(MID(V96,FIND("+",V96&amp;"+")+1,99),FIND("t",MID(V96,FIND("+",V96&amp;"+")+1,99))-1)*MID(MID(V96,FIND("+",V96&amp;"+")+1,99),FIND("t",MID(V96,FIND("+",V96&amp;"+")+1,99))+1,2)^2*PI()/400,0)</f>
        <v/>
      </c>
      <c r="W97">
        <f>IFERROR(LEFT(LEFT(W96,FIND("+",W96&amp;"+")-1),FIND("t",LEFT(W96,FIND("+",W96&amp;"+")-1))-1)*MID(LEFT(W96,FIND("+",W96&amp;"+")-1),FIND("t",LEFT(W96,FIND("+",W96&amp;"+")-1))+1,2)^2*PI()/400,0)+IFERROR(LEFT(MID(W96,FIND("+",W96&amp;"+")+1,99),FIND("t",MID(W96,FIND("+",W96&amp;"+")+1,99))-1)*MID(MID(W96,FIND("+",W96&amp;"+")+1,99),FIND("t",MID(W96,FIND("+",W96&amp;"+")+1,99))+1,2)^2*PI()/400,0)</f>
        <v/>
      </c>
      <c r="X97">
        <f>IFERROR(LEFT(LEFT(X96,FIND("+",X96&amp;"+")-1),FIND("t",LEFT(X96,FIND("+",X96&amp;"+")-1))-1)*MID(LEFT(X96,FIND("+",X96&amp;"+")-1),FIND("t",LEFT(X96,FIND("+",X96&amp;"+")-1))+1,2)^2*PI()/400,0)+IFERROR(LEFT(MID(X96,FIND("+",X96&amp;"+")+1,99),FIND("t",MID(X96,FIND("+",X96&amp;"+")+1,99))-1)*MID(MID(X96,FIND("+",X96&amp;"+")+1,99),FIND("t",MID(X96,FIND("+",X96&amp;"+")+1,99))+1,2)^2*PI()/400,0)</f>
        <v/>
      </c>
      <c r="Y97">
        <f>IFERROR(LEFT(LEFT(Y96,FIND("+",Y96&amp;"+")-1),FIND("t",LEFT(Y96,FIND("+",Y96&amp;"+")-1))-1)*MID(LEFT(Y96,FIND("+",Y96&amp;"+")-1),FIND("t",LEFT(Y96,FIND("+",Y96&amp;"+")-1))+1,2)^2*PI()/400,0)+IFERROR(LEFT(MID(Y96,FIND("+",Y96&amp;"+")+1,99),FIND("t",MID(Y96,FIND("+",Y96&amp;"+")+1,99))-1)*MID(MID(Y96,FIND("+",Y96&amp;"+")+1,99),FIND("t",MID(Y96,FIND("+",Y96&amp;"+")+1,99))+1,2)^2*PI()/400,0)</f>
        <v/>
      </c>
      <c r="Z97">
        <f>IFERROR(LEFT(LEFT(Z96,FIND("+",Z96&amp;"+")-1),FIND("t",LEFT(Z96,FIND("+",Z96&amp;"+")-1))-1)*MID(LEFT(Z96,FIND("+",Z96&amp;"+")-1),FIND("t",LEFT(Z96,FIND("+",Z96&amp;"+")-1))+1,2)^2*PI()/400,0)+IFERROR(LEFT(MID(Z96,FIND("+",Z96&amp;"+")+1,99),FIND("t",MID(Z96,FIND("+",Z96&amp;"+")+1,99))-1)*MID(MID(Z96,FIND("+",Z96&amp;"+")+1,99),FIND("t",MID(Z96,FIND("+",Z96&amp;"+")+1,99))+1,2)^2*PI()/400,0)</f>
        <v/>
      </c>
      <c r="AA97">
        <f>IFERROR(LEFT(LEFT(AA96,FIND("+",AA96&amp;"+")-1),FIND("t",LEFT(AA96,FIND("+",AA96&amp;"+")-1))-1)*MID(LEFT(AA96,FIND("+",AA96&amp;"+")-1),FIND("t",LEFT(AA96,FIND("+",AA96&amp;"+")-1))+1,2)^2*PI()/400,0)+IFERROR(LEFT(MID(AA96,FIND("+",AA96&amp;"+")+1,99),FIND("t",MID(AA96,FIND("+",AA96&amp;"+")+1,99))-1)*MID(MID(AA96,FIND("+",AA96&amp;"+")+1,99),FIND("t",MID(AA96,FIND("+",AA96&amp;"+")+1,99))+1,2)^2*PI()/400,0)</f>
        <v/>
      </c>
      <c r="AB97">
        <f>IFERROR(LEFT(LEFT(AB96,FIND("+",AB96&amp;"+")-1),FIND("t",LEFT(AB96,FIND("+",AB96&amp;"+")-1))-1)*MID(LEFT(AB96,FIND("+",AB96&amp;"+")-1),FIND("t",LEFT(AB96,FIND("+",AB96&amp;"+")-1))+1,2)^2*PI()/400,0)+IFERROR(LEFT(MID(AB96,FIND("+",AB96&amp;"+")+1,99),FIND("t",MID(AB96,FIND("+",AB96&amp;"+")+1,99))-1)*MID(MID(AB96,FIND("+",AB96&amp;"+")+1,99),FIND("t",MID(AB96,FIND("+",AB96&amp;"+")+1,99))+1,2)^2*PI()/400,0)</f>
        <v/>
      </c>
      <c r="AC97">
        <f>IFERROR(LEFT(LEFT(AC96,FIND("+",AC96&amp;"+")-1),FIND("t",LEFT(AC96,FIND("+",AC96&amp;"+")-1))-1)*MID(LEFT(AC96,FIND("+",AC96&amp;"+")-1),FIND("t",LEFT(AC96,FIND("+",AC96&amp;"+")-1))+1,2)^2*PI()/400,0)+IFERROR(LEFT(MID(AC96,FIND("+",AC96&amp;"+")+1,99),FIND("t",MID(AC96,FIND("+",AC96&amp;"+")+1,99))-1)*MID(MID(AC96,FIND("+",AC96&amp;"+")+1,99),FIND("t",MID(AC96,FIND("+",AC96&amp;"+")+1,99))+1,2)^2*PI()/400,0)</f>
        <v/>
      </c>
      <c r="AD97">
        <f>IFERROR(LEFT(LEFT(AD96,FIND("+",AD96&amp;"+")-1),FIND("t",LEFT(AD96,FIND("+",AD96&amp;"+")-1))-1)*MID(LEFT(AD96,FIND("+",AD96&amp;"+")-1),FIND("t",LEFT(AD96,FIND("+",AD96&amp;"+")-1))+1,2)^2*PI()/400,0)+IFERROR(LEFT(MID(AD96,FIND("+",AD96&amp;"+")+1,99),FIND("t",MID(AD96,FIND("+",AD96&amp;"+")+1,99))-1)*MID(MID(AD96,FIND("+",AD96&amp;"+")+1,99),FIND("t",MID(AD96,FIND("+",AD96&amp;"+")+1,99))+1,2)^2*PI()/400,0)</f>
        <v/>
      </c>
      <c r="AE97">
        <f>IFERROR(LEFT(LEFT(AE96,FIND("+",AE96&amp;"+")-1),FIND("t",LEFT(AE96,FIND("+",AE96&amp;"+")-1))-1)*MID(LEFT(AE96,FIND("+",AE96&amp;"+")-1),FIND("t",LEFT(AE96,FIND("+",AE96&amp;"+")-1))+1,2)^2*PI()/400,0)+IFERROR(LEFT(MID(AE96,FIND("+",AE96&amp;"+")+1,99),FIND("t",MID(AE96,FIND("+",AE96&amp;"+")+1,99))-1)*MID(MID(AE96,FIND("+",AE96&amp;"+")+1,99),FIND("t",MID(AE96,FIND("+",AE96&amp;"+")+1,99))+1,2)^2*PI()/400,0)</f>
        <v/>
      </c>
      <c r="AF97">
        <f>IFERROR(LEFT(LEFT(AF96,FIND("+",AF96&amp;"+")-1),FIND("t",LEFT(AF96,FIND("+",AF96&amp;"+")-1))-1)*MID(LEFT(AF96,FIND("+",AF96&amp;"+")-1),FIND("t",LEFT(AF96,FIND("+",AF96&amp;"+")-1))+1,2)^2*PI()/400,0)+IFERROR(LEFT(MID(AF96,FIND("+",AF96&amp;"+")+1,99),FIND("t",MID(AF96,FIND("+",AF96&amp;"+")+1,99))-1)*MID(MID(AF96,FIND("+",AF96&amp;"+")+1,99),FIND("t",MID(AF96,FIND("+",AF96&amp;"+")+1,99))+1,2)^2*PI()/400,0)</f>
        <v/>
      </c>
      <c r="AG97">
        <f>IFERROR(LEFT(LEFT(AG96,FIND("+",AG96&amp;"+")-1),FIND("t",LEFT(AG96,FIND("+",AG96&amp;"+")-1))-1)*MID(LEFT(AG96,FIND("+",AG96&amp;"+")-1),FIND("t",LEFT(AG96,FIND("+",AG96&amp;"+")-1))+1,2)^2*PI()/400,0)+IFERROR(LEFT(MID(AG96,FIND("+",AG96&amp;"+")+1,99),FIND("t",MID(AG96,FIND("+",AG96&amp;"+")+1,99))-1)*MID(MID(AG96,FIND("+",AG96&amp;"+")+1,99),FIND("t",MID(AG96,FIND("+",AG96&amp;"+")+1,99))+1,2)^2*PI()/400,0)</f>
        <v/>
      </c>
    </row>
    <row r="98" hidden="1" outlineLevel="1">
      <c r="A98" s="60" t="inlineStr">
        <is>
          <t>(phụ trợ) N_B1R</t>
        </is>
      </c>
      <c r="C98">
        <f>SUBSTITUTE(SUBSTITUTE(SUBSTITUTE(SUBSTITUTE(SUBSTITUTE(SUBSTITUTE(LOWER(IF(ISNUMBER(FIND(";",C22)),MID(C22,FIND(";",C22)+1,99),C22))," ",""),"%%c","t"),"ø","t"),"φ","t"),"f","t"),"d","t")</f>
        <v/>
      </c>
      <c r="D98">
        <f>SUBSTITUTE(SUBSTITUTE(SUBSTITUTE(SUBSTITUTE(SUBSTITUTE(SUBSTITUTE(LOWER(IF(ISNUMBER(FIND(";",D22)),MID(D22,FIND(";",D22)+1,99),D22))," ",""),"%%c","t"),"ø","t"),"φ","t"),"f","t"),"d","t")</f>
        <v/>
      </c>
      <c r="E98">
        <f>SUBSTITUTE(SUBSTITUTE(SUBSTITUTE(SUBSTITUTE(SUBSTITUTE(SUBSTITUTE(LOWER(IF(ISNUMBER(FIND(";",E22)),MID(E22,FIND(";",E22)+1,99),E22))," ",""),"%%c","t"),"ø","t"),"φ","t"),"f","t"),"d","t")</f>
        <v/>
      </c>
      <c r="F98">
        <f>SUBSTITUTE(SUBSTITUTE(SUBSTITUTE(SUBSTITUTE(SUBSTITUTE(SUBSTITUTE(LOWER(IF(ISNUMBER(FIND(";",F22)),MID(F22,FIND(";",F22)+1,99),F22))," ",""),"%%c","t"),"ø","t"),"φ","t"),"f","t"),"d","t")</f>
        <v/>
      </c>
      <c r="G98">
        <f>SUBSTITUTE(SUBSTITUTE(SUBSTITUTE(SUBSTITUTE(SUBSTITUTE(SUBSTITUTE(LOWER(IF(ISNUMBER(FIND(";",G22)),MID(G22,FIND(";",G22)+1,99),G22))," ",""),"%%c","t"),"ø","t"),"φ","t"),"f","t"),"d","t")</f>
        <v/>
      </c>
      <c r="H98">
        <f>SUBSTITUTE(SUBSTITUTE(SUBSTITUTE(SUBSTITUTE(SUBSTITUTE(SUBSTITUTE(LOWER(IF(ISNUMBER(FIND(";",H22)),MID(H22,FIND(";",H22)+1,99),H22))," ",""),"%%c","t"),"ø","t"),"φ","t"),"f","t"),"d","t")</f>
        <v/>
      </c>
      <c r="I98">
        <f>SUBSTITUTE(SUBSTITUTE(SUBSTITUTE(SUBSTITUTE(SUBSTITUTE(SUBSTITUTE(LOWER(IF(ISNUMBER(FIND(";",I22)),MID(I22,FIND(";",I22)+1,99),I22))," ",""),"%%c","t"),"ø","t"),"φ","t"),"f","t"),"d","t")</f>
        <v/>
      </c>
      <c r="J98">
        <f>SUBSTITUTE(SUBSTITUTE(SUBSTITUTE(SUBSTITUTE(SUBSTITUTE(SUBSTITUTE(LOWER(IF(ISNUMBER(FIND(";",J22)),MID(J22,FIND(";",J22)+1,99),J22))," ",""),"%%c","t"),"ø","t"),"φ","t"),"f","t"),"d","t")</f>
        <v/>
      </c>
      <c r="K98">
        <f>SUBSTITUTE(SUBSTITUTE(SUBSTITUTE(SUBSTITUTE(SUBSTITUTE(SUBSTITUTE(LOWER(IF(ISNUMBER(FIND(";",K22)),MID(K22,FIND(";",K22)+1,99),K22))," ",""),"%%c","t"),"ø","t"),"φ","t"),"f","t"),"d","t")</f>
        <v/>
      </c>
      <c r="L98">
        <f>SUBSTITUTE(SUBSTITUTE(SUBSTITUTE(SUBSTITUTE(SUBSTITUTE(SUBSTITUTE(LOWER(IF(ISNUMBER(FIND(";",L22)),MID(L22,FIND(";",L22)+1,99),L22))," ",""),"%%c","t"),"ø","t"),"φ","t"),"f","t"),"d","t")</f>
        <v/>
      </c>
      <c r="M98">
        <f>SUBSTITUTE(SUBSTITUTE(SUBSTITUTE(SUBSTITUTE(SUBSTITUTE(SUBSTITUTE(LOWER(IF(ISNUMBER(FIND(";",M22)),MID(M22,FIND(";",M22)+1,99),M22))," ",""),"%%c","t"),"ø","t"),"φ","t"),"f","t"),"d","t")</f>
        <v/>
      </c>
      <c r="N98">
        <f>SUBSTITUTE(SUBSTITUTE(SUBSTITUTE(SUBSTITUTE(SUBSTITUTE(SUBSTITUTE(LOWER(IF(ISNUMBER(FIND(";",N22)),MID(N22,FIND(";",N22)+1,99),N22))," ",""),"%%c","t"),"ø","t"),"φ","t"),"f","t"),"d","t")</f>
        <v/>
      </c>
      <c r="O98">
        <f>SUBSTITUTE(SUBSTITUTE(SUBSTITUTE(SUBSTITUTE(SUBSTITUTE(SUBSTITUTE(LOWER(IF(ISNUMBER(FIND(";",O22)),MID(O22,FIND(";",O22)+1,99),O22))," ",""),"%%c","t"),"ø","t"),"φ","t"),"f","t"),"d","t")</f>
        <v/>
      </c>
      <c r="P98">
        <f>SUBSTITUTE(SUBSTITUTE(SUBSTITUTE(SUBSTITUTE(SUBSTITUTE(SUBSTITUTE(LOWER(IF(ISNUMBER(FIND(";",P22)),MID(P22,FIND(";",P22)+1,99),P22))," ",""),"%%c","t"),"ø","t"),"φ","t"),"f","t"),"d","t")</f>
        <v/>
      </c>
      <c r="Q98">
        <f>SUBSTITUTE(SUBSTITUTE(SUBSTITUTE(SUBSTITUTE(SUBSTITUTE(SUBSTITUTE(LOWER(IF(ISNUMBER(FIND(";",Q22)),MID(Q22,FIND(";",Q22)+1,99),Q22))," ",""),"%%c","t"),"ø","t"),"φ","t"),"f","t"),"d","t")</f>
        <v/>
      </c>
      <c r="R98">
        <f>SUBSTITUTE(SUBSTITUTE(SUBSTITUTE(SUBSTITUTE(SUBSTITUTE(SUBSTITUTE(LOWER(IF(ISNUMBER(FIND(";",R22)),MID(R22,FIND(";",R22)+1,99),R22))," ",""),"%%c","t"),"ø","t"),"φ","t"),"f","t"),"d","t")</f>
        <v/>
      </c>
      <c r="S98">
        <f>SUBSTITUTE(SUBSTITUTE(SUBSTITUTE(SUBSTITUTE(SUBSTITUTE(SUBSTITUTE(LOWER(IF(ISNUMBER(FIND(";",S22)),MID(S22,FIND(";",S22)+1,99),S22))," ",""),"%%c","t"),"ø","t"),"φ","t"),"f","t"),"d","t")</f>
        <v/>
      </c>
      <c r="T98">
        <f>SUBSTITUTE(SUBSTITUTE(SUBSTITUTE(SUBSTITUTE(SUBSTITUTE(SUBSTITUTE(LOWER(IF(ISNUMBER(FIND(";",T22)),MID(T22,FIND(";",T22)+1,99),T22))," ",""),"%%c","t"),"ø","t"),"φ","t"),"f","t"),"d","t")</f>
        <v/>
      </c>
      <c r="U98">
        <f>SUBSTITUTE(SUBSTITUTE(SUBSTITUTE(SUBSTITUTE(SUBSTITUTE(SUBSTITUTE(LOWER(IF(ISNUMBER(FIND(";",U22)),MID(U22,FIND(";",U22)+1,99),U22))," ",""),"%%c","t"),"ø","t"),"φ","t"),"f","t"),"d","t")</f>
        <v/>
      </c>
      <c r="V98">
        <f>SUBSTITUTE(SUBSTITUTE(SUBSTITUTE(SUBSTITUTE(SUBSTITUTE(SUBSTITUTE(LOWER(IF(ISNUMBER(FIND(";",V22)),MID(V22,FIND(";",V22)+1,99),V22))," ",""),"%%c","t"),"ø","t"),"φ","t"),"f","t"),"d","t")</f>
        <v/>
      </c>
      <c r="W98">
        <f>SUBSTITUTE(SUBSTITUTE(SUBSTITUTE(SUBSTITUTE(SUBSTITUTE(SUBSTITUTE(LOWER(IF(ISNUMBER(FIND(";",W22)),MID(W22,FIND(";",W22)+1,99),W22))," ",""),"%%c","t"),"ø","t"),"φ","t"),"f","t"),"d","t")</f>
        <v/>
      </c>
      <c r="X98">
        <f>SUBSTITUTE(SUBSTITUTE(SUBSTITUTE(SUBSTITUTE(SUBSTITUTE(SUBSTITUTE(LOWER(IF(ISNUMBER(FIND(";",X22)),MID(X22,FIND(";",X22)+1,99),X22))," ",""),"%%c","t"),"ø","t"),"φ","t"),"f","t"),"d","t")</f>
        <v/>
      </c>
      <c r="Y98">
        <f>SUBSTITUTE(SUBSTITUTE(SUBSTITUTE(SUBSTITUTE(SUBSTITUTE(SUBSTITUTE(LOWER(IF(ISNUMBER(FIND(";",Y22)),MID(Y22,FIND(";",Y22)+1,99),Y22))," ",""),"%%c","t"),"ø","t"),"φ","t"),"f","t"),"d","t")</f>
        <v/>
      </c>
      <c r="Z98">
        <f>SUBSTITUTE(SUBSTITUTE(SUBSTITUTE(SUBSTITUTE(SUBSTITUTE(SUBSTITUTE(LOWER(IF(ISNUMBER(FIND(";",Z22)),MID(Z22,FIND(";",Z22)+1,99),Z22))," ",""),"%%c","t"),"ø","t"),"φ","t"),"f","t"),"d","t")</f>
        <v/>
      </c>
      <c r="AA98">
        <f>SUBSTITUTE(SUBSTITUTE(SUBSTITUTE(SUBSTITUTE(SUBSTITUTE(SUBSTITUTE(LOWER(IF(ISNUMBER(FIND(";",AA22)),MID(AA22,FIND(";",AA22)+1,99),AA22))," ",""),"%%c","t"),"ø","t"),"φ","t"),"f","t"),"d","t")</f>
        <v/>
      </c>
      <c r="AB98">
        <f>SUBSTITUTE(SUBSTITUTE(SUBSTITUTE(SUBSTITUTE(SUBSTITUTE(SUBSTITUTE(LOWER(IF(ISNUMBER(FIND(";",AB22)),MID(AB22,FIND(";",AB22)+1,99),AB22))," ",""),"%%c","t"),"ø","t"),"φ","t"),"f","t"),"d","t")</f>
        <v/>
      </c>
      <c r="AC98">
        <f>SUBSTITUTE(SUBSTITUTE(SUBSTITUTE(SUBSTITUTE(SUBSTITUTE(SUBSTITUTE(LOWER(IF(ISNUMBER(FIND(";",AC22)),MID(AC22,FIND(";",AC22)+1,99),AC22))," ",""),"%%c","t"),"ø","t"),"φ","t"),"f","t"),"d","t")</f>
        <v/>
      </c>
      <c r="AD98">
        <f>SUBSTITUTE(SUBSTITUTE(SUBSTITUTE(SUBSTITUTE(SUBSTITUTE(SUBSTITUTE(LOWER(IF(ISNUMBER(FIND(";",AD22)),MID(AD22,FIND(";",AD22)+1,99),AD22))," ",""),"%%c","t"),"ø","t"),"φ","t"),"f","t"),"d","t")</f>
        <v/>
      </c>
      <c r="AE98">
        <f>SUBSTITUTE(SUBSTITUTE(SUBSTITUTE(SUBSTITUTE(SUBSTITUTE(SUBSTITUTE(LOWER(IF(ISNUMBER(FIND(";",AE22)),MID(AE22,FIND(";",AE22)+1,99),AE22))," ",""),"%%c","t"),"ø","t"),"φ","t"),"f","t"),"d","t")</f>
        <v/>
      </c>
      <c r="AF98">
        <f>SUBSTITUTE(SUBSTITUTE(SUBSTITUTE(SUBSTITUTE(SUBSTITUTE(SUBSTITUTE(LOWER(IF(ISNUMBER(FIND(";",AF22)),MID(AF22,FIND(";",AF22)+1,99),AF22))," ",""),"%%c","t"),"ø","t"),"φ","t"),"f","t"),"d","t")</f>
        <v/>
      </c>
      <c r="AG98">
        <f>SUBSTITUTE(SUBSTITUTE(SUBSTITUTE(SUBSTITUTE(SUBSTITUTE(SUBSTITUTE(LOWER(IF(ISNUMBER(FIND(";",AG22)),MID(AG22,FIND(";",AG22)+1,99),AG22))," ",""),"%%c","t"),"ø","t"),"φ","t"),"f","t"),"d","t")</f>
        <v/>
      </c>
    </row>
    <row r="99" hidden="1" outlineLevel="1">
      <c r="A99" s="60" t="inlineStr">
        <is>
          <t>(phụ trợ) A_B1R</t>
        </is>
      </c>
      <c r="C99">
        <f>IFERROR(LEFT(LEFT(C98,FIND("+",C98&amp;"+")-1),FIND("t",LEFT(C98,FIND("+",C98&amp;"+")-1))-1)*MID(LEFT(C98,FIND("+",C98&amp;"+")-1),FIND("t",LEFT(C98,FIND("+",C98&amp;"+")-1))+1,2)^2*PI()/400,0)+IFERROR(LEFT(MID(C98,FIND("+",C98&amp;"+")+1,99),FIND("t",MID(C98,FIND("+",C98&amp;"+")+1,99))-1)*MID(MID(C98,FIND("+",C98&amp;"+")+1,99),FIND("t",MID(C98,FIND("+",C98&amp;"+")+1,99))+1,2)^2*PI()/400,0)</f>
        <v/>
      </c>
      <c r="D99">
        <f>IFERROR(LEFT(LEFT(D98,FIND("+",D98&amp;"+")-1),FIND("t",LEFT(D98,FIND("+",D98&amp;"+")-1))-1)*MID(LEFT(D98,FIND("+",D98&amp;"+")-1),FIND("t",LEFT(D98,FIND("+",D98&amp;"+")-1))+1,2)^2*PI()/400,0)+IFERROR(LEFT(MID(D98,FIND("+",D98&amp;"+")+1,99),FIND("t",MID(D98,FIND("+",D98&amp;"+")+1,99))-1)*MID(MID(D98,FIND("+",D98&amp;"+")+1,99),FIND("t",MID(D98,FIND("+",D98&amp;"+")+1,99))+1,2)^2*PI()/400,0)</f>
        <v/>
      </c>
      <c r="E99">
        <f>IFERROR(LEFT(LEFT(E98,FIND("+",E98&amp;"+")-1),FIND("t",LEFT(E98,FIND("+",E98&amp;"+")-1))-1)*MID(LEFT(E98,FIND("+",E98&amp;"+")-1),FIND("t",LEFT(E98,FIND("+",E98&amp;"+")-1))+1,2)^2*PI()/400,0)+IFERROR(LEFT(MID(E98,FIND("+",E98&amp;"+")+1,99),FIND("t",MID(E98,FIND("+",E98&amp;"+")+1,99))-1)*MID(MID(E98,FIND("+",E98&amp;"+")+1,99),FIND("t",MID(E98,FIND("+",E98&amp;"+")+1,99))+1,2)^2*PI()/400,0)</f>
        <v/>
      </c>
      <c r="F99">
        <f>IFERROR(LEFT(LEFT(F98,FIND("+",F98&amp;"+")-1),FIND("t",LEFT(F98,FIND("+",F98&amp;"+")-1))-1)*MID(LEFT(F98,FIND("+",F98&amp;"+")-1),FIND("t",LEFT(F98,FIND("+",F98&amp;"+")-1))+1,2)^2*PI()/400,0)+IFERROR(LEFT(MID(F98,FIND("+",F98&amp;"+")+1,99),FIND("t",MID(F98,FIND("+",F98&amp;"+")+1,99))-1)*MID(MID(F98,FIND("+",F98&amp;"+")+1,99),FIND("t",MID(F98,FIND("+",F98&amp;"+")+1,99))+1,2)^2*PI()/400,0)</f>
        <v/>
      </c>
      <c r="G99">
        <f>IFERROR(LEFT(LEFT(G98,FIND("+",G98&amp;"+")-1),FIND("t",LEFT(G98,FIND("+",G98&amp;"+")-1))-1)*MID(LEFT(G98,FIND("+",G98&amp;"+")-1),FIND("t",LEFT(G98,FIND("+",G98&amp;"+")-1))+1,2)^2*PI()/400,0)+IFERROR(LEFT(MID(G98,FIND("+",G98&amp;"+")+1,99),FIND("t",MID(G98,FIND("+",G98&amp;"+")+1,99))-1)*MID(MID(G98,FIND("+",G98&amp;"+")+1,99),FIND("t",MID(G98,FIND("+",G98&amp;"+")+1,99))+1,2)^2*PI()/400,0)</f>
        <v/>
      </c>
      <c r="H99">
        <f>IFERROR(LEFT(LEFT(H98,FIND("+",H98&amp;"+")-1),FIND("t",LEFT(H98,FIND("+",H98&amp;"+")-1))-1)*MID(LEFT(H98,FIND("+",H98&amp;"+")-1),FIND("t",LEFT(H98,FIND("+",H98&amp;"+")-1))+1,2)^2*PI()/400,0)+IFERROR(LEFT(MID(H98,FIND("+",H98&amp;"+")+1,99),FIND("t",MID(H98,FIND("+",H98&amp;"+")+1,99))-1)*MID(MID(H98,FIND("+",H98&amp;"+")+1,99),FIND("t",MID(H98,FIND("+",H98&amp;"+")+1,99))+1,2)^2*PI()/400,0)</f>
        <v/>
      </c>
      <c r="I99">
        <f>IFERROR(LEFT(LEFT(I98,FIND("+",I98&amp;"+")-1),FIND("t",LEFT(I98,FIND("+",I98&amp;"+")-1))-1)*MID(LEFT(I98,FIND("+",I98&amp;"+")-1),FIND("t",LEFT(I98,FIND("+",I98&amp;"+")-1))+1,2)^2*PI()/400,0)+IFERROR(LEFT(MID(I98,FIND("+",I98&amp;"+")+1,99),FIND("t",MID(I98,FIND("+",I98&amp;"+")+1,99))-1)*MID(MID(I98,FIND("+",I98&amp;"+")+1,99),FIND("t",MID(I98,FIND("+",I98&amp;"+")+1,99))+1,2)^2*PI()/400,0)</f>
        <v/>
      </c>
      <c r="J99">
        <f>IFERROR(LEFT(LEFT(J98,FIND("+",J98&amp;"+")-1),FIND("t",LEFT(J98,FIND("+",J98&amp;"+")-1))-1)*MID(LEFT(J98,FIND("+",J98&amp;"+")-1),FIND("t",LEFT(J98,FIND("+",J98&amp;"+")-1))+1,2)^2*PI()/400,0)+IFERROR(LEFT(MID(J98,FIND("+",J98&amp;"+")+1,99),FIND("t",MID(J98,FIND("+",J98&amp;"+")+1,99))-1)*MID(MID(J98,FIND("+",J98&amp;"+")+1,99),FIND("t",MID(J98,FIND("+",J98&amp;"+")+1,99))+1,2)^2*PI()/400,0)</f>
        <v/>
      </c>
      <c r="K99">
        <f>IFERROR(LEFT(LEFT(K98,FIND("+",K98&amp;"+")-1),FIND("t",LEFT(K98,FIND("+",K98&amp;"+")-1))-1)*MID(LEFT(K98,FIND("+",K98&amp;"+")-1),FIND("t",LEFT(K98,FIND("+",K98&amp;"+")-1))+1,2)^2*PI()/400,0)+IFERROR(LEFT(MID(K98,FIND("+",K98&amp;"+")+1,99),FIND("t",MID(K98,FIND("+",K98&amp;"+")+1,99))-1)*MID(MID(K98,FIND("+",K98&amp;"+")+1,99),FIND("t",MID(K98,FIND("+",K98&amp;"+")+1,99))+1,2)^2*PI()/400,0)</f>
        <v/>
      </c>
      <c r="L99">
        <f>IFERROR(LEFT(LEFT(L98,FIND("+",L98&amp;"+")-1),FIND("t",LEFT(L98,FIND("+",L98&amp;"+")-1))-1)*MID(LEFT(L98,FIND("+",L98&amp;"+")-1),FIND("t",LEFT(L98,FIND("+",L98&amp;"+")-1))+1,2)^2*PI()/400,0)+IFERROR(LEFT(MID(L98,FIND("+",L98&amp;"+")+1,99),FIND("t",MID(L98,FIND("+",L98&amp;"+")+1,99))-1)*MID(MID(L98,FIND("+",L98&amp;"+")+1,99),FIND("t",MID(L98,FIND("+",L98&amp;"+")+1,99))+1,2)^2*PI()/400,0)</f>
        <v/>
      </c>
      <c r="M99">
        <f>IFERROR(LEFT(LEFT(M98,FIND("+",M98&amp;"+")-1),FIND("t",LEFT(M98,FIND("+",M98&amp;"+")-1))-1)*MID(LEFT(M98,FIND("+",M98&amp;"+")-1),FIND("t",LEFT(M98,FIND("+",M98&amp;"+")-1))+1,2)^2*PI()/400,0)+IFERROR(LEFT(MID(M98,FIND("+",M98&amp;"+")+1,99),FIND("t",MID(M98,FIND("+",M98&amp;"+")+1,99))-1)*MID(MID(M98,FIND("+",M98&amp;"+")+1,99),FIND("t",MID(M98,FIND("+",M98&amp;"+")+1,99))+1,2)^2*PI()/400,0)</f>
        <v/>
      </c>
      <c r="N99">
        <f>IFERROR(LEFT(LEFT(N98,FIND("+",N98&amp;"+")-1),FIND("t",LEFT(N98,FIND("+",N98&amp;"+")-1))-1)*MID(LEFT(N98,FIND("+",N98&amp;"+")-1),FIND("t",LEFT(N98,FIND("+",N98&amp;"+")-1))+1,2)^2*PI()/400,0)+IFERROR(LEFT(MID(N98,FIND("+",N98&amp;"+")+1,99),FIND("t",MID(N98,FIND("+",N98&amp;"+")+1,99))-1)*MID(MID(N98,FIND("+",N98&amp;"+")+1,99),FIND("t",MID(N98,FIND("+",N98&amp;"+")+1,99))+1,2)^2*PI()/400,0)</f>
        <v/>
      </c>
      <c r="O99">
        <f>IFERROR(LEFT(LEFT(O98,FIND("+",O98&amp;"+")-1),FIND("t",LEFT(O98,FIND("+",O98&amp;"+")-1))-1)*MID(LEFT(O98,FIND("+",O98&amp;"+")-1),FIND("t",LEFT(O98,FIND("+",O98&amp;"+")-1))+1,2)^2*PI()/400,0)+IFERROR(LEFT(MID(O98,FIND("+",O98&amp;"+")+1,99),FIND("t",MID(O98,FIND("+",O98&amp;"+")+1,99))-1)*MID(MID(O98,FIND("+",O98&amp;"+")+1,99),FIND("t",MID(O98,FIND("+",O98&amp;"+")+1,99))+1,2)^2*PI()/400,0)</f>
        <v/>
      </c>
      <c r="P99">
        <f>IFERROR(LEFT(LEFT(P98,FIND("+",P98&amp;"+")-1),FIND("t",LEFT(P98,FIND("+",P98&amp;"+")-1))-1)*MID(LEFT(P98,FIND("+",P98&amp;"+")-1),FIND("t",LEFT(P98,FIND("+",P98&amp;"+")-1))+1,2)^2*PI()/400,0)+IFERROR(LEFT(MID(P98,FIND("+",P98&amp;"+")+1,99),FIND("t",MID(P98,FIND("+",P98&amp;"+")+1,99))-1)*MID(MID(P98,FIND("+",P98&amp;"+")+1,99),FIND("t",MID(P98,FIND("+",P98&amp;"+")+1,99))+1,2)^2*PI()/400,0)</f>
        <v/>
      </c>
      <c r="Q99">
        <f>IFERROR(LEFT(LEFT(Q98,FIND("+",Q98&amp;"+")-1),FIND("t",LEFT(Q98,FIND("+",Q98&amp;"+")-1))-1)*MID(LEFT(Q98,FIND("+",Q98&amp;"+")-1),FIND("t",LEFT(Q98,FIND("+",Q98&amp;"+")-1))+1,2)^2*PI()/400,0)+IFERROR(LEFT(MID(Q98,FIND("+",Q98&amp;"+")+1,99),FIND("t",MID(Q98,FIND("+",Q98&amp;"+")+1,99))-1)*MID(MID(Q98,FIND("+",Q98&amp;"+")+1,99),FIND("t",MID(Q98,FIND("+",Q98&amp;"+")+1,99))+1,2)^2*PI()/400,0)</f>
        <v/>
      </c>
      <c r="R99">
        <f>IFERROR(LEFT(LEFT(R98,FIND("+",R98&amp;"+")-1),FIND("t",LEFT(R98,FIND("+",R98&amp;"+")-1))-1)*MID(LEFT(R98,FIND("+",R98&amp;"+")-1),FIND("t",LEFT(R98,FIND("+",R98&amp;"+")-1))+1,2)^2*PI()/400,0)+IFERROR(LEFT(MID(R98,FIND("+",R98&amp;"+")+1,99),FIND("t",MID(R98,FIND("+",R98&amp;"+")+1,99))-1)*MID(MID(R98,FIND("+",R98&amp;"+")+1,99),FIND("t",MID(R98,FIND("+",R98&amp;"+")+1,99))+1,2)^2*PI()/400,0)</f>
        <v/>
      </c>
      <c r="S99">
        <f>IFERROR(LEFT(LEFT(S98,FIND("+",S98&amp;"+")-1),FIND("t",LEFT(S98,FIND("+",S98&amp;"+")-1))-1)*MID(LEFT(S98,FIND("+",S98&amp;"+")-1),FIND("t",LEFT(S98,FIND("+",S98&amp;"+")-1))+1,2)^2*PI()/400,0)+IFERROR(LEFT(MID(S98,FIND("+",S98&amp;"+")+1,99),FIND("t",MID(S98,FIND("+",S98&amp;"+")+1,99))-1)*MID(MID(S98,FIND("+",S98&amp;"+")+1,99),FIND("t",MID(S98,FIND("+",S98&amp;"+")+1,99))+1,2)^2*PI()/400,0)</f>
        <v/>
      </c>
      <c r="T99">
        <f>IFERROR(LEFT(LEFT(T98,FIND("+",T98&amp;"+")-1),FIND("t",LEFT(T98,FIND("+",T98&amp;"+")-1))-1)*MID(LEFT(T98,FIND("+",T98&amp;"+")-1),FIND("t",LEFT(T98,FIND("+",T98&amp;"+")-1))+1,2)^2*PI()/400,0)+IFERROR(LEFT(MID(T98,FIND("+",T98&amp;"+")+1,99),FIND("t",MID(T98,FIND("+",T98&amp;"+")+1,99))-1)*MID(MID(T98,FIND("+",T98&amp;"+")+1,99),FIND("t",MID(T98,FIND("+",T98&amp;"+")+1,99))+1,2)^2*PI()/400,0)</f>
        <v/>
      </c>
      <c r="U99">
        <f>IFERROR(LEFT(LEFT(U98,FIND("+",U98&amp;"+")-1),FIND("t",LEFT(U98,FIND("+",U98&amp;"+")-1))-1)*MID(LEFT(U98,FIND("+",U98&amp;"+")-1),FIND("t",LEFT(U98,FIND("+",U98&amp;"+")-1))+1,2)^2*PI()/400,0)+IFERROR(LEFT(MID(U98,FIND("+",U98&amp;"+")+1,99),FIND("t",MID(U98,FIND("+",U98&amp;"+")+1,99))-1)*MID(MID(U98,FIND("+",U98&amp;"+")+1,99),FIND("t",MID(U98,FIND("+",U98&amp;"+")+1,99))+1,2)^2*PI()/400,0)</f>
        <v/>
      </c>
      <c r="V99">
        <f>IFERROR(LEFT(LEFT(V98,FIND("+",V98&amp;"+")-1),FIND("t",LEFT(V98,FIND("+",V98&amp;"+")-1))-1)*MID(LEFT(V98,FIND("+",V98&amp;"+")-1),FIND("t",LEFT(V98,FIND("+",V98&amp;"+")-1))+1,2)^2*PI()/400,0)+IFERROR(LEFT(MID(V98,FIND("+",V98&amp;"+")+1,99),FIND("t",MID(V98,FIND("+",V98&amp;"+")+1,99))-1)*MID(MID(V98,FIND("+",V98&amp;"+")+1,99),FIND("t",MID(V98,FIND("+",V98&amp;"+")+1,99))+1,2)^2*PI()/400,0)</f>
        <v/>
      </c>
      <c r="W99">
        <f>IFERROR(LEFT(LEFT(W98,FIND("+",W98&amp;"+")-1),FIND("t",LEFT(W98,FIND("+",W98&amp;"+")-1))-1)*MID(LEFT(W98,FIND("+",W98&amp;"+")-1),FIND("t",LEFT(W98,FIND("+",W98&amp;"+")-1))+1,2)^2*PI()/400,0)+IFERROR(LEFT(MID(W98,FIND("+",W98&amp;"+")+1,99),FIND("t",MID(W98,FIND("+",W98&amp;"+")+1,99))-1)*MID(MID(W98,FIND("+",W98&amp;"+")+1,99),FIND("t",MID(W98,FIND("+",W98&amp;"+")+1,99))+1,2)^2*PI()/400,0)</f>
        <v/>
      </c>
      <c r="X99">
        <f>IFERROR(LEFT(LEFT(X98,FIND("+",X98&amp;"+")-1),FIND("t",LEFT(X98,FIND("+",X98&amp;"+")-1))-1)*MID(LEFT(X98,FIND("+",X98&amp;"+")-1),FIND("t",LEFT(X98,FIND("+",X98&amp;"+")-1))+1,2)^2*PI()/400,0)+IFERROR(LEFT(MID(X98,FIND("+",X98&amp;"+")+1,99),FIND("t",MID(X98,FIND("+",X98&amp;"+")+1,99))-1)*MID(MID(X98,FIND("+",X98&amp;"+")+1,99),FIND("t",MID(X98,FIND("+",X98&amp;"+")+1,99))+1,2)^2*PI()/400,0)</f>
        <v/>
      </c>
      <c r="Y99">
        <f>IFERROR(LEFT(LEFT(Y98,FIND("+",Y98&amp;"+")-1),FIND("t",LEFT(Y98,FIND("+",Y98&amp;"+")-1))-1)*MID(LEFT(Y98,FIND("+",Y98&amp;"+")-1),FIND("t",LEFT(Y98,FIND("+",Y98&amp;"+")-1))+1,2)^2*PI()/400,0)+IFERROR(LEFT(MID(Y98,FIND("+",Y98&amp;"+")+1,99),FIND("t",MID(Y98,FIND("+",Y98&amp;"+")+1,99))-1)*MID(MID(Y98,FIND("+",Y98&amp;"+")+1,99),FIND("t",MID(Y98,FIND("+",Y98&amp;"+")+1,99))+1,2)^2*PI()/400,0)</f>
        <v/>
      </c>
      <c r="Z99">
        <f>IFERROR(LEFT(LEFT(Z98,FIND("+",Z98&amp;"+")-1),FIND("t",LEFT(Z98,FIND("+",Z98&amp;"+")-1))-1)*MID(LEFT(Z98,FIND("+",Z98&amp;"+")-1),FIND("t",LEFT(Z98,FIND("+",Z98&amp;"+")-1))+1,2)^2*PI()/400,0)+IFERROR(LEFT(MID(Z98,FIND("+",Z98&amp;"+")+1,99),FIND("t",MID(Z98,FIND("+",Z98&amp;"+")+1,99))-1)*MID(MID(Z98,FIND("+",Z98&amp;"+")+1,99),FIND("t",MID(Z98,FIND("+",Z98&amp;"+")+1,99))+1,2)^2*PI()/400,0)</f>
        <v/>
      </c>
      <c r="AA99">
        <f>IFERROR(LEFT(LEFT(AA98,FIND("+",AA98&amp;"+")-1),FIND("t",LEFT(AA98,FIND("+",AA98&amp;"+")-1))-1)*MID(LEFT(AA98,FIND("+",AA98&amp;"+")-1),FIND("t",LEFT(AA98,FIND("+",AA98&amp;"+")-1))+1,2)^2*PI()/400,0)+IFERROR(LEFT(MID(AA98,FIND("+",AA98&amp;"+")+1,99),FIND("t",MID(AA98,FIND("+",AA98&amp;"+")+1,99))-1)*MID(MID(AA98,FIND("+",AA98&amp;"+")+1,99),FIND("t",MID(AA98,FIND("+",AA98&amp;"+")+1,99))+1,2)^2*PI()/400,0)</f>
        <v/>
      </c>
      <c r="AB99">
        <f>IFERROR(LEFT(LEFT(AB98,FIND("+",AB98&amp;"+")-1),FIND("t",LEFT(AB98,FIND("+",AB98&amp;"+")-1))-1)*MID(LEFT(AB98,FIND("+",AB98&amp;"+")-1),FIND("t",LEFT(AB98,FIND("+",AB98&amp;"+")-1))+1,2)^2*PI()/400,0)+IFERROR(LEFT(MID(AB98,FIND("+",AB98&amp;"+")+1,99),FIND("t",MID(AB98,FIND("+",AB98&amp;"+")+1,99))-1)*MID(MID(AB98,FIND("+",AB98&amp;"+")+1,99),FIND("t",MID(AB98,FIND("+",AB98&amp;"+")+1,99))+1,2)^2*PI()/400,0)</f>
        <v/>
      </c>
      <c r="AC99">
        <f>IFERROR(LEFT(LEFT(AC98,FIND("+",AC98&amp;"+")-1),FIND("t",LEFT(AC98,FIND("+",AC98&amp;"+")-1))-1)*MID(LEFT(AC98,FIND("+",AC98&amp;"+")-1),FIND("t",LEFT(AC98,FIND("+",AC98&amp;"+")-1))+1,2)^2*PI()/400,0)+IFERROR(LEFT(MID(AC98,FIND("+",AC98&amp;"+")+1,99),FIND("t",MID(AC98,FIND("+",AC98&amp;"+")+1,99))-1)*MID(MID(AC98,FIND("+",AC98&amp;"+")+1,99),FIND("t",MID(AC98,FIND("+",AC98&amp;"+")+1,99))+1,2)^2*PI()/400,0)</f>
        <v/>
      </c>
      <c r="AD99">
        <f>IFERROR(LEFT(LEFT(AD98,FIND("+",AD98&amp;"+")-1),FIND("t",LEFT(AD98,FIND("+",AD98&amp;"+")-1))-1)*MID(LEFT(AD98,FIND("+",AD98&amp;"+")-1),FIND("t",LEFT(AD98,FIND("+",AD98&amp;"+")-1))+1,2)^2*PI()/400,0)+IFERROR(LEFT(MID(AD98,FIND("+",AD98&amp;"+")+1,99),FIND("t",MID(AD98,FIND("+",AD98&amp;"+")+1,99))-1)*MID(MID(AD98,FIND("+",AD98&amp;"+")+1,99),FIND("t",MID(AD98,FIND("+",AD98&amp;"+")+1,99))+1,2)^2*PI()/400,0)</f>
        <v/>
      </c>
      <c r="AE99">
        <f>IFERROR(LEFT(LEFT(AE98,FIND("+",AE98&amp;"+")-1),FIND("t",LEFT(AE98,FIND("+",AE98&amp;"+")-1))-1)*MID(LEFT(AE98,FIND("+",AE98&amp;"+")-1),FIND("t",LEFT(AE98,FIND("+",AE98&amp;"+")-1))+1,2)^2*PI()/400,0)+IFERROR(LEFT(MID(AE98,FIND("+",AE98&amp;"+")+1,99),FIND("t",MID(AE98,FIND("+",AE98&amp;"+")+1,99))-1)*MID(MID(AE98,FIND("+",AE98&amp;"+")+1,99),FIND("t",MID(AE98,FIND("+",AE98&amp;"+")+1,99))+1,2)^2*PI()/400,0)</f>
        <v/>
      </c>
      <c r="AF99">
        <f>IFERROR(LEFT(LEFT(AF98,FIND("+",AF98&amp;"+")-1),FIND("t",LEFT(AF98,FIND("+",AF98&amp;"+")-1))-1)*MID(LEFT(AF98,FIND("+",AF98&amp;"+")-1),FIND("t",LEFT(AF98,FIND("+",AF98&amp;"+")-1))+1,2)^2*PI()/400,0)+IFERROR(LEFT(MID(AF98,FIND("+",AF98&amp;"+")+1,99),FIND("t",MID(AF98,FIND("+",AF98&amp;"+")+1,99))-1)*MID(MID(AF98,FIND("+",AF98&amp;"+")+1,99),FIND("t",MID(AF98,FIND("+",AF98&amp;"+")+1,99))+1,2)^2*PI()/400,0)</f>
        <v/>
      </c>
      <c r="AG99">
        <f>IFERROR(LEFT(LEFT(AG98,FIND("+",AG98&amp;"+")-1),FIND("t",LEFT(AG98,FIND("+",AG98&amp;"+")-1))-1)*MID(LEFT(AG98,FIND("+",AG98&amp;"+")-1),FIND("t",LEFT(AG98,FIND("+",AG98&amp;"+")-1))+1,2)^2*PI()/400,0)+IFERROR(LEFT(MID(AG98,FIND("+",AG98&amp;"+")+1,99),FIND("t",MID(AG98,FIND("+",AG98&amp;"+")+1,99))-1)*MID(MID(AG98,FIND("+",AG98&amp;"+")+1,99),FIND("t",MID(AG98,FIND("+",AG98&amp;"+")+1,99))+1,2)^2*PI()/400,0)</f>
        <v/>
      </c>
    </row>
    <row r="100" hidden="1" outlineLevel="1">
      <c r="A100" s="60" t="inlineStr">
        <is>
          <t>(phụ trợ) N_B2L</t>
        </is>
      </c>
      <c r="C100">
        <f>SUBSTITUTE(SUBSTITUTE(SUBSTITUTE(SUBSTITUTE(SUBSTITUTE(SUBSTITUTE(LOWER(IF(ISNUMBER(FIND(";",C21)),LEFT(C21,FIND(";",C21)-1),C21))," ",""),"%%c","t"),"ø","t"),"φ","t"),"f","t"),"d","t")</f>
        <v/>
      </c>
      <c r="D100">
        <f>SUBSTITUTE(SUBSTITUTE(SUBSTITUTE(SUBSTITUTE(SUBSTITUTE(SUBSTITUTE(LOWER(IF(ISNUMBER(FIND(";",D21)),LEFT(D21,FIND(";",D21)-1),D21))," ",""),"%%c","t"),"ø","t"),"φ","t"),"f","t"),"d","t")</f>
        <v/>
      </c>
      <c r="E100">
        <f>SUBSTITUTE(SUBSTITUTE(SUBSTITUTE(SUBSTITUTE(SUBSTITUTE(SUBSTITUTE(LOWER(IF(ISNUMBER(FIND(";",E21)),LEFT(E21,FIND(";",E21)-1),E21))," ",""),"%%c","t"),"ø","t"),"φ","t"),"f","t"),"d","t")</f>
        <v/>
      </c>
      <c r="F100">
        <f>SUBSTITUTE(SUBSTITUTE(SUBSTITUTE(SUBSTITUTE(SUBSTITUTE(SUBSTITUTE(LOWER(IF(ISNUMBER(FIND(";",F21)),LEFT(F21,FIND(";",F21)-1),F21))," ",""),"%%c","t"),"ø","t"),"φ","t"),"f","t"),"d","t")</f>
        <v/>
      </c>
      <c r="G100">
        <f>SUBSTITUTE(SUBSTITUTE(SUBSTITUTE(SUBSTITUTE(SUBSTITUTE(SUBSTITUTE(LOWER(IF(ISNUMBER(FIND(";",G21)),LEFT(G21,FIND(";",G21)-1),G21))," ",""),"%%c","t"),"ø","t"),"φ","t"),"f","t"),"d","t")</f>
        <v/>
      </c>
      <c r="H100">
        <f>SUBSTITUTE(SUBSTITUTE(SUBSTITUTE(SUBSTITUTE(SUBSTITUTE(SUBSTITUTE(LOWER(IF(ISNUMBER(FIND(";",H21)),LEFT(H21,FIND(";",H21)-1),H21))," ",""),"%%c","t"),"ø","t"),"φ","t"),"f","t"),"d","t")</f>
        <v/>
      </c>
      <c r="I100">
        <f>SUBSTITUTE(SUBSTITUTE(SUBSTITUTE(SUBSTITUTE(SUBSTITUTE(SUBSTITUTE(LOWER(IF(ISNUMBER(FIND(";",I21)),LEFT(I21,FIND(";",I21)-1),I21))," ",""),"%%c","t"),"ø","t"),"φ","t"),"f","t"),"d","t")</f>
        <v/>
      </c>
      <c r="J100">
        <f>SUBSTITUTE(SUBSTITUTE(SUBSTITUTE(SUBSTITUTE(SUBSTITUTE(SUBSTITUTE(LOWER(IF(ISNUMBER(FIND(";",J21)),LEFT(J21,FIND(";",J21)-1),J21))," ",""),"%%c","t"),"ø","t"),"φ","t"),"f","t"),"d","t")</f>
        <v/>
      </c>
      <c r="K100">
        <f>SUBSTITUTE(SUBSTITUTE(SUBSTITUTE(SUBSTITUTE(SUBSTITUTE(SUBSTITUTE(LOWER(IF(ISNUMBER(FIND(";",K21)),LEFT(K21,FIND(";",K21)-1),K21))," ",""),"%%c","t"),"ø","t"),"φ","t"),"f","t"),"d","t")</f>
        <v/>
      </c>
      <c r="L100">
        <f>SUBSTITUTE(SUBSTITUTE(SUBSTITUTE(SUBSTITUTE(SUBSTITUTE(SUBSTITUTE(LOWER(IF(ISNUMBER(FIND(";",L21)),LEFT(L21,FIND(";",L21)-1),L21))," ",""),"%%c","t"),"ø","t"),"φ","t"),"f","t"),"d","t")</f>
        <v/>
      </c>
      <c r="M100">
        <f>SUBSTITUTE(SUBSTITUTE(SUBSTITUTE(SUBSTITUTE(SUBSTITUTE(SUBSTITUTE(LOWER(IF(ISNUMBER(FIND(";",M21)),LEFT(M21,FIND(";",M21)-1),M21))," ",""),"%%c","t"),"ø","t"),"φ","t"),"f","t"),"d","t")</f>
        <v/>
      </c>
      <c r="N100">
        <f>SUBSTITUTE(SUBSTITUTE(SUBSTITUTE(SUBSTITUTE(SUBSTITUTE(SUBSTITUTE(LOWER(IF(ISNUMBER(FIND(";",N21)),LEFT(N21,FIND(";",N21)-1),N21))," ",""),"%%c","t"),"ø","t"),"φ","t"),"f","t"),"d","t")</f>
        <v/>
      </c>
      <c r="O100">
        <f>SUBSTITUTE(SUBSTITUTE(SUBSTITUTE(SUBSTITUTE(SUBSTITUTE(SUBSTITUTE(LOWER(IF(ISNUMBER(FIND(";",O21)),LEFT(O21,FIND(";",O21)-1),O21))," ",""),"%%c","t"),"ø","t"),"φ","t"),"f","t"),"d","t")</f>
        <v/>
      </c>
      <c r="P100">
        <f>SUBSTITUTE(SUBSTITUTE(SUBSTITUTE(SUBSTITUTE(SUBSTITUTE(SUBSTITUTE(LOWER(IF(ISNUMBER(FIND(";",P21)),LEFT(P21,FIND(";",P21)-1),P21))," ",""),"%%c","t"),"ø","t"),"φ","t"),"f","t"),"d","t")</f>
        <v/>
      </c>
      <c r="Q100">
        <f>SUBSTITUTE(SUBSTITUTE(SUBSTITUTE(SUBSTITUTE(SUBSTITUTE(SUBSTITUTE(LOWER(IF(ISNUMBER(FIND(";",Q21)),LEFT(Q21,FIND(";",Q21)-1),Q21))," ",""),"%%c","t"),"ø","t"),"φ","t"),"f","t"),"d","t")</f>
        <v/>
      </c>
      <c r="R100">
        <f>SUBSTITUTE(SUBSTITUTE(SUBSTITUTE(SUBSTITUTE(SUBSTITUTE(SUBSTITUTE(LOWER(IF(ISNUMBER(FIND(";",R21)),LEFT(R21,FIND(";",R21)-1),R21))," ",""),"%%c","t"),"ø","t"),"φ","t"),"f","t"),"d","t")</f>
        <v/>
      </c>
      <c r="S100">
        <f>SUBSTITUTE(SUBSTITUTE(SUBSTITUTE(SUBSTITUTE(SUBSTITUTE(SUBSTITUTE(LOWER(IF(ISNUMBER(FIND(";",S21)),LEFT(S21,FIND(";",S21)-1),S21))," ",""),"%%c","t"),"ø","t"),"φ","t"),"f","t"),"d","t")</f>
        <v/>
      </c>
      <c r="T100">
        <f>SUBSTITUTE(SUBSTITUTE(SUBSTITUTE(SUBSTITUTE(SUBSTITUTE(SUBSTITUTE(LOWER(IF(ISNUMBER(FIND(";",T21)),LEFT(T21,FIND(";",T21)-1),T21))," ",""),"%%c","t"),"ø","t"),"φ","t"),"f","t"),"d","t")</f>
        <v/>
      </c>
      <c r="U100">
        <f>SUBSTITUTE(SUBSTITUTE(SUBSTITUTE(SUBSTITUTE(SUBSTITUTE(SUBSTITUTE(LOWER(IF(ISNUMBER(FIND(";",U21)),LEFT(U21,FIND(";",U21)-1),U21))," ",""),"%%c","t"),"ø","t"),"φ","t"),"f","t"),"d","t")</f>
        <v/>
      </c>
      <c r="V100">
        <f>SUBSTITUTE(SUBSTITUTE(SUBSTITUTE(SUBSTITUTE(SUBSTITUTE(SUBSTITUTE(LOWER(IF(ISNUMBER(FIND(";",V21)),LEFT(V21,FIND(";",V21)-1),V21))," ",""),"%%c","t"),"ø","t"),"φ","t"),"f","t"),"d","t")</f>
        <v/>
      </c>
      <c r="W100">
        <f>SUBSTITUTE(SUBSTITUTE(SUBSTITUTE(SUBSTITUTE(SUBSTITUTE(SUBSTITUTE(LOWER(IF(ISNUMBER(FIND(";",W21)),LEFT(W21,FIND(";",W21)-1),W21))," ",""),"%%c","t"),"ø","t"),"φ","t"),"f","t"),"d","t")</f>
        <v/>
      </c>
      <c r="X100">
        <f>SUBSTITUTE(SUBSTITUTE(SUBSTITUTE(SUBSTITUTE(SUBSTITUTE(SUBSTITUTE(LOWER(IF(ISNUMBER(FIND(";",X21)),LEFT(X21,FIND(";",X21)-1),X21))," ",""),"%%c","t"),"ø","t"),"φ","t"),"f","t"),"d","t")</f>
        <v/>
      </c>
      <c r="Y100">
        <f>SUBSTITUTE(SUBSTITUTE(SUBSTITUTE(SUBSTITUTE(SUBSTITUTE(SUBSTITUTE(LOWER(IF(ISNUMBER(FIND(";",Y21)),LEFT(Y21,FIND(";",Y21)-1),Y21))," ",""),"%%c","t"),"ø","t"),"φ","t"),"f","t"),"d","t")</f>
        <v/>
      </c>
      <c r="Z100">
        <f>SUBSTITUTE(SUBSTITUTE(SUBSTITUTE(SUBSTITUTE(SUBSTITUTE(SUBSTITUTE(LOWER(IF(ISNUMBER(FIND(";",Z21)),LEFT(Z21,FIND(";",Z21)-1),Z21))," ",""),"%%c","t"),"ø","t"),"φ","t"),"f","t"),"d","t")</f>
        <v/>
      </c>
      <c r="AA100">
        <f>SUBSTITUTE(SUBSTITUTE(SUBSTITUTE(SUBSTITUTE(SUBSTITUTE(SUBSTITUTE(LOWER(IF(ISNUMBER(FIND(";",AA21)),LEFT(AA21,FIND(";",AA21)-1),AA21))," ",""),"%%c","t"),"ø","t"),"φ","t"),"f","t"),"d","t")</f>
        <v/>
      </c>
      <c r="AB100">
        <f>SUBSTITUTE(SUBSTITUTE(SUBSTITUTE(SUBSTITUTE(SUBSTITUTE(SUBSTITUTE(LOWER(IF(ISNUMBER(FIND(";",AB21)),LEFT(AB21,FIND(";",AB21)-1),AB21))," ",""),"%%c","t"),"ø","t"),"φ","t"),"f","t"),"d","t")</f>
        <v/>
      </c>
      <c r="AC100">
        <f>SUBSTITUTE(SUBSTITUTE(SUBSTITUTE(SUBSTITUTE(SUBSTITUTE(SUBSTITUTE(LOWER(IF(ISNUMBER(FIND(";",AC21)),LEFT(AC21,FIND(";",AC21)-1),AC21))," ",""),"%%c","t"),"ø","t"),"φ","t"),"f","t"),"d","t")</f>
        <v/>
      </c>
      <c r="AD100">
        <f>SUBSTITUTE(SUBSTITUTE(SUBSTITUTE(SUBSTITUTE(SUBSTITUTE(SUBSTITUTE(LOWER(IF(ISNUMBER(FIND(";",AD21)),LEFT(AD21,FIND(";",AD21)-1),AD21))," ",""),"%%c","t"),"ø","t"),"φ","t"),"f","t"),"d","t")</f>
        <v/>
      </c>
      <c r="AE100">
        <f>SUBSTITUTE(SUBSTITUTE(SUBSTITUTE(SUBSTITUTE(SUBSTITUTE(SUBSTITUTE(LOWER(IF(ISNUMBER(FIND(";",AE21)),LEFT(AE21,FIND(";",AE21)-1),AE21))," ",""),"%%c","t"),"ø","t"),"φ","t"),"f","t"),"d","t")</f>
        <v/>
      </c>
      <c r="AF100">
        <f>SUBSTITUTE(SUBSTITUTE(SUBSTITUTE(SUBSTITUTE(SUBSTITUTE(SUBSTITUTE(LOWER(IF(ISNUMBER(FIND(";",AF21)),LEFT(AF21,FIND(";",AF21)-1),AF21))," ",""),"%%c","t"),"ø","t"),"φ","t"),"f","t"),"d","t")</f>
        <v/>
      </c>
      <c r="AG100">
        <f>SUBSTITUTE(SUBSTITUTE(SUBSTITUTE(SUBSTITUTE(SUBSTITUTE(SUBSTITUTE(LOWER(IF(ISNUMBER(FIND(";",AG21)),LEFT(AG21,FIND(";",AG21)-1),AG21))," ",""),"%%c","t"),"ø","t"),"φ","t"),"f","t"),"d","t")</f>
        <v/>
      </c>
    </row>
    <row r="101" hidden="1" outlineLevel="1">
      <c r="A101" s="60" t="inlineStr">
        <is>
          <t>(phụ trợ) A_B2L</t>
        </is>
      </c>
      <c r="C101">
        <f>IFERROR(LEFT(LEFT(C100,FIND("+",C100&amp;"+")-1),FIND("t",LEFT(C100,FIND("+",C100&amp;"+")-1))-1)*MID(LEFT(C100,FIND("+",C100&amp;"+")-1),FIND("t",LEFT(C100,FIND("+",C100&amp;"+")-1))+1,2)^2*PI()/400,0)+IFERROR(LEFT(MID(C100,FIND("+",C100&amp;"+")+1,99),FIND("t",MID(C100,FIND("+",C100&amp;"+")+1,99))-1)*MID(MID(C100,FIND("+",C100&amp;"+")+1,99),FIND("t",MID(C100,FIND("+",C100&amp;"+")+1,99))+1,2)^2*PI()/400,0)</f>
        <v/>
      </c>
      <c r="D101">
        <f>IFERROR(LEFT(LEFT(D100,FIND("+",D100&amp;"+")-1),FIND("t",LEFT(D100,FIND("+",D100&amp;"+")-1))-1)*MID(LEFT(D100,FIND("+",D100&amp;"+")-1),FIND("t",LEFT(D100,FIND("+",D100&amp;"+")-1))+1,2)^2*PI()/400,0)+IFERROR(LEFT(MID(D100,FIND("+",D100&amp;"+")+1,99),FIND("t",MID(D100,FIND("+",D100&amp;"+")+1,99))-1)*MID(MID(D100,FIND("+",D100&amp;"+")+1,99),FIND("t",MID(D100,FIND("+",D100&amp;"+")+1,99))+1,2)^2*PI()/400,0)</f>
        <v/>
      </c>
      <c r="E101">
        <f>IFERROR(LEFT(LEFT(E100,FIND("+",E100&amp;"+")-1),FIND("t",LEFT(E100,FIND("+",E100&amp;"+")-1))-1)*MID(LEFT(E100,FIND("+",E100&amp;"+")-1),FIND("t",LEFT(E100,FIND("+",E100&amp;"+")-1))+1,2)^2*PI()/400,0)+IFERROR(LEFT(MID(E100,FIND("+",E100&amp;"+")+1,99),FIND("t",MID(E100,FIND("+",E100&amp;"+")+1,99))-1)*MID(MID(E100,FIND("+",E100&amp;"+")+1,99),FIND("t",MID(E100,FIND("+",E100&amp;"+")+1,99))+1,2)^2*PI()/400,0)</f>
        <v/>
      </c>
      <c r="F101">
        <f>IFERROR(LEFT(LEFT(F100,FIND("+",F100&amp;"+")-1),FIND("t",LEFT(F100,FIND("+",F100&amp;"+")-1))-1)*MID(LEFT(F100,FIND("+",F100&amp;"+")-1),FIND("t",LEFT(F100,FIND("+",F100&amp;"+")-1))+1,2)^2*PI()/400,0)+IFERROR(LEFT(MID(F100,FIND("+",F100&amp;"+")+1,99),FIND("t",MID(F100,FIND("+",F100&amp;"+")+1,99))-1)*MID(MID(F100,FIND("+",F100&amp;"+")+1,99),FIND("t",MID(F100,FIND("+",F100&amp;"+")+1,99))+1,2)^2*PI()/400,0)</f>
        <v/>
      </c>
      <c r="G101">
        <f>IFERROR(LEFT(LEFT(G100,FIND("+",G100&amp;"+")-1),FIND("t",LEFT(G100,FIND("+",G100&amp;"+")-1))-1)*MID(LEFT(G100,FIND("+",G100&amp;"+")-1),FIND("t",LEFT(G100,FIND("+",G100&amp;"+")-1))+1,2)^2*PI()/400,0)+IFERROR(LEFT(MID(G100,FIND("+",G100&amp;"+")+1,99),FIND("t",MID(G100,FIND("+",G100&amp;"+")+1,99))-1)*MID(MID(G100,FIND("+",G100&amp;"+")+1,99),FIND("t",MID(G100,FIND("+",G100&amp;"+")+1,99))+1,2)^2*PI()/400,0)</f>
        <v/>
      </c>
      <c r="H101">
        <f>IFERROR(LEFT(LEFT(H100,FIND("+",H100&amp;"+")-1),FIND("t",LEFT(H100,FIND("+",H100&amp;"+")-1))-1)*MID(LEFT(H100,FIND("+",H100&amp;"+")-1),FIND("t",LEFT(H100,FIND("+",H100&amp;"+")-1))+1,2)^2*PI()/400,0)+IFERROR(LEFT(MID(H100,FIND("+",H100&amp;"+")+1,99),FIND("t",MID(H100,FIND("+",H100&amp;"+")+1,99))-1)*MID(MID(H100,FIND("+",H100&amp;"+")+1,99),FIND("t",MID(H100,FIND("+",H100&amp;"+")+1,99))+1,2)^2*PI()/400,0)</f>
        <v/>
      </c>
      <c r="I101">
        <f>IFERROR(LEFT(LEFT(I100,FIND("+",I100&amp;"+")-1),FIND("t",LEFT(I100,FIND("+",I100&amp;"+")-1))-1)*MID(LEFT(I100,FIND("+",I100&amp;"+")-1),FIND("t",LEFT(I100,FIND("+",I100&amp;"+")-1))+1,2)^2*PI()/400,0)+IFERROR(LEFT(MID(I100,FIND("+",I100&amp;"+")+1,99),FIND("t",MID(I100,FIND("+",I100&amp;"+")+1,99))-1)*MID(MID(I100,FIND("+",I100&amp;"+")+1,99),FIND("t",MID(I100,FIND("+",I100&amp;"+")+1,99))+1,2)^2*PI()/400,0)</f>
        <v/>
      </c>
      <c r="J101">
        <f>IFERROR(LEFT(LEFT(J100,FIND("+",J100&amp;"+")-1),FIND("t",LEFT(J100,FIND("+",J100&amp;"+")-1))-1)*MID(LEFT(J100,FIND("+",J100&amp;"+")-1),FIND("t",LEFT(J100,FIND("+",J100&amp;"+")-1))+1,2)^2*PI()/400,0)+IFERROR(LEFT(MID(J100,FIND("+",J100&amp;"+")+1,99),FIND("t",MID(J100,FIND("+",J100&amp;"+")+1,99))-1)*MID(MID(J100,FIND("+",J100&amp;"+")+1,99),FIND("t",MID(J100,FIND("+",J100&amp;"+")+1,99))+1,2)^2*PI()/400,0)</f>
        <v/>
      </c>
      <c r="K101">
        <f>IFERROR(LEFT(LEFT(K100,FIND("+",K100&amp;"+")-1),FIND("t",LEFT(K100,FIND("+",K100&amp;"+")-1))-1)*MID(LEFT(K100,FIND("+",K100&amp;"+")-1),FIND("t",LEFT(K100,FIND("+",K100&amp;"+")-1))+1,2)^2*PI()/400,0)+IFERROR(LEFT(MID(K100,FIND("+",K100&amp;"+")+1,99),FIND("t",MID(K100,FIND("+",K100&amp;"+")+1,99))-1)*MID(MID(K100,FIND("+",K100&amp;"+")+1,99),FIND("t",MID(K100,FIND("+",K100&amp;"+")+1,99))+1,2)^2*PI()/400,0)</f>
        <v/>
      </c>
      <c r="L101">
        <f>IFERROR(LEFT(LEFT(L100,FIND("+",L100&amp;"+")-1),FIND("t",LEFT(L100,FIND("+",L100&amp;"+")-1))-1)*MID(LEFT(L100,FIND("+",L100&amp;"+")-1),FIND("t",LEFT(L100,FIND("+",L100&amp;"+")-1))+1,2)^2*PI()/400,0)+IFERROR(LEFT(MID(L100,FIND("+",L100&amp;"+")+1,99),FIND("t",MID(L100,FIND("+",L100&amp;"+")+1,99))-1)*MID(MID(L100,FIND("+",L100&amp;"+")+1,99),FIND("t",MID(L100,FIND("+",L100&amp;"+")+1,99))+1,2)^2*PI()/400,0)</f>
        <v/>
      </c>
      <c r="M101">
        <f>IFERROR(LEFT(LEFT(M100,FIND("+",M100&amp;"+")-1),FIND("t",LEFT(M100,FIND("+",M100&amp;"+")-1))-1)*MID(LEFT(M100,FIND("+",M100&amp;"+")-1),FIND("t",LEFT(M100,FIND("+",M100&amp;"+")-1))+1,2)^2*PI()/400,0)+IFERROR(LEFT(MID(M100,FIND("+",M100&amp;"+")+1,99),FIND("t",MID(M100,FIND("+",M100&amp;"+")+1,99))-1)*MID(MID(M100,FIND("+",M100&amp;"+")+1,99),FIND("t",MID(M100,FIND("+",M100&amp;"+")+1,99))+1,2)^2*PI()/400,0)</f>
        <v/>
      </c>
      <c r="N101">
        <f>IFERROR(LEFT(LEFT(N100,FIND("+",N100&amp;"+")-1),FIND("t",LEFT(N100,FIND("+",N100&amp;"+")-1))-1)*MID(LEFT(N100,FIND("+",N100&amp;"+")-1),FIND("t",LEFT(N100,FIND("+",N100&amp;"+")-1))+1,2)^2*PI()/400,0)+IFERROR(LEFT(MID(N100,FIND("+",N100&amp;"+")+1,99),FIND("t",MID(N100,FIND("+",N100&amp;"+")+1,99))-1)*MID(MID(N100,FIND("+",N100&amp;"+")+1,99),FIND("t",MID(N100,FIND("+",N100&amp;"+")+1,99))+1,2)^2*PI()/400,0)</f>
        <v/>
      </c>
      <c r="O101">
        <f>IFERROR(LEFT(LEFT(O100,FIND("+",O100&amp;"+")-1),FIND("t",LEFT(O100,FIND("+",O100&amp;"+")-1))-1)*MID(LEFT(O100,FIND("+",O100&amp;"+")-1),FIND("t",LEFT(O100,FIND("+",O100&amp;"+")-1))+1,2)^2*PI()/400,0)+IFERROR(LEFT(MID(O100,FIND("+",O100&amp;"+")+1,99),FIND("t",MID(O100,FIND("+",O100&amp;"+")+1,99))-1)*MID(MID(O100,FIND("+",O100&amp;"+")+1,99),FIND("t",MID(O100,FIND("+",O100&amp;"+")+1,99))+1,2)^2*PI()/400,0)</f>
        <v/>
      </c>
      <c r="P101">
        <f>IFERROR(LEFT(LEFT(P100,FIND("+",P100&amp;"+")-1),FIND("t",LEFT(P100,FIND("+",P100&amp;"+")-1))-1)*MID(LEFT(P100,FIND("+",P100&amp;"+")-1),FIND("t",LEFT(P100,FIND("+",P100&amp;"+")-1))+1,2)^2*PI()/400,0)+IFERROR(LEFT(MID(P100,FIND("+",P100&amp;"+")+1,99),FIND("t",MID(P100,FIND("+",P100&amp;"+")+1,99))-1)*MID(MID(P100,FIND("+",P100&amp;"+")+1,99),FIND("t",MID(P100,FIND("+",P100&amp;"+")+1,99))+1,2)^2*PI()/400,0)</f>
        <v/>
      </c>
      <c r="Q101">
        <f>IFERROR(LEFT(LEFT(Q100,FIND("+",Q100&amp;"+")-1),FIND("t",LEFT(Q100,FIND("+",Q100&amp;"+")-1))-1)*MID(LEFT(Q100,FIND("+",Q100&amp;"+")-1),FIND("t",LEFT(Q100,FIND("+",Q100&amp;"+")-1))+1,2)^2*PI()/400,0)+IFERROR(LEFT(MID(Q100,FIND("+",Q100&amp;"+")+1,99),FIND("t",MID(Q100,FIND("+",Q100&amp;"+")+1,99))-1)*MID(MID(Q100,FIND("+",Q100&amp;"+")+1,99),FIND("t",MID(Q100,FIND("+",Q100&amp;"+")+1,99))+1,2)^2*PI()/400,0)</f>
        <v/>
      </c>
      <c r="R101">
        <f>IFERROR(LEFT(LEFT(R100,FIND("+",R100&amp;"+")-1),FIND("t",LEFT(R100,FIND("+",R100&amp;"+")-1))-1)*MID(LEFT(R100,FIND("+",R100&amp;"+")-1),FIND("t",LEFT(R100,FIND("+",R100&amp;"+")-1))+1,2)^2*PI()/400,0)+IFERROR(LEFT(MID(R100,FIND("+",R100&amp;"+")+1,99),FIND("t",MID(R100,FIND("+",R100&amp;"+")+1,99))-1)*MID(MID(R100,FIND("+",R100&amp;"+")+1,99),FIND("t",MID(R100,FIND("+",R100&amp;"+")+1,99))+1,2)^2*PI()/400,0)</f>
        <v/>
      </c>
      <c r="S101">
        <f>IFERROR(LEFT(LEFT(S100,FIND("+",S100&amp;"+")-1),FIND("t",LEFT(S100,FIND("+",S100&amp;"+")-1))-1)*MID(LEFT(S100,FIND("+",S100&amp;"+")-1),FIND("t",LEFT(S100,FIND("+",S100&amp;"+")-1))+1,2)^2*PI()/400,0)+IFERROR(LEFT(MID(S100,FIND("+",S100&amp;"+")+1,99),FIND("t",MID(S100,FIND("+",S100&amp;"+")+1,99))-1)*MID(MID(S100,FIND("+",S100&amp;"+")+1,99),FIND("t",MID(S100,FIND("+",S100&amp;"+")+1,99))+1,2)^2*PI()/400,0)</f>
        <v/>
      </c>
      <c r="T101">
        <f>IFERROR(LEFT(LEFT(T100,FIND("+",T100&amp;"+")-1),FIND("t",LEFT(T100,FIND("+",T100&amp;"+")-1))-1)*MID(LEFT(T100,FIND("+",T100&amp;"+")-1),FIND("t",LEFT(T100,FIND("+",T100&amp;"+")-1))+1,2)^2*PI()/400,0)+IFERROR(LEFT(MID(T100,FIND("+",T100&amp;"+")+1,99),FIND("t",MID(T100,FIND("+",T100&amp;"+")+1,99))-1)*MID(MID(T100,FIND("+",T100&amp;"+")+1,99),FIND("t",MID(T100,FIND("+",T100&amp;"+")+1,99))+1,2)^2*PI()/400,0)</f>
        <v/>
      </c>
      <c r="U101">
        <f>IFERROR(LEFT(LEFT(U100,FIND("+",U100&amp;"+")-1),FIND("t",LEFT(U100,FIND("+",U100&amp;"+")-1))-1)*MID(LEFT(U100,FIND("+",U100&amp;"+")-1),FIND("t",LEFT(U100,FIND("+",U100&amp;"+")-1))+1,2)^2*PI()/400,0)+IFERROR(LEFT(MID(U100,FIND("+",U100&amp;"+")+1,99),FIND("t",MID(U100,FIND("+",U100&amp;"+")+1,99))-1)*MID(MID(U100,FIND("+",U100&amp;"+")+1,99),FIND("t",MID(U100,FIND("+",U100&amp;"+")+1,99))+1,2)^2*PI()/400,0)</f>
        <v/>
      </c>
      <c r="V101">
        <f>IFERROR(LEFT(LEFT(V100,FIND("+",V100&amp;"+")-1),FIND("t",LEFT(V100,FIND("+",V100&amp;"+")-1))-1)*MID(LEFT(V100,FIND("+",V100&amp;"+")-1),FIND("t",LEFT(V100,FIND("+",V100&amp;"+")-1))+1,2)^2*PI()/400,0)+IFERROR(LEFT(MID(V100,FIND("+",V100&amp;"+")+1,99),FIND("t",MID(V100,FIND("+",V100&amp;"+")+1,99))-1)*MID(MID(V100,FIND("+",V100&amp;"+")+1,99),FIND("t",MID(V100,FIND("+",V100&amp;"+")+1,99))+1,2)^2*PI()/400,0)</f>
        <v/>
      </c>
      <c r="W101">
        <f>IFERROR(LEFT(LEFT(W100,FIND("+",W100&amp;"+")-1),FIND("t",LEFT(W100,FIND("+",W100&amp;"+")-1))-1)*MID(LEFT(W100,FIND("+",W100&amp;"+")-1),FIND("t",LEFT(W100,FIND("+",W100&amp;"+")-1))+1,2)^2*PI()/400,0)+IFERROR(LEFT(MID(W100,FIND("+",W100&amp;"+")+1,99),FIND("t",MID(W100,FIND("+",W100&amp;"+")+1,99))-1)*MID(MID(W100,FIND("+",W100&amp;"+")+1,99),FIND("t",MID(W100,FIND("+",W100&amp;"+")+1,99))+1,2)^2*PI()/400,0)</f>
        <v/>
      </c>
      <c r="X101">
        <f>IFERROR(LEFT(LEFT(X100,FIND("+",X100&amp;"+")-1),FIND("t",LEFT(X100,FIND("+",X100&amp;"+")-1))-1)*MID(LEFT(X100,FIND("+",X100&amp;"+")-1),FIND("t",LEFT(X100,FIND("+",X100&amp;"+")-1))+1,2)^2*PI()/400,0)+IFERROR(LEFT(MID(X100,FIND("+",X100&amp;"+")+1,99),FIND("t",MID(X100,FIND("+",X100&amp;"+")+1,99))-1)*MID(MID(X100,FIND("+",X100&amp;"+")+1,99),FIND("t",MID(X100,FIND("+",X100&amp;"+")+1,99))+1,2)^2*PI()/400,0)</f>
        <v/>
      </c>
      <c r="Y101">
        <f>IFERROR(LEFT(LEFT(Y100,FIND("+",Y100&amp;"+")-1),FIND("t",LEFT(Y100,FIND("+",Y100&amp;"+")-1))-1)*MID(LEFT(Y100,FIND("+",Y100&amp;"+")-1),FIND("t",LEFT(Y100,FIND("+",Y100&amp;"+")-1))+1,2)^2*PI()/400,0)+IFERROR(LEFT(MID(Y100,FIND("+",Y100&amp;"+")+1,99),FIND("t",MID(Y100,FIND("+",Y100&amp;"+")+1,99))-1)*MID(MID(Y100,FIND("+",Y100&amp;"+")+1,99),FIND("t",MID(Y100,FIND("+",Y100&amp;"+")+1,99))+1,2)^2*PI()/400,0)</f>
        <v/>
      </c>
      <c r="Z101">
        <f>IFERROR(LEFT(LEFT(Z100,FIND("+",Z100&amp;"+")-1),FIND("t",LEFT(Z100,FIND("+",Z100&amp;"+")-1))-1)*MID(LEFT(Z100,FIND("+",Z100&amp;"+")-1),FIND("t",LEFT(Z100,FIND("+",Z100&amp;"+")-1))+1,2)^2*PI()/400,0)+IFERROR(LEFT(MID(Z100,FIND("+",Z100&amp;"+")+1,99),FIND("t",MID(Z100,FIND("+",Z100&amp;"+")+1,99))-1)*MID(MID(Z100,FIND("+",Z100&amp;"+")+1,99),FIND("t",MID(Z100,FIND("+",Z100&amp;"+")+1,99))+1,2)^2*PI()/400,0)</f>
        <v/>
      </c>
      <c r="AA101">
        <f>IFERROR(LEFT(LEFT(AA100,FIND("+",AA100&amp;"+")-1),FIND("t",LEFT(AA100,FIND("+",AA100&amp;"+")-1))-1)*MID(LEFT(AA100,FIND("+",AA100&amp;"+")-1),FIND("t",LEFT(AA100,FIND("+",AA100&amp;"+")-1))+1,2)^2*PI()/400,0)+IFERROR(LEFT(MID(AA100,FIND("+",AA100&amp;"+")+1,99),FIND("t",MID(AA100,FIND("+",AA100&amp;"+")+1,99))-1)*MID(MID(AA100,FIND("+",AA100&amp;"+")+1,99),FIND("t",MID(AA100,FIND("+",AA100&amp;"+")+1,99))+1,2)^2*PI()/400,0)</f>
        <v/>
      </c>
      <c r="AB101">
        <f>IFERROR(LEFT(LEFT(AB100,FIND("+",AB100&amp;"+")-1),FIND("t",LEFT(AB100,FIND("+",AB100&amp;"+")-1))-1)*MID(LEFT(AB100,FIND("+",AB100&amp;"+")-1),FIND("t",LEFT(AB100,FIND("+",AB100&amp;"+")-1))+1,2)^2*PI()/400,0)+IFERROR(LEFT(MID(AB100,FIND("+",AB100&amp;"+")+1,99),FIND("t",MID(AB100,FIND("+",AB100&amp;"+")+1,99))-1)*MID(MID(AB100,FIND("+",AB100&amp;"+")+1,99),FIND("t",MID(AB100,FIND("+",AB100&amp;"+")+1,99))+1,2)^2*PI()/400,0)</f>
        <v/>
      </c>
      <c r="AC101">
        <f>IFERROR(LEFT(LEFT(AC100,FIND("+",AC100&amp;"+")-1),FIND("t",LEFT(AC100,FIND("+",AC100&amp;"+")-1))-1)*MID(LEFT(AC100,FIND("+",AC100&amp;"+")-1),FIND("t",LEFT(AC100,FIND("+",AC100&amp;"+")-1))+1,2)^2*PI()/400,0)+IFERROR(LEFT(MID(AC100,FIND("+",AC100&amp;"+")+1,99),FIND("t",MID(AC100,FIND("+",AC100&amp;"+")+1,99))-1)*MID(MID(AC100,FIND("+",AC100&amp;"+")+1,99),FIND("t",MID(AC100,FIND("+",AC100&amp;"+")+1,99))+1,2)^2*PI()/400,0)</f>
        <v/>
      </c>
      <c r="AD101">
        <f>IFERROR(LEFT(LEFT(AD100,FIND("+",AD100&amp;"+")-1),FIND("t",LEFT(AD100,FIND("+",AD100&amp;"+")-1))-1)*MID(LEFT(AD100,FIND("+",AD100&amp;"+")-1),FIND("t",LEFT(AD100,FIND("+",AD100&amp;"+")-1))+1,2)^2*PI()/400,0)+IFERROR(LEFT(MID(AD100,FIND("+",AD100&amp;"+")+1,99),FIND("t",MID(AD100,FIND("+",AD100&amp;"+")+1,99))-1)*MID(MID(AD100,FIND("+",AD100&amp;"+")+1,99),FIND("t",MID(AD100,FIND("+",AD100&amp;"+")+1,99))+1,2)^2*PI()/400,0)</f>
        <v/>
      </c>
      <c r="AE101">
        <f>IFERROR(LEFT(LEFT(AE100,FIND("+",AE100&amp;"+")-1),FIND("t",LEFT(AE100,FIND("+",AE100&amp;"+")-1))-1)*MID(LEFT(AE100,FIND("+",AE100&amp;"+")-1),FIND("t",LEFT(AE100,FIND("+",AE100&amp;"+")-1))+1,2)^2*PI()/400,0)+IFERROR(LEFT(MID(AE100,FIND("+",AE100&amp;"+")+1,99),FIND("t",MID(AE100,FIND("+",AE100&amp;"+")+1,99))-1)*MID(MID(AE100,FIND("+",AE100&amp;"+")+1,99),FIND("t",MID(AE100,FIND("+",AE100&amp;"+")+1,99))+1,2)^2*PI()/400,0)</f>
        <v/>
      </c>
      <c r="AF101">
        <f>IFERROR(LEFT(LEFT(AF100,FIND("+",AF100&amp;"+")-1),FIND("t",LEFT(AF100,FIND("+",AF100&amp;"+")-1))-1)*MID(LEFT(AF100,FIND("+",AF100&amp;"+")-1),FIND("t",LEFT(AF100,FIND("+",AF100&amp;"+")-1))+1,2)^2*PI()/400,0)+IFERROR(LEFT(MID(AF100,FIND("+",AF100&amp;"+")+1,99),FIND("t",MID(AF100,FIND("+",AF100&amp;"+")+1,99))-1)*MID(MID(AF100,FIND("+",AF100&amp;"+")+1,99),FIND("t",MID(AF100,FIND("+",AF100&amp;"+")+1,99))+1,2)^2*PI()/400,0)</f>
        <v/>
      </c>
      <c r="AG101">
        <f>IFERROR(LEFT(LEFT(AG100,FIND("+",AG100&amp;"+")-1),FIND("t",LEFT(AG100,FIND("+",AG100&amp;"+")-1))-1)*MID(LEFT(AG100,FIND("+",AG100&amp;"+")-1),FIND("t",LEFT(AG100,FIND("+",AG100&amp;"+")-1))+1,2)^2*PI()/400,0)+IFERROR(LEFT(MID(AG100,FIND("+",AG100&amp;"+")+1,99),FIND("t",MID(AG100,FIND("+",AG100&amp;"+")+1,99))-1)*MID(MID(AG100,FIND("+",AG100&amp;"+")+1,99),FIND("t",MID(AG100,FIND("+",AG100&amp;"+")+1,99))+1,2)^2*PI()/400,0)</f>
        <v/>
      </c>
    </row>
    <row r="102" hidden="1" outlineLevel="1">
      <c r="A102" s="60" t="inlineStr">
        <is>
          <t>(phụ trợ) N_B2R</t>
        </is>
      </c>
      <c r="C102">
        <f>SUBSTITUTE(SUBSTITUTE(SUBSTITUTE(SUBSTITUTE(SUBSTITUTE(SUBSTITUTE(LOWER(IF(ISNUMBER(FIND(";",C21)),MID(C21,FIND(";",C21)+1,99),C21))," ",""),"%%c","t"),"ø","t"),"φ","t"),"f","t"),"d","t")</f>
        <v/>
      </c>
      <c r="D102">
        <f>SUBSTITUTE(SUBSTITUTE(SUBSTITUTE(SUBSTITUTE(SUBSTITUTE(SUBSTITUTE(LOWER(IF(ISNUMBER(FIND(";",D21)),MID(D21,FIND(";",D21)+1,99),D21))," ",""),"%%c","t"),"ø","t"),"φ","t"),"f","t"),"d","t")</f>
        <v/>
      </c>
      <c r="E102">
        <f>SUBSTITUTE(SUBSTITUTE(SUBSTITUTE(SUBSTITUTE(SUBSTITUTE(SUBSTITUTE(LOWER(IF(ISNUMBER(FIND(";",E21)),MID(E21,FIND(";",E21)+1,99),E21))," ",""),"%%c","t"),"ø","t"),"φ","t"),"f","t"),"d","t")</f>
        <v/>
      </c>
      <c r="F102">
        <f>SUBSTITUTE(SUBSTITUTE(SUBSTITUTE(SUBSTITUTE(SUBSTITUTE(SUBSTITUTE(LOWER(IF(ISNUMBER(FIND(";",F21)),MID(F21,FIND(";",F21)+1,99),F21))," ",""),"%%c","t"),"ø","t"),"φ","t"),"f","t"),"d","t")</f>
        <v/>
      </c>
      <c r="G102">
        <f>SUBSTITUTE(SUBSTITUTE(SUBSTITUTE(SUBSTITUTE(SUBSTITUTE(SUBSTITUTE(LOWER(IF(ISNUMBER(FIND(";",G21)),MID(G21,FIND(";",G21)+1,99),G21))," ",""),"%%c","t"),"ø","t"),"φ","t"),"f","t"),"d","t")</f>
        <v/>
      </c>
      <c r="H102">
        <f>SUBSTITUTE(SUBSTITUTE(SUBSTITUTE(SUBSTITUTE(SUBSTITUTE(SUBSTITUTE(LOWER(IF(ISNUMBER(FIND(";",H21)),MID(H21,FIND(";",H21)+1,99),H21))," ",""),"%%c","t"),"ø","t"),"φ","t"),"f","t"),"d","t")</f>
        <v/>
      </c>
      <c r="I102">
        <f>SUBSTITUTE(SUBSTITUTE(SUBSTITUTE(SUBSTITUTE(SUBSTITUTE(SUBSTITUTE(LOWER(IF(ISNUMBER(FIND(";",I21)),MID(I21,FIND(";",I21)+1,99),I21))," ",""),"%%c","t"),"ø","t"),"φ","t"),"f","t"),"d","t")</f>
        <v/>
      </c>
      <c r="J102">
        <f>SUBSTITUTE(SUBSTITUTE(SUBSTITUTE(SUBSTITUTE(SUBSTITUTE(SUBSTITUTE(LOWER(IF(ISNUMBER(FIND(";",J21)),MID(J21,FIND(";",J21)+1,99),J21))," ",""),"%%c","t"),"ø","t"),"φ","t"),"f","t"),"d","t")</f>
        <v/>
      </c>
      <c r="K102">
        <f>SUBSTITUTE(SUBSTITUTE(SUBSTITUTE(SUBSTITUTE(SUBSTITUTE(SUBSTITUTE(LOWER(IF(ISNUMBER(FIND(";",K21)),MID(K21,FIND(";",K21)+1,99),K21))," ",""),"%%c","t"),"ø","t"),"φ","t"),"f","t"),"d","t")</f>
        <v/>
      </c>
      <c r="L102">
        <f>SUBSTITUTE(SUBSTITUTE(SUBSTITUTE(SUBSTITUTE(SUBSTITUTE(SUBSTITUTE(LOWER(IF(ISNUMBER(FIND(";",L21)),MID(L21,FIND(";",L21)+1,99),L21))," ",""),"%%c","t"),"ø","t"),"φ","t"),"f","t"),"d","t")</f>
        <v/>
      </c>
      <c r="M102">
        <f>SUBSTITUTE(SUBSTITUTE(SUBSTITUTE(SUBSTITUTE(SUBSTITUTE(SUBSTITUTE(LOWER(IF(ISNUMBER(FIND(";",M21)),MID(M21,FIND(";",M21)+1,99),M21))," ",""),"%%c","t"),"ø","t"),"φ","t"),"f","t"),"d","t")</f>
        <v/>
      </c>
      <c r="N102">
        <f>SUBSTITUTE(SUBSTITUTE(SUBSTITUTE(SUBSTITUTE(SUBSTITUTE(SUBSTITUTE(LOWER(IF(ISNUMBER(FIND(";",N21)),MID(N21,FIND(";",N21)+1,99),N21))," ",""),"%%c","t"),"ø","t"),"φ","t"),"f","t"),"d","t")</f>
        <v/>
      </c>
      <c r="O102">
        <f>SUBSTITUTE(SUBSTITUTE(SUBSTITUTE(SUBSTITUTE(SUBSTITUTE(SUBSTITUTE(LOWER(IF(ISNUMBER(FIND(";",O21)),MID(O21,FIND(";",O21)+1,99),O21))," ",""),"%%c","t"),"ø","t"),"φ","t"),"f","t"),"d","t")</f>
        <v/>
      </c>
      <c r="P102">
        <f>SUBSTITUTE(SUBSTITUTE(SUBSTITUTE(SUBSTITUTE(SUBSTITUTE(SUBSTITUTE(LOWER(IF(ISNUMBER(FIND(";",P21)),MID(P21,FIND(";",P21)+1,99),P21))," ",""),"%%c","t"),"ø","t"),"φ","t"),"f","t"),"d","t")</f>
        <v/>
      </c>
      <c r="Q102">
        <f>SUBSTITUTE(SUBSTITUTE(SUBSTITUTE(SUBSTITUTE(SUBSTITUTE(SUBSTITUTE(LOWER(IF(ISNUMBER(FIND(";",Q21)),MID(Q21,FIND(";",Q21)+1,99),Q21))," ",""),"%%c","t"),"ø","t"),"φ","t"),"f","t"),"d","t")</f>
        <v/>
      </c>
      <c r="R102">
        <f>SUBSTITUTE(SUBSTITUTE(SUBSTITUTE(SUBSTITUTE(SUBSTITUTE(SUBSTITUTE(LOWER(IF(ISNUMBER(FIND(";",R21)),MID(R21,FIND(";",R21)+1,99),R21))," ",""),"%%c","t"),"ø","t"),"φ","t"),"f","t"),"d","t")</f>
        <v/>
      </c>
      <c r="S102">
        <f>SUBSTITUTE(SUBSTITUTE(SUBSTITUTE(SUBSTITUTE(SUBSTITUTE(SUBSTITUTE(LOWER(IF(ISNUMBER(FIND(";",S21)),MID(S21,FIND(";",S21)+1,99),S21))," ",""),"%%c","t"),"ø","t"),"φ","t"),"f","t"),"d","t")</f>
        <v/>
      </c>
      <c r="T102">
        <f>SUBSTITUTE(SUBSTITUTE(SUBSTITUTE(SUBSTITUTE(SUBSTITUTE(SUBSTITUTE(LOWER(IF(ISNUMBER(FIND(";",T21)),MID(T21,FIND(";",T21)+1,99),T21))," ",""),"%%c","t"),"ø","t"),"φ","t"),"f","t"),"d","t")</f>
        <v/>
      </c>
      <c r="U102">
        <f>SUBSTITUTE(SUBSTITUTE(SUBSTITUTE(SUBSTITUTE(SUBSTITUTE(SUBSTITUTE(LOWER(IF(ISNUMBER(FIND(";",U21)),MID(U21,FIND(";",U21)+1,99),U21))," ",""),"%%c","t"),"ø","t"),"φ","t"),"f","t"),"d","t")</f>
        <v/>
      </c>
      <c r="V102">
        <f>SUBSTITUTE(SUBSTITUTE(SUBSTITUTE(SUBSTITUTE(SUBSTITUTE(SUBSTITUTE(LOWER(IF(ISNUMBER(FIND(";",V21)),MID(V21,FIND(";",V21)+1,99),V21))," ",""),"%%c","t"),"ø","t"),"φ","t"),"f","t"),"d","t")</f>
        <v/>
      </c>
      <c r="W102">
        <f>SUBSTITUTE(SUBSTITUTE(SUBSTITUTE(SUBSTITUTE(SUBSTITUTE(SUBSTITUTE(LOWER(IF(ISNUMBER(FIND(";",W21)),MID(W21,FIND(";",W21)+1,99),W21))," ",""),"%%c","t"),"ø","t"),"φ","t"),"f","t"),"d","t")</f>
        <v/>
      </c>
      <c r="X102">
        <f>SUBSTITUTE(SUBSTITUTE(SUBSTITUTE(SUBSTITUTE(SUBSTITUTE(SUBSTITUTE(LOWER(IF(ISNUMBER(FIND(";",X21)),MID(X21,FIND(";",X21)+1,99),X21))," ",""),"%%c","t"),"ø","t"),"φ","t"),"f","t"),"d","t")</f>
        <v/>
      </c>
      <c r="Y102">
        <f>SUBSTITUTE(SUBSTITUTE(SUBSTITUTE(SUBSTITUTE(SUBSTITUTE(SUBSTITUTE(LOWER(IF(ISNUMBER(FIND(";",Y21)),MID(Y21,FIND(";",Y21)+1,99),Y21))," ",""),"%%c","t"),"ø","t"),"φ","t"),"f","t"),"d","t")</f>
        <v/>
      </c>
      <c r="Z102">
        <f>SUBSTITUTE(SUBSTITUTE(SUBSTITUTE(SUBSTITUTE(SUBSTITUTE(SUBSTITUTE(LOWER(IF(ISNUMBER(FIND(";",Z21)),MID(Z21,FIND(";",Z21)+1,99),Z21))," ",""),"%%c","t"),"ø","t"),"φ","t"),"f","t"),"d","t")</f>
        <v/>
      </c>
      <c r="AA102">
        <f>SUBSTITUTE(SUBSTITUTE(SUBSTITUTE(SUBSTITUTE(SUBSTITUTE(SUBSTITUTE(LOWER(IF(ISNUMBER(FIND(";",AA21)),MID(AA21,FIND(";",AA21)+1,99),AA21))," ",""),"%%c","t"),"ø","t"),"φ","t"),"f","t"),"d","t")</f>
        <v/>
      </c>
      <c r="AB102">
        <f>SUBSTITUTE(SUBSTITUTE(SUBSTITUTE(SUBSTITUTE(SUBSTITUTE(SUBSTITUTE(LOWER(IF(ISNUMBER(FIND(";",AB21)),MID(AB21,FIND(";",AB21)+1,99),AB21))," ",""),"%%c","t"),"ø","t"),"φ","t"),"f","t"),"d","t")</f>
        <v/>
      </c>
      <c r="AC102">
        <f>SUBSTITUTE(SUBSTITUTE(SUBSTITUTE(SUBSTITUTE(SUBSTITUTE(SUBSTITUTE(LOWER(IF(ISNUMBER(FIND(";",AC21)),MID(AC21,FIND(";",AC21)+1,99),AC21))," ",""),"%%c","t"),"ø","t"),"φ","t"),"f","t"),"d","t")</f>
        <v/>
      </c>
      <c r="AD102">
        <f>SUBSTITUTE(SUBSTITUTE(SUBSTITUTE(SUBSTITUTE(SUBSTITUTE(SUBSTITUTE(LOWER(IF(ISNUMBER(FIND(";",AD21)),MID(AD21,FIND(";",AD21)+1,99),AD21))," ",""),"%%c","t"),"ø","t"),"φ","t"),"f","t"),"d","t")</f>
        <v/>
      </c>
      <c r="AE102">
        <f>SUBSTITUTE(SUBSTITUTE(SUBSTITUTE(SUBSTITUTE(SUBSTITUTE(SUBSTITUTE(LOWER(IF(ISNUMBER(FIND(";",AE21)),MID(AE21,FIND(";",AE21)+1,99),AE21))," ",""),"%%c","t"),"ø","t"),"φ","t"),"f","t"),"d","t")</f>
        <v/>
      </c>
      <c r="AF102">
        <f>SUBSTITUTE(SUBSTITUTE(SUBSTITUTE(SUBSTITUTE(SUBSTITUTE(SUBSTITUTE(LOWER(IF(ISNUMBER(FIND(";",AF21)),MID(AF21,FIND(";",AF21)+1,99),AF21))," ",""),"%%c","t"),"ø","t"),"φ","t"),"f","t"),"d","t")</f>
        <v/>
      </c>
      <c r="AG102">
        <f>SUBSTITUTE(SUBSTITUTE(SUBSTITUTE(SUBSTITUTE(SUBSTITUTE(SUBSTITUTE(LOWER(IF(ISNUMBER(FIND(";",AG21)),MID(AG21,FIND(";",AG21)+1,99),AG21))," ",""),"%%c","t"),"ø","t"),"φ","t"),"f","t"),"d","t")</f>
        <v/>
      </c>
    </row>
    <row r="103" hidden="1" outlineLevel="1">
      <c r="A103" s="60" t="inlineStr">
        <is>
          <t>(phụ trợ) A_B2R</t>
        </is>
      </c>
      <c r="C103">
        <f>IFERROR(LEFT(LEFT(C102,FIND("+",C102&amp;"+")-1),FIND("t",LEFT(C102,FIND("+",C102&amp;"+")-1))-1)*MID(LEFT(C102,FIND("+",C102&amp;"+")-1),FIND("t",LEFT(C102,FIND("+",C102&amp;"+")-1))+1,2)^2*PI()/400,0)+IFERROR(LEFT(MID(C102,FIND("+",C102&amp;"+")+1,99),FIND("t",MID(C102,FIND("+",C102&amp;"+")+1,99))-1)*MID(MID(C102,FIND("+",C102&amp;"+")+1,99),FIND("t",MID(C102,FIND("+",C102&amp;"+")+1,99))+1,2)^2*PI()/400,0)</f>
        <v/>
      </c>
      <c r="D103">
        <f>IFERROR(LEFT(LEFT(D102,FIND("+",D102&amp;"+")-1),FIND("t",LEFT(D102,FIND("+",D102&amp;"+")-1))-1)*MID(LEFT(D102,FIND("+",D102&amp;"+")-1),FIND("t",LEFT(D102,FIND("+",D102&amp;"+")-1))+1,2)^2*PI()/400,0)+IFERROR(LEFT(MID(D102,FIND("+",D102&amp;"+")+1,99),FIND("t",MID(D102,FIND("+",D102&amp;"+")+1,99))-1)*MID(MID(D102,FIND("+",D102&amp;"+")+1,99),FIND("t",MID(D102,FIND("+",D102&amp;"+")+1,99))+1,2)^2*PI()/400,0)</f>
        <v/>
      </c>
      <c r="E103">
        <f>IFERROR(LEFT(LEFT(E102,FIND("+",E102&amp;"+")-1),FIND("t",LEFT(E102,FIND("+",E102&amp;"+")-1))-1)*MID(LEFT(E102,FIND("+",E102&amp;"+")-1),FIND("t",LEFT(E102,FIND("+",E102&amp;"+")-1))+1,2)^2*PI()/400,0)+IFERROR(LEFT(MID(E102,FIND("+",E102&amp;"+")+1,99),FIND("t",MID(E102,FIND("+",E102&amp;"+")+1,99))-1)*MID(MID(E102,FIND("+",E102&amp;"+")+1,99),FIND("t",MID(E102,FIND("+",E102&amp;"+")+1,99))+1,2)^2*PI()/400,0)</f>
        <v/>
      </c>
      <c r="F103">
        <f>IFERROR(LEFT(LEFT(F102,FIND("+",F102&amp;"+")-1),FIND("t",LEFT(F102,FIND("+",F102&amp;"+")-1))-1)*MID(LEFT(F102,FIND("+",F102&amp;"+")-1),FIND("t",LEFT(F102,FIND("+",F102&amp;"+")-1))+1,2)^2*PI()/400,0)+IFERROR(LEFT(MID(F102,FIND("+",F102&amp;"+")+1,99),FIND("t",MID(F102,FIND("+",F102&amp;"+")+1,99))-1)*MID(MID(F102,FIND("+",F102&amp;"+")+1,99),FIND("t",MID(F102,FIND("+",F102&amp;"+")+1,99))+1,2)^2*PI()/400,0)</f>
        <v/>
      </c>
      <c r="G103">
        <f>IFERROR(LEFT(LEFT(G102,FIND("+",G102&amp;"+")-1),FIND("t",LEFT(G102,FIND("+",G102&amp;"+")-1))-1)*MID(LEFT(G102,FIND("+",G102&amp;"+")-1),FIND("t",LEFT(G102,FIND("+",G102&amp;"+")-1))+1,2)^2*PI()/400,0)+IFERROR(LEFT(MID(G102,FIND("+",G102&amp;"+")+1,99),FIND("t",MID(G102,FIND("+",G102&amp;"+")+1,99))-1)*MID(MID(G102,FIND("+",G102&amp;"+")+1,99),FIND("t",MID(G102,FIND("+",G102&amp;"+")+1,99))+1,2)^2*PI()/400,0)</f>
        <v/>
      </c>
      <c r="H103">
        <f>IFERROR(LEFT(LEFT(H102,FIND("+",H102&amp;"+")-1),FIND("t",LEFT(H102,FIND("+",H102&amp;"+")-1))-1)*MID(LEFT(H102,FIND("+",H102&amp;"+")-1),FIND("t",LEFT(H102,FIND("+",H102&amp;"+")-1))+1,2)^2*PI()/400,0)+IFERROR(LEFT(MID(H102,FIND("+",H102&amp;"+")+1,99),FIND("t",MID(H102,FIND("+",H102&amp;"+")+1,99))-1)*MID(MID(H102,FIND("+",H102&amp;"+")+1,99),FIND("t",MID(H102,FIND("+",H102&amp;"+")+1,99))+1,2)^2*PI()/400,0)</f>
        <v/>
      </c>
      <c r="I103">
        <f>IFERROR(LEFT(LEFT(I102,FIND("+",I102&amp;"+")-1),FIND("t",LEFT(I102,FIND("+",I102&amp;"+")-1))-1)*MID(LEFT(I102,FIND("+",I102&amp;"+")-1),FIND("t",LEFT(I102,FIND("+",I102&amp;"+")-1))+1,2)^2*PI()/400,0)+IFERROR(LEFT(MID(I102,FIND("+",I102&amp;"+")+1,99),FIND("t",MID(I102,FIND("+",I102&amp;"+")+1,99))-1)*MID(MID(I102,FIND("+",I102&amp;"+")+1,99),FIND("t",MID(I102,FIND("+",I102&amp;"+")+1,99))+1,2)^2*PI()/400,0)</f>
        <v/>
      </c>
      <c r="J103">
        <f>IFERROR(LEFT(LEFT(J102,FIND("+",J102&amp;"+")-1),FIND("t",LEFT(J102,FIND("+",J102&amp;"+")-1))-1)*MID(LEFT(J102,FIND("+",J102&amp;"+")-1),FIND("t",LEFT(J102,FIND("+",J102&amp;"+")-1))+1,2)^2*PI()/400,0)+IFERROR(LEFT(MID(J102,FIND("+",J102&amp;"+")+1,99),FIND("t",MID(J102,FIND("+",J102&amp;"+")+1,99))-1)*MID(MID(J102,FIND("+",J102&amp;"+")+1,99),FIND("t",MID(J102,FIND("+",J102&amp;"+")+1,99))+1,2)^2*PI()/400,0)</f>
        <v/>
      </c>
      <c r="K103">
        <f>IFERROR(LEFT(LEFT(K102,FIND("+",K102&amp;"+")-1),FIND("t",LEFT(K102,FIND("+",K102&amp;"+")-1))-1)*MID(LEFT(K102,FIND("+",K102&amp;"+")-1),FIND("t",LEFT(K102,FIND("+",K102&amp;"+")-1))+1,2)^2*PI()/400,0)+IFERROR(LEFT(MID(K102,FIND("+",K102&amp;"+")+1,99),FIND("t",MID(K102,FIND("+",K102&amp;"+")+1,99))-1)*MID(MID(K102,FIND("+",K102&amp;"+")+1,99),FIND("t",MID(K102,FIND("+",K102&amp;"+")+1,99))+1,2)^2*PI()/400,0)</f>
        <v/>
      </c>
      <c r="L103">
        <f>IFERROR(LEFT(LEFT(L102,FIND("+",L102&amp;"+")-1),FIND("t",LEFT(L102,FIND("+",L102&amp;"+")-1))-1)*MID(LEFT(L102,FIND("+",L102&amp;"+")-1),FIND("t",LEFT(L102,FIND("+",L102&amp;"+")-1))+1,2)^2*PI()/400,0)+IFERROR(LEFT(MID(L102,FIND("+",L102&amp;"+")+1,99),FIND("t",MID(L102,FIND("+",L102&amp;"+")+1,99))-1)*MID(MID(L102,FIND("+",L102&amp;"+")+1,99),FIND("t",MID(L102,FIND("+",L102&amp;"+")+1,99))+1,2)^2*PI()/400,0)</f>
        <v/>
      </c>
      <c r="M103">
        <f>IFERROR(LEFT(LEFT(M102,FIND("+",M102&amp;"+")-1),FIND("t",LEFT(M102,FIND("+",M102&amp;"+")-1))-1)*MID(LEFT(M102,FIND("+",M102&amp;"+")-1),FIND("t",LEFT(M102,FIND("+",M102&amp;"+")-1))+1,2)^2*PI()/400,0)+IFERROR(LEFT(MID(M102,FIND("+",M102&amp;"+")+1,99),FIND("t",MID(M102,FIND("+",M102&amp;"+")+1,99))-1)*MID(MID(M102,FIND("+",M102&amp;"+")+1,99),FIND("t",MID(M102,FIND("+",M102&amp;"+")+1,99))+1,2)^2*PI()/400,0)</f>
        <v/>
      </c>
      <c r="N103">
        <f>IFERROR(LEFT(LEFT(N102,FIND("+",N102&amp;"+")-1),FIND("t",LEFT(N102,FIND("+",N102&amp;"+")-1))-1)*MID(LEFT(N102,FIND("+",N102&amp;"+")-1),FIND("t",LEFT(N102,FIND("+",N102&amp;"+")-1))+1,2)^2*PI()/400,0)+IFERROR(LEFT(MID(N102,FIND("+",N102&amp;"+")+1,99),FIND("t",MID(N102,FIND("+",N102&amp;"+")+1,99))-1)*MID(MID(N102,FIND("+",N102&amp;"+")+1,99),FIND("t",MID(N102,FIND("+",N102&amp;"+")+1,99))+1,2)^2*PI()/400,0)</f>
        <v/>
      </c>
      <c r="O103">
        <f>IFERROR(LEFT(LEFT(O102,FIND("+",O102&amp;"+")-1),FIND("t",LEFT(O102,FIND("+",O102&amp;"+")-1))-1)*MID(LEFT(O102,FIND("+",O102&amp;"+")-1),FIND("t",LEFT(O102,FIND("+",O102&amp;"+")-1))+1,2)^2*PI()/400,0)+IFERROR(LEFT(MID(O102,FIND("+",O102&amp;"+")+1,99),FIND("t",MID(O102,FIND("+",O102&amp;"+")+1,99))-1)*MID(MID(O102,FIND("+",O102&amp;"+")+1,99),FIND("t",MID(O102,FIND("+",O102&amp;"+")+1,99))+1,2)^2*PI()/400,0)</f>
        <v/>
      </c>
      <c r="P103">
        <f>IFERROR(LEFT(LEFT(P102,FIND("+",P102&amp;"+")-1),FIND("t",LEFT(P102,FIND("+",P102&amp;"+")-1))-1)*MID(LEFT(P102,FIND("+",P102&amp;"+")-1),FIND("t",LEFT(P102,FIND("+",P102&amp;"+")-1))+1,2)^2*PI()/400,0)+IFERROR(LEFT(MID(P102,FIND("+",P102&amp;"+")+1,99),FIND("t",MID(P102,FIND("+",P102&amp;"+")+1,99))-1)*MID(MID(P102,FIND("+",P102&amp;"+")+1,99),FIND("t",MID(P102,FIND("+",P102&amp;"+")+1,99))+1,2)^2*PI()/400,0)</f>
        <v/>
      </c>
      <c r="Q103">
        <f>IFERROR(LEFT(LEFT(Q102,FIND("+",Q102&amp;"+")-1),FIND("t",LEFT(Q102,FIND("+",Q102&amp;"+")-1))-1)*MID(LEFT(Q102,FIND("+",Q102&amp;"+")-1),FIND("t",LEFT(Q102,FIND("+",Q102&amp;"+")-1))+1,2)^2*PI()/400,0)+IFERROR(LEFT(MID(Q102,FIND("+",Q102&amp;"+")+1,99),FIND("t",MID(Q102,FIND("+",Q102&amp;"+")+1,99))-1)*MID(MID(Q102,FIND("+",Q102&amp;"+")+1,99),FIND("t",MID(Q102,FIND("+",Q102&amp;"+")+1,99))+1,2)^2*PI()/400,0)</f>
        <v/>
      </c>
      <c r="R103">
        <f>IFERROR(LEFT(LEFT(R102,FIND("+",R102&amp;"+")-1),FIND("t",LEFT(R102,FIND("+",R102&amp;"+")-1))-1)*MID(LEFT(R102,FIND("+",R102&amp;"+")-1),FIND("t",LEFT(R102,FIND("+",R102&amp;"+")-1))+1,2)^2*PI()/400,0)+IFERROR(LEFT(MID(R102,FIND("+",R102&amp;"+")+1,99),FIND("t",MID(R102,FIND("+",R102&amp;"+")+1,99))-1)*MID(MID(R102,FIND("+",R102&amp;"+")+1,99),FIND("t",MID(R102,FIND("+",R102&amp;"+")+1,99))+1,2)^2*PI()/400,0)</f>
        <v/>
      </c>
      <c r="S103">
        <f>IFERROR(LEFT(LEFT(S102,FIND("+",S102&amp;"+")-1),FIND("t",LEFT(S102,FIND("+",S102&amp;"+")-1))-1)*MID(LEFT(S102,FIND("+",S102&amp;"+")-1),FIND("t",LEFT(S102,FIND("+",S102&amp;"+")-1))+1,2)^2*PI()/400,0)+IFERROR(LEFT(MID(S102,FIND("+",S102&amp;"+")+1,99),FIND("t",MID(S102,FIND("+",S102&amp;"+")+1,99))-1)*MID(MID(S102,FIND("+",S102&amp;"+")+1,99),FIND("t",MID(S102,FIND("+",S102&amp;"+")+1,99))+1,2)^2*PI()/400,0)</f>
        <v/>
      </c>
      <c r="T103">
        <f>IFERROR(LEFT(LEFT(T102,FIND("+",T102&amp;"+")-1),FIND("t",LEFT(T102,FIND("+",T102&amp;"+")-1))-1)*MID(LEFT(T102,FIND("+",T102&amp;"+")-1),FIND("t",LEFT(T102,FIND("+",T102&amp;"+")-1))+1,2)^2*PI()/400,0)+IFERROR(LEFT(MID(T102,FIND("+",T102&amp;"+")+1,99),FIND("t",MID(T102,FIND("+",T102&amp;"+")+1,99))-1)*MID(MID(T102,FIND("+",T102&amp;"+")+1,99),FIND("t",MID(T102,FIND("+",T102&amp;"+")+1,99))+1,2)^2*PI()/400,0)</f>
        <v/>
      </c>
      <c r="U103">
        <f>IFERROR(LEFT(LEFT(U102,FIND("+",U102&amp;"+")-1),FIND("t",LEFT(U102,FIND("+",U102&amp;"+")-1))-1)*MID(LEFT(U102,FIND("+",U102&amp;"+")-1),FIND("t",LEFT(U102,FIND("+",U102&amp;"+")-1))+1,2)^2*PI()/400,0)+IFERROR(LEFT(MID(U102,FIND("+",U102&amp;"+")+1,99),FIND("t",MID(U102,FIND("+",U102&amp;"+")+1,99))-1)*MID(MID(U102,FIND("+",U102&amp;"+")+1,99),FIND("t",MID(U102,FIND("+",U102&amp;"+")+1,99))+1,2)^2*PI()/400,0)</f>
        <v/>
      </c>
      <c r="V103">
        <f>IFERROR(LEFT(LEFT(V102,FIND("+",V102&amp;"+")-1),FIND("t",LEFT(V102,FIND("+",V102&amp;"+")-1))-1)*MID(LEFT(V102,FIND("+",V102&amp;"+")-1),FIND("t",LEFT(V102,FIND("+",V102&amp;"+")-1))+1,2)^2*PI()/400,0)+IFERROR(LEFT(MID(V102,FIND("+",V102&amp;"+")+1,99),FIND("t",MID(V102,FIND("+",V102&amp;"+")+1,99))-1)*MID(MID(V102,FIND("+",V102&amp;"+")+1,99),FIND("t",MID(V102,FIND("+",V102&amp;"+")+1,99))+1,2)^2*PI()/400,0)</f>
        <v/>
      </c>
      <c r="W103">
        <f>IFERROR(LEFT(LEFT(W102,FIND("+",W102&amp;"+")-1),FIND("t",LEFT(W102,FIND("+",W102&amp;"+")-1))-1)*MID(LEFT(W102,FIND("+",W102&amp;"+")-1),FIND("t",LEFT(W102,FIND("+",W102&amp;"+")-1))+1,2)^2*PI()/400,0)+IFERROR(LEFT(MID(W102,FIND("+",W102&amp;"+")+1,99),FIND("t",MID(W102,FIND("+",W102&amp;"+")+1,99))-1)*MID(MID(W102,FIND("+",W102&amp;"+")+1,99),FIND("t",MID(W102,FIND("+",W102&amp;"+")+1,99))+1,2)^2*PI()/400,0)</f>
        <v/>
      </c>
      <c r="X103">
        <f>IFERROR(LEFT(LEFT(X102,FIND("+",X102&amp;"+")-1),FIND("t",LEFT(X102,FIND("+",X102&amp;"+")-1))-1)*MID(LEFT(X102,FIND("+",X102&amp;"+")-1),FIND("t",LEFT(X102,FIND("+",X102&amp;"+")-1))+1,2)^2*PI()/400,0)+IFERROR(LEFT(MID(X102,FIND("+",X102&amp;"+")+1,99),FIND("t",MID(X102,FIND("+",X102&amp;"+")+1,99))-1)*MID(MID(X102,FIND("+",X102&amp;"+")+1,99),FIND("t",MID(X102,FIND("+",X102&amp;"+")+1,99))+1,2)^2*PI()/400,0)</f>
        <v/>
      </c>
      <c r="Y103">
        <f>IFERROR(LEFT(LEFT(Y102,FIND("+",Y102&amp;"+")-1),FIND("t",LEFT(Y102,FIND("+",Y102&amp;"+")-1))-1)*MID(LEFT(Y102,FIND("+",Y102&amp;"+")-1),FIND("t",LEFT(Y102,FIND("+",Y102&amp;"+")-1))+1,2)^2*PI()/400,0)+IFERROR(LEFT(MID(Y102,FIND("+",Y102&amp;"+")+1,99),FIND("t",MID(Y102,FIND("+",Y102&amp;"+")+1,99))-1)*MID(MID(Y102,FIND("+",Y102&amp;"+")+1,99),FIND("t",MID(Y102,FIND("+",Y102&amp;"+")+1,99))+1,2)^2*PI()/400,0)</f>
        <v/>
      </c>
      <c r="Z103">
        <f>IFERROR(LEFT(LEFT(Z102,FIND("+",Z102&amp;"+")-1),FIND("t",LEFT(Z102,FIND("+",Z102&amp;"+")-1))-1)*MID(LEFT(Z102,FIND("+",Z102&amp;"+")-1),FIND("t",LEFT(Z102,FIND("+",Z102&amp;"+")-1))+1,2)^2*PI()/400,0)+IFERROR(LEFT(MID(Z102,FIND("+",Z102&amp;"+")+1,99),FIND("t",MID(Z102,FIND("+",Z102&amp;"+")+1,99))-1)*MID(MID(Z102,FIND("+",Z102&amp;"+")+1,99),FIND("t",MID(Z102,FIND("+",Z102&amp;"+")+1,99))+1,2)^2*PI()/400,0)</f>
        <v/>
      </c>
      <c r="AA103">
        <f>IFERROR(LEFT(LEFT(AA102,FIND("+",AA102&amp;"+")-1),FIND("t",LEFT(AA102,FIND("+",AA102&amp;"+")-1))-1)*MID(LEFT(AA102,FIND("+",AA102&amp;"+")-1),FIND("t",LEFT(AA102,FIND("+",AA102&amp;"+")-1))+1,2)^2*PI()/400,0)+IFERROR(LEFT(MID(AA102,FIND("+",AA102&amp;"+")+1,99),FIND("t",MID(AA102,FIND("+",AA102&amp;"+")+1,99))-1)*MID(MID(AA102,FIND("+",AA102&amp;"+")+1,99),FIND("t",MID(AA102,FIND("+",AA102&amp;"+")+1,99))+1,2)^2*PI()/400,0)</f>
        <v/>
      </c>
      <c r="AB103">
        <f>IFERROR(LEFT(LEFT(AB102,FIND("+",AB102&amp;"+")-1),FIND("t",LEFT(AB102,FIND("+",AB102&amp;"+")-1))-1)*MID(LEFT(AB102,FIND("+",AB102&amp;"+")-1),FIND("t",LEFT(AB102,FIND("+",AB102&amp;"+")-1))+1,2)^2*PI()/400,0)+IFERROR(LEFT(MID(AB102,FIND("+",AB102&amp;"+")+1,99),FIND("t",MID(AB102,FIND("+",AB102&amp;"+")+1,99))-1)*MID(MID(AB102,FIND("+",AB102&amp;"+")+1,99),FIND("t",MID(AB102,FIND("+",AB102&amp;"+")+1,99))+1,2)^2*PI()/400,0)</f>
        <v/>
      </c>
      <c r="AC103">
        <f>IFERROR(LEFT(LEFT(AC102,FIND("+",AC102&amp;"+")-1),FIND("t",LEFT(AC102,FIND("+",AC102&amp;"+")-1))-1)*MID(LEFT(AC102,FIND("+",AC102&amp;"+")-1),FIND("t",LEFT(AC102,FIND("+",AC102&amp;"+")-1))+1,2)^2*PI()/400,0)+IFERROR(LEFT(MID(AC102,FIND("+",AC102&amp;"+")+1,99),FIND("t",MID(AC102,FIND("+",AC102&amp;"+")+1,99))-1)*MID(MID(AC102,FIND("+",AC102&amp;"+")+1,99),FIND("t",MID(AC102,FIND("+",AC102&amp;"+")+1,99))+1,2)^2*PI()/400,0)</f>
        <v/>
      </c>
      <c r="AD103">
        <f>IFERROR(LEFT(LEFT(AD102,FIND("+",AD102&amp;"+")-1),FIND("t",LEFT(AD102,FIND("+",AD102&amp;"+")-1))-1)*MID(LEFT(AD102,FIND("+",AD102&amp;"+")-1),FIND("t",LEFT(AD102,FIND("+",AD102&amp;"+")-1))+1,2)^2*PI()/400,0)+IFERROR(LEFT(MID(AD102,FIND("+",AD102&amp;"+")+1,99),FIND("t",MID(AD102,FIND("+",AD102&amp;"+")+1,99))-1)*MID(MID(AD102,FIND("+",AD102&amp;"+")+1,99),FIND("t",MID(AD102,FIND("+",AD102&amp;"+")+1,99))+1,2)^2*PI()/400,0)</f>
        <v/>
      </c>
      <c r="AE103">
        <f>IFERROR(LEFT(LEFT(AE102,FIND("+",AE102&amp;"+")-1),FIND("t",LEFT(AE102,FIND("+",AE102&amp;"+")-1))-1)*MID(LEFT(AE102,FIND("+",AE102&amp;"+")-1),FIND("t",LEFT(AE102,FIND("+",AE102&amp;"+")-1))+1,2)^2*PI()/400,0)+IFERROR(LEFT(MID(AE102,FIND("+",AE102&amp;"+")+1,99),FIND("t",MID(AE102,FIND("+",AE102&amp;"+")+1,99))-1)*MID(MID(AE102,FIND("+",AE102&amp;"+")+1,99),FIND("t",MID(AE102,FIND("+",AE102&amp;"+")+1,99))+1,2)^2*PI()/400,0)</f>
        <v/>
      </c>
      <c r="AF103">
        <f>IFERROR(LEFT(LEFT(AF102,FIND("+",AF102&amp;"+")-1),FIND("t",LEFT(AF102,FIND("+",AF102&amp;"+")-1))-1)*MID(LEFT(AF102,FIND("+",AF102&amp;"+")-1),FIND("t",LEFT(AF102,FIND("+",AF102&amp;"+")-1))+1,2)^2*PI()/400,0)+IFERROR(LEFT(MID(AF102,FIND("+",AF102&amp;"+")+1,99),FIND("t",MID(AF102,FIND("+",AF102&amp;"+")+1,99))-1)*MID(MID(AF102,FIND("+",AF102&amp;"+")+1,99),FIND("t",MID(AF102,FIND("+",AF102&amp;"+")+1,99))+1,2)^2*PI()/400,0)</f>
        <v/>
      </c>
      <c r="AG103">
        <f>IFERROR(LEFT(LEFT(AG102,FIND("+",AG102&amp;"+")-1),FIND("t",LEFT(AG102,FIND("+",AG102&amp;"+")-1))-1)*MID(LEFT(AG102,FIND("+",AG102&amp;"+")-1),FIND("t",LEFT(AG102,FIND("+",AG102&amp;"+")-1))+1,2)^2*PI()/400,0)+IFERROR(LEFT(MID(AG102,FIND("+",AG102&amp;"+")+1,99),FIND("t",MID(AG102,FIND("+",AG102&amp;"+")+1,99))-1)*MID(MID(AG102,FIND("+",AG102&amp;"+")+1,99),FIND("t",MID(AG102,FIND("+",AG102&amp;"+")+1,99))+1,2)^2*PI()/400,0)</f>
        <v/>
      </c>
    </row>
    <row r="104" hidden="1" outlineLevel="1">
      <c r="A104" s="60" t="inlineStr">
        <is>
          <t>(phụ trợ) N_B3L</t>
        </is>
      </c>
      <c r="C104">
        <f>SUBSTITUTE(SUBSTITUTE(SUBSTITUTE(SUBSTITUTE(SUBSTITUTE(SUBSTITUTE(LOWER(IF(ISNUMBER(FIND(";",C20)),LEFT(C20,FIND(";",C20)-1),C20))," ",""),"%%c","t"),"ø","t"),"φ","t"),"f","t"),"d","t")</f>
        <v/>
      </c>
      <c r="D104">
        <f>SUBSTITUTE(SUBSTITUTE(SUBSTITUTE(SUBSTITUTE(SUBSTITUTE(SUBSTITUTE(LOWER(IF(ISNUMBER(FIND(";",D20)),LEFT(D20,FIND(";",D20)-1),D20))," ",""),"%%c","t"),"ø","t"),"φ","t"),"f","t"),"d","t")</f>
        <v/>
      </c>
      <c r="E104">
        <f>SUBSTITUTE(SUBSTITUTE(SUBSTITUTE(SUBSTITUTE(SUBSTITUTE(SUBSTITUTE(LOWER(IF(ISNUMBER(FIND(";",E20)),LEFT(E20,FIND(";",E20)-1),E20))," ",""),"%%c","t"),"ø","t"),"φ","t"),"f","t"),"d","t")</f>
        <v/>
      </c>
      <c r="F104">
        <f>SUBSTITUTE(SUBSTITUTE(SUBSTITUTE(SUBSTITUTE(SUBSTITUTE(SUBSTITUTE(LOWER(IF(ISNUMBER(FIND(";",F20)),LEFT(F20,FIND(";",F20)-1),F20))," ",""),"%%c","t"),"ø","t"),"φ","t"),"f","t"),"d","t")</f>
        <v/>
      </c>
      <c r="G104">
        <f>SUBSTITUTE(SUBSTITUTE(SUBSTITUTE(SUBSTITUTE(SUBSTITUTE(SUBSTITUTE(LOWER(IF(ISNUMBER(FIND(";",G20)),LEFT(G20,FIND(";",G20)-1),G20))," ",""),"%%c","t"),"ø","t"),"φ","t"),"f","t"),"d","t")</f>
        <v/>
      </c>
      <c r="H104">
        <f>SUBSTITUTE(SUBSTITUTE(SUBSTITUTE(SUBSTITUTE(SUBSTITUTE(SUBSTITUTE(LOWER(IF(ISNUMBER(FIND(";",H20)),LEFT(H20,FIND(";",H20)-1),H20))," ",""),"%%c","t"),"ø","t"),"φ","t"),"f","t"),"d","t")</f>
        <v/>
      </c>
      <c r="I104">
        <f>SUBSTITUTE(SUBSTITUTE(SUBSTITUTE(SUBSTITUTE(SUBSTITUTE(SUBSTITUTE(LOWER(IF(ISNUMBER(FIND(";",I20)),LEFT(I20,FIND(";",I20)-1),I20))," ",""),"%%c","t"),"ø","t"),"φ","t"),"f","t"),"d","t")</f>
        <v/>
      </c>
      <c r="J104">
        <f>SUBSTITUTE(SUBSTITUTE(SUBSTITUTE(SUBSTITUTE(SUBSTITUTE(SUBSTITUTE(LOWER(IF(ISNUMBER(FIND(";",J20)),LEFT(J20,FIND(";",J20)-1),J20))," ",""),"%%c","t"),"ø","t"),"φ","t"),"f","t"),"d","t")</f>
        <v/>
      </c>
      <c r="K104">
        <f>SUBSTITUTE(SUBSTITUTE(SUBSTITUTE(SUBSTITUTE(SUBSTITUTE(SUBSTITUTE(LOWER(IF(ISNUMBER(FIND(";",K20)),LEFT(K20,FIND(";",K20)-1),K20))," ",""),"%%c","t"),"ø","t"),"φ","t"),"f","t"),"d","t")</f>
        <v/>
      </c>
      <c r="L104">
        <f>SUBSTITUTE(SUBSTITUTE(SUBSTITUTE(SUBSTITUTE(SUBSTITUTE(SUBSTITUTE(LOWER(IF(ISNUMBER(FIND(";",L20)),LEFT(L20,FIND(";",L20)-1),L20))," ",""),"%%c","t"),"ø","t"),"φ","t"),"f","t"),"d","t")</f>
        <v/>
      </c>
      <c r="M104">
        <f>SUBSTITUTE(SUBSTITUTE(SUBSTITUTE(SUBSTITUTE(SUBSTITUTE(SUBSTITUTE(LOWER(IF(ISNUMBER(FIND(";",M20)),LEFT(M20,FIND(";",M20)-1),M20))," ",""),"%%c","t"),"ø","t"),"φ","t"),"f","t"),"d","t")</f>
        <v/>
      </c>
      <c r="N104">
        <f>SUBSTITUTE(SUBSTITUTE(SUBSTITUTE(SUBSTITUTE(SUBSTITUTE(SUBSTITUTE(LOWER(IF(ISNUMBER(FIND(";",N20)),LEFT(N20,FIND(";",N20)-1),N20))," ",""),"%%c","t"),"ø","t"),"φ","t"),"f","t"),"d","t")</f>
        <v/>
      </c>
      <c r="O104">
        <f>SUBSTITUTE(SUBSTITUTE(SUBSTITUTE(SUBSTITUTE(SUBSTITUTE(SUBSTITUTE(LOWER(IF(ISNUMBER(FIND(";",O20)),LEFT(O20,FIND(";",O20)-1),O20))," ",""),"%%c","t"),"ø","t"),"φ","t"),"f","t"),"d","t")</f>
        <v/>
      </c>
      <c r="P104">
        <f>SUBSTITUTE(SUBSTITUTE(SUBSTITUTE(SUBSTITUTE(SUBSTITUTE(SUBSTITUTE(LOWER(IF(ISNUMBER(FIND(";",P20)),LEFT(P20,FIND(";",P20)-1),P20))," ",""),"%%c","t"),"ø","t"),"φ","t"),"f","t"),"d","t")</f>
        <v/>
      </c>
      <c r="Q104">
        <f>SUBSTITUTE(SUBSTITUTE(SUBSTITUTE(SUBSTITUTE(SUBSTITUTE(SUBSTITUTE(LOWER(IF(ISNUMBER(FIND(";",Q20)),LEFT(Q20,FIND(";",Q20)-1),Q20))," ",""),"%%c","t"),"ø","t"),"φ","t"),"f","t"),"d","t")</f>
        <v/>
      </c>
      <c r="R104">
        <f>SUBSTITUTE(SUBSTITUTE(SUBSTITUTE(SUBSTITUTE(SUBSTITUTE(SUBSTITUTE(LOWER(IF(ISNUMBER(FIND(";",R20)),LEFT(R20,FIND(";",R20)-1),R20))," ",""),"%%c","t"),"ø","t"),"φ","t"),"f","t"),"d","t")</f>
        <v/>
      </c>
      <c r="S104">
        <f>SUBSTITUTE(SUBSTITUTE(SUBSTITUTE(SUBSTITUTE(SUBSTITUTE(SUBSTITUTE(LOWER(IF(ISNUMBER(FIND(";",S20)),LEFT(S20,FIND(";",S20)-1),S20))," ",""),"%%c","t"),"ø","t"),"φ","t"),"f","t"),"d","t")</f>
        <v/>
      </c>
      <c r="T104">
        <f>SUBSTITUTE(SUBSTITUTE(SUBSTITUTE(SUBSTITUTE(SUBSTITUTE(SUBSTITUTE(LOWER(IF(ISNUMBER(FIND(";",T20)),LEFT(T20,FIND(";",T20)-1),T20))," ",""),"%%c","t"),"ø","t"),"φ","t"),"f","t"),"d","t")</f>
        <v/>
      </c>
      <c r="U104">
        <f>SUBSTITUTE(SUBSTITUTE(SUBSTITUTE(SUBSTITUTE(SUBSTITUTE(SUBSTITUTE(LOWER(IF(ISNUMBER(FIND(";",U20)),LEFT(U20,FIND(";",U20)-1),U20))," ",""),"%%c","t"),"ø","t"),"φ","t"),"f","t"),"d","t")</f>
        <v/>
      </c>
      <c r="V104">
        <f>SUBSTITUTE(SUBSTITUTE(SUBSTITUTE(SUBSTITUTE(SUBSTITUTE(SUBSTITUTE(LOWER(IF(ISNUMBER(FIND(";",V20)),LEFT(V20,FIND(";",V20)-1),V20))," ",""),"%%c","t"),"ø","t"),"φ","t"),"f","t"),"d","t")</f>
        <v/>
      </c>
      <c r="W104">
        <f>SUBSTITUTE(SUBSTITUTE(SUBSTITUTE(SUBSTITUTE(SUBSTITUTE(SUBSTITUTE(LOWER(IF(ISNUMBER(FIND(";",W20)),LEFT(W20,FIND(";",W20)-1),W20))," ",""),"%%c","t"),"ø","t"),"φ","t"),"f","t"),"d","t")</f>
        <v/>
      </c>
      <c r="X104">
        <f>SUBSTITUTE(SUBSTITUTE(SUBSTITUTE(SUBSTITUTE(SUBSTITUTE(SUBSTITUTE(LOWER(IF(ISNUMBER(FIND(";",X20)),LEFT(X20,FIND(";",X20)-1),X20))," ",""),"%%c","t"),"ø","t"),"φ","t"),"f","t"),"d","t")</f>
        <v/>
      </c>
      <c r="Y104">
        <f>SUBSTITUTE(SUBSTITUTE(SUBSTITUTE(SUBSTITUTE(SUBSTITUTE(SUBSTITUTE(LOWER(IF(ISNUMBER(FIND(";",Y20)),LEFT(Y20,FIND(";",Y20)-1),Y20))," ",""),"%%c","t"),"ø","t"),"φ","t"),"f","t"),"d","t")</f>
        <v/>
      </c>
      <c r="Z104">
        <f>SUBSTITUTE(SUBSTITUTE(SUBSTITUTE(SUBSTITUTE(SUBSTITUTE(SUBSTITUTE(LOWER(IF(ISNUMBER(FIND(";",Z20)),LEFT(Z20,FIND(";",Z20)-1),Z20))," ",""),"%%c","t"),"ø","t"),"φ","t"),"f","t"),"d","t")</f>
        <v/>
      </c>
      <c r="AA104">
        <f>SUBSTITUTE(SUBSTITUTE(SUBSTITUTE(SUBSTITUTE(SUBSTITUTE(SUBSTITUTE(LOWER(IF(ISNUMBER(FIND(";",AA20)),LEFT(AA20,FIND(";",AA20)-1),AA20))," ",""),"%%c","t"),"ø","t"),"φ","t"),"f","t"),"d","t")</f>
        <v/>
      </c>
      <c r="AB104">
        <f>SUBSTITUTE(SUBSTITUTE(SUBSTITUTE(SUBSTITUTE(SUBSTITUTE(SUBSTITUTE(LOWER(IF(ISNUMBER(FIND(";",AB20)),LEFT(AB20,FIND(";",AB20)-1),AB20))," ",""),"%%c","t"),"ø","t"),"φ","t"),"f","t"),"d","t")</f>
        <v/>
      </c>
      <c r="AC104">
        <f>SUBSTITUTE(SUBSTITUTE(SUBSTITUTE(SUBSTITUTE(SUBSTITUTE(SUBSTITUTE(LOWER(IF(ISNUMBER(FIND(";",AC20)),LEFT(AC20,FIND(";",AC20)-1),AC20))," ",""),"%%c","t"),"ø","t"),"φ","t"),"f","t"),"d","t")</f>
        <v/>
      </c>
      <c r="AD104">
        <f>SUBSTITUTE(SUBSTITUTE(SUBSTITUTE(SUBSTITUTE(SUBSTITUTE(SUBSTITUTE(LOWER(IF(ISNUMBER(FIND(";",AD20)),LEFT(AD20,FIND(";",AD20)-1),AD20))," ",""),"%%c","t"),"ø","t"),"φ","t"),"f","t"),"d","t")</f>
        <v/>
      </c>
      <c r="AE104">
        <f>SUBSTITUTE(SUBSTITUTE(SUBSTITUTE(SUBSTITUTE(SUBSTITUTE(SUBSTITUTE(LOWER(IF(ISNUMBER(FIND(";",AE20)),LEFT(AE20,FIND(";",AE20)-1),AE20))," ",""),"%%c","t"),"ø","t"),"φ","t"),"f","t"),"d","t")</f>
        <v/>
      </c>
      <c r="AF104">
        <f>SUBSTITUTE(SUBSTITUTE(SUBSTITUTE(SUBSTITUTE(SUBSTITUTE(SUBSTITUTE(LOWER(IF(ISNUMBER(FIND(";",AF20)),LEFT(AF20,FIND(";",AF20)-1),AF20))," ",""),"%%c","t"),"ø","t"),"φ","t"),"f","t"),"d","t")</f>
        <v/>
      </c>
      <c r="AG104">
        <f>SUBSTITUTE(SUBSTITUTE(SUBSTITUTE(SUBSTITUTE(SUBSTITUTE(SUBSTITUTE(LOWER(IF(ISNUMBER(FIND(";",AG20)),LEFT(AG20,FIND(";",AG20)-1),AG20))," ",""),"%%c","t"),"ø","t"),"φ","t"),"f","t"),"d","t")</f>
        <v/>
      </c>
    </row>
    <row r="105" hidden="1" outlineLevel="1">
      <c r="A105" s="60" t="inlineStr">
        <is>
          <t>(phụ trợ) A_B3L</t>
        </is>
      </c>
      <c r="C105">
        <f>IFERROR(LEFT(LEFT(C104,FIND("+",C104&amp;"+")-1),FIND("t",LEFT(C104,FIND("+",C104&amp;"+")-1))-1)*MID(LEFT(C104,FIND("+",C104&amp;"+")-1),FIND("t",LEFT(C104,FIND("+",C104&amp;"+")-1))+1,2)^2*PI()/400,0)+IFERROR(LEFT(MID(C104,FIND("+",C104&amp;"+")+1,99),FIND("t",MID(C104,FIND("+",C104&amp;"+")+1,99))-1)*MID(MID(C104,FIND("+",C104&amp;"+")+1,99),FIND("t",MID(C104,FIND("+",C104&amp;"+")+1,99))+1,2)^2*PI()/400,0)</f>
        <v/>
      </c>
      <c r="D105">
        <f>IFERROR(LEFT(LEFT(D104,FIND("+",D104&amp;"+")-1),FIND("t",LEFT(D104,FIND("+",D104&amp;"+")-1))-1)*MID(LEFT(D104,FIND("+",D104&amp;"+")-1),FIND("t",LEFT(D104,FIND("+",D104&amp;"+")-1))+1,2)^2*PI()/400,0)+IFERROR(LEFT(MID(D104,FIND("+",D104&amp;"+")+1,99),FIND("t",MID(D104,FIND("+",D104&amp;"+")+1,99))-1)*MID(MID(D104,FIND("+",D104&amp;"+")+1,99),FIND("t",MID(D104,FIND("+",D104&amp;"+")+1,99))+1,2)^2*PI()/400,0)</f>
        <v/>
      </c>
      <c r="E105">
        <f>IFERROR(LEFT(LEFT(E104,FIND("+",E104&amp;"+")-1),FIND("t",LEFT(E104,FIND("+",E104&amp;"+")-1))-1)*MID(LEFT(E104,FIND("+",E104&amp;"+")-1),FIND("t",LEFT(E104,FIND("+",E104&amp;"+")-1))+1,2)^2*PI()/400,0)+IFERROR(LEFT(MID(E104,FIND("+",E104&amp;"+")+1,99),FIND("t",MID(E104,FIND("+",E104&amp;"+")+1,99))-1)*MID(MID(E104,FIND("+",E104&amp;"+")+1,99),FIND("t",MID(E104,FIND("+",E104&amp;"+")+1,99))+1,2)^2*PI()/400,0)</f>
        <v/>
      </c>
      <c r="F105">
        <f>IFERROR(LEFT(LEFT(F104,FIND("+",F104&amp;"+")-1),FIND("t",LEFT(F104,FIND("+",F104&amp;"+")-1))-1)*MID(LEFT(F104,FIND("+",F104&amp;"+")-1),FIND("t",LEFT(F104,FIND("+",F104&amp;"+")-1))+1,2)^2*PI()/400,0)+IFERROR(LEFT(MID(F104,FIND("+",F104&amp;"+")+1,99),FIND("t",MID(F104,FIND("+",F104&amp;"+")+1,99))-1)*MID(MID(F104,FIND("+",F104&amp;"+")+1,99),FIND("t",MID(F104,FIND("+",F104&amp;"+")+1,99))+1,2)^2*PI()/400,0)</f>
        <v/>
      </c>
      <c r="G105">
        <f>IFERROR(LEFT(LEFT(G104,FIND("+",G104&amp;"+")-1),FIND("t",LEFT(G104,FIND("+",G104&amp;"+")-1))-1)*MID(LEFT(G104,FIND("+",G104&amp;"+")-1),FIND("t",LEFT(G104,FIND("+",G104&amp;"+")-1))+1,2)^2*PI()/400,0)+IFERROR(LEFT(MID(G104,FIND("+",G104&amp;"+")+1,99),FIND("t",MID(G104,FIND("+",G104&amp;"+")+1,99))-1)*MID(MID(G104,FIND("+",G104&amp;"+")+1,99),FIND("t",MID(G104,FIND("+",G104&amp;"+")+1,99))+1,2)^2*PI()/400,0)</f>
        <v/>
      </c>
      <c r="H105">
        <f>IFERROR(LEFT(LEFT(H104,FIND("+",H104&amp;"+")-1),FIND("t",LEFT(H104,FIND("+",H104&amp;"+")-1))-1)*MID(LEFT(H104,FIND("+",H104&amp;"+")-1),FIND("t",LEFT(H104,FIND("+",H104&amp;"+")-1))+1,2)^2*PI()/400,0)+IFERROR(LEFT(MID(H104,FIND("+",H104&amp;"+")+1,99),FIND("t",MID(H104,FIND("+",H104&amp;"+")+1,99))-1)*MID(MID(H104,FIND("+",H104&amp;"+")+1,99),FIND("t",MID(H104,FIND("+",H104&amp;"+")+1,99))+1,2)^2*PI()/400,0)</f>
        <v/>
      </c>
      <c r="I105">
        <f>IFERROR(LEFT(LEFT(I104,FIND("+",I104&amp;"+")-1),FIND("t",LEFT(I104,FIND("+",I104&amp;"+")-1))-1)*MID(LEFT(I104,FIND("+",I104&amp;"+")-1),FIND("t",LEFT(I104,FIND("+",I104&amp;"+")-1))+1,2)^2*PI()/400,0)+IFERROR(LEFT(MID(I104,FIND("+",I104&amp;"+")+1,99),FIND("t",MID(I104,FIND("+",I104&amp;"+")+1,99))-1)*MID(MID(I104,FIND("+",I104&amp;"+")+1,99),FIND("t",MID(I104,FIND("+",I104&amp;"+")+1,99))+1,2)^2*PI()/400,0)</f>
        <v/>
      </c>
      <c r="J105">
        <f>IFERROR(LEFT(LEFT(J104,FIND("+",J104&amp;"+")-1),FIND("t",LEFT(J104,FIND("+",J104&amp;"+")-1))-1)*MID(LEFT(J104,FIND("+",J104&amp;"+")-1),FIND("t",LEFT(J104,FIND("+",J104&amp;"+")-1))+1,2)^2*PI()/400,0)+IFERROR(LEFT(MID(J104,FIND("+",J104&amp;"+")+1,99),FIND("t",MID(J104,FIND("+",J104&amp;"+")+1,99))-1)*MID(MID(J104,FIND("+",J104&amp;"+")+1,99),FIND("t",MID(J104,FIND("+",J104&amp;"+")+1,99))+1,2)^2*PI()/400,0)</f>
        <v/>
      </c>
      <c r="K105">
        <f>IFERROR(LEFT(LEFT(K104,FIND("+",K104&amp;"+")-1),FIND("t",LEFT(K104,FIND("+",K104&amp;"+")-1))-1)*MID(LEFT(K104,FIND("+",K104&amp;"+")-1),FIND("t",LEFT(K104,FIND("+",K104&amp;"+")-1))+1,2)^2*PI()/400,0)+IFERROR(LEFT(MID(K104,FIND("+",K104&amp;"+")+1,99),FIND("t",MID(K104,FIND("+",K104&amp;"+")+1,99))-1)*MID(MID(K104,FIND("+",K104&amp;"+")+1,99),FIND("t",MID(K104,FIND("+",K104&amp;"+")+1,99))+1,2)^2*PI()/400,0)</f>
        <v/>
      </c>
      <c r="L105">
        <f>IFERROR(LEFT(LEFT(L104,FIND("+",L104&amp;"+")-1),FIND("t",LEFT(L104,FIND("+",L104&amp;"+")-1))-1)*MID(LEFT(L104,FIND("+",L104&amp;"+")-1),FIND("t",LEFT(L104,FIND("+",L104&amp;"+")-1))+1,2)^2*PI()/400,0)+IFERROR(LEFT(MID(L104,FIND("+",L104&amp;"+")+1,99),FIND("t",MID(L104,FIND("+",L104&amp;"+")+1,99))-1)*MID(MID(L104,FIND("+",L104&amp;"+")+1,99),FIND("t",MID(L104,FIND("+",L104&amp;"+")+1,99))+1,2)^2*PI()/400,0)</f>
        <v/>
      </c>
      <c r="M105">
        <f>IFERROR(LEFT(LEFT(M104,FIND("+",M104&amp;"+")-1),FIND("t",LEFT(M104,FIND("+",M104&amp;"+")-1))-1)*MID(LEFT(M104,FIND("+",M104&amp;"+")-1),FIND("t",LEFT(M104,FIND("+",M104&amp;"+")-1))+1,2)^2*PI()/400,0)+IFERROR(LEFT(MID(M104,FIND("+",M104&amp;"+")+1,99),FIND("t",MID(M104,FIND("+",M104&amp;"+")+1,99))-1)*MID(MID(M104,FIND("+",M104&amp;"+")+1,99),FIND("t",MID(M104,FIND("+",M104&amp;"+")+1,99))+1,2)^2*PI()/400,0)</f>
        <v/>
      </c>
      <c r="N105">
        <f>IFERROR(LEFT(LEFT(N104,FIND("+",N104&amp;"+")-1),FIND("t",LEFT(N104,FIND("+",N104&amp;"+")-1))-1)*MID(LEFT(N104,FIND("+",N104&amp;"+")-1),FIND("t",LEFT(N104,FIND("+",N104&amp;"+")-1))+1,2)^2*PI()/400,0)+IFERROR(LEFT(MID(N104,FIND("+",N104&amp;"+")+1,99),FIND("t",MID(N104,FIND("+",N104&amp;"+")+1,99))-1)*MID(MID(N104,FIND("+",N104&amp;"+")+1,99),FIND("t",MID(N104,FIND("+",N104&amp;"+")+1,99))+1,2)^2*PI()/400,0)</f>
        <v/>
      </c>
      <c r="O105">
        <f>IFERROR(LEFT(LEFT(O104,FIND("+",O104&amp;"+")-1),FIND("t",LEFT(O104,FIND("+",O104&amp;"+")-1))-1)*MID(LEFT(O104,FIND("+",O104&amp;"+")-1),FIND("t",LEFT(O104,FIND("+",O104&amp;"+")-1))+1,2)^2*PI()/400,0)+IFERROR(LEFT(MID(O104,FIND("+",O104&amp;"+")+1,99),FIND("t",MID(O104,FIND("+",O104&amp;"+")+1,99))-1)*MID(MID(O104,FIND("+",O104&amp;"+")+1,99),FIND("t",MID(O104,FIND("+",O104&amp;"+")+1,99))+1,2)^2*PI()/400,0)</f>
        <v/>
      </c>
      <c r="P105">
        <f>IFERROR(LEFT(LEFT(P104,FIND("+",P104&amp;"+")-1),FIND("t",LEFT(P104,FIND("+",P104&amp;"+")-1))-1)*MID(LEFT(P104,FIND("+",P104&amp;"+")-1),FIND("t",LEFT(P104,FIND("+",P104&amp;"+")-1))+1,2)^2*PI()/400,0)+IFERROR(LEFT(MID(P104,FIND("+",P104&amp;"+")+1,99),FIND("t",MID(P104,FIND("+",P104&amp;"+")+1,99))-1)*MID(MID(P104,FIND("+",P104&amp;"+")+1,99),FIND("t",MID(P104,FIND("+",P104&amp;"+")+1,99))+1,2)^2*PI()/400,0)</f>
        <v/>
      </c>
      <c r="Q105">
        <f>IFERROR(LEFT(LEFT(Q104,FIND("+",Q104&amp;"+")-1),FIND("t",LEFT(Q104,FIND("+",Q104&amp;"+")-1))-1)*MID(LEFT(Q104,FIND("+",Q104&amp;"+")-1),FIND("t",LEFT(Q104,FIND("+",Q104&amp;"+")-1))+1,2)^2*PI()/400,0)+IFERROR(LEFT(MID(Q104,FIND("+",Q104&amp;"+")+1,99),FIND("t",MID(Q104,FIND("+",Q104&amp;"+")+1,99))-1)*MID(MID(Q104,FIND("+",Q104&amp;"+")+1,99),FIND("t",MID(Q104,FIND("+",Q104&amp;"+")+1,99))+1,2)^2*PI()/400,0)</f>
        <v/>
      </c>
      <c r="R105">
        <f>IFERROR(LEFT(LEFT(R104,FIND("+",R104&amp;"+")-1),FIND("t",LEFT(R104,FIND("+",R104&amp;"+")-1))-1)*MID(LEFT(R104,FIND("+",R104&amp;"+")-1),FIND("t",LEFT(R104,FIND("+",R104&amp;"+")-1))+1,2)^2*PI()/400,0)+IFERROR(LEFT(MID(R104,FIND("+",R104&amp;"+")+1,99),FIND("t",MID(R104,FIND("+",R104&amp;"+")+1,99))-1)*MID(MID(R104,FIND("+",R104&amp;"+")+1,99),FIND("t",MID(R104,FIND("+",R104&amp;"+")+1,99))+1,2)^2*PI()/400,0)</f>
        <v/>
      </c>
      <c r="S105">
        <f>IFERROR(LEFT(LEFT(S104,FIND("+",S104&amp;"+")-1),FIND("t",LEFT(S104,FIND("+",S104&amp;"+")-1))-1)*MID(LEFT(S104,FIND("+",S104&amp;"+")-1),FIND("t",LEFT(S104,FIND("+",S104&amp;"+")-1))+1,2)^2*PI()/400,0)+IFERROR(LEFT(MID(S104,FIND("+",S104&amp;"+")+1,99),FIND("t",MID(S104,FIND("+",S104&amp;"+")+1,99))-1)*MID(MID(S104,FIND("+",S104&amp;"+")+1,99),FIND("t",MID(S104,FIND("+",S104&amp;"+")+1,99))+1,2)^2*PI()/400,0)</f>
        <v/>
      </c>
      <c r="T105">
        <f>IFERROR(LEFT(LEFT(T104,FIND("+",T104&amp;"+")-1),FIND("t",LEFT(T104,FIND("+",T104&amp;"+")-1))-1)*MID(LEFT(T104,FIND("+",T104&amp;"+")-1),FIND("t",LEFT(T104,FIND("+",T104&amp;"+")-1))+1,2)^2*PI()/400,0)+IFERROR(LEFT(MID(T104,FIND("+",T104&amp;"+")+1,99),FIND("t",MID(T104,FIND("+",T104&amp;"+")+1,99))-1)*MID(MID(T104,FIND("+",T104&amp;"+")+1,99),FIND("t",MID(T104,FIND("+",T104&amp;"+")+1,99))+1,2)^2*PI()/400,0)</f>
        <v/>
      </c>
      <c r="U105">
        <f>IFERROR(LEFT(LEFT(U104,FIND("+",U104&amp;"+")-1),FIND("t",LEFT(U104,FIND("+",U104&amp;"+")-1))-1)*MID(LEFT(U104,FIND("+",U104&amp;"+")-1),FIND("t",LEFT(U104,FIND("+",U104&amp;"+")-1))+1,2)^2*PI()/400,0)+IFERROR(LEFT(MID(U104,FIND("+",U104&amp;"+")+1,99),FIND("t",MID(U104,FIND("+",U104&amp;"+")+1,99))-1)*MID(MID(U104,FIND("+",U104&amp;"+")+1,99),FIND("t",MID(U104,FIND("+",U104&amp;"+")+1,99))+1,2)^2*PI()/400,0)</f>
        <v/>
      </c>
      <c r="V105">
        <f>IFERROR(LEFT(LEFT(V104,FIND("+",V104&amp;"+")-1),FIND("t",LEFT(V104,FIND("+",V104&amp;"+")-1))-1)*MID(LEFT(V104,FIND("+",V104&amp;"+")-1),FIND("t",LEFT(V104,FIND("+",V104&amp;"+")-1))+1,2)^2*PI()/400,0)+IFERROR(LEFT(MID(V104,FIND("+",V104&amp;"+")+1,99),FIND("t",MID(V104,FIND("+",V104&amp;"+")+1,99))-1)*MID(MID(V104,FIND("+",V104&amp;"+")+1,99),FIND("t",MID(V104,FIND("+",V104&amp;"+")+1,99))+1,2)^2*PI()/400,0)</f>
        <v/>
      </c>
      <c r="W105">
        <f>IFERROR(LEFT(LEFT(W104,FIND("+",W104&amp;"+")-1),FIND("t",LEFT(W104,FIND("+",W104&amp;"+")-1))-1)*MID(LEFT(W104,FIND("+",W104&amp;"+")-1),FIND("t",LEFT(W104,FIND("+",W104&amp;"+")-1))+1,2)^2*PI()/400,0)+IFERROR(LEFT(MID(W104,FIND("+",W104&amp;"+")+1,99),FIND("t",MID(W104,FIND("+",W104&amp;"+")+1,99))-1)*MID(MID(W104,FIND("+",W104&amp;"+")+1,99),FIND("t",MID(W104,FIND("+",W104&amp;"+")+1,99))+1,2)^2*PI()/400,0)</f>
        <v/>
      </c>
      <c r="X105">
        <f>IFERROR(LEFT(LEFT(X104,FIND("+",X104&amp;"+")-1),FIND("t",LEFT(X104,FIND("+",X104&amp;"+")-1))-1)*MID(LEFT(X104,FIND("+",X104&amp;"+")-1),FIND("t",LEFT(X104,FIND("+",X104&amp;"+")-1))+1,2)^2*PI()/400,0)+IFERROR(LEFT(MID(X104,FIND("+",X104&amp;"+")+1,99),FIND("t",MID(X104,FIND("+",X104&amp;"+")+1,99))-1)*MID(MID(X104,FIND("+",X104&amp;"+")+1,99),FIND("t",MID(X104,FIND("+",X104&amp;"+")+1,99))+1,2)^2*PI()/400,0)</f>
        <v/>
      </c>
      <c r="Y105">
        <f>IFERROR(LEFT(LEFT(Y104,FIND("+",Y104&amp;"+")-1),FIND("t",LEFT(Y104,FIND("+",Y104&amp;"+")-1))-1)*MID(LEFT(Y104,FIND("+",Y104&amp;"+")-1),FIND("t",LEFT(Y104,FIND("+",Y104&amp;"+")-1))+1,2)^2*PI()/400,0)+IFERROR(LEFT(MID(Y104,FIND("+",Y104&amp;"+")+1,99),FIND("t",MID(Y104,FIND("+",Y104&amp;"+")+1,99))-1)*MID(MID(Y104,FIND("+",Y104&amp;"+")+1,99),FIND("t",MID(Y104,FIND("+",Y104&amp;"+")+1,99))+1,2)^2*PI()/400,0)</f>
        <v/>
      </c>
      <c r="Z105">
        <f>IFERROR(LEFT(LEFT(Z104,FIND("+",Z104&amp;"+")-1),FIND("t",LEFT(Z104,FIND("+",Z104&amp;"+")-1))-1)*MID(LEFT(Z104,FIND("+",Z104&amp;"+")-1),FIND("t",LEFT(Z104,FIND("+",Z104&amp;"+")-1))+1,2)^2*PI()/400,0)+IFERROR(LEFT(MID(Z104,FIND("+",Z104&amp;"+")+1,99),FIND("t",MID(Z104,FIND("+",Z104&amp;"+")+1,99))-1)*MID(MID(Z104,FIND("+",Z104&amp;"+")+1,99),FIND("t",MID(Z104,FIND("+",Z104&amp;"+")+1,99))+1,2)^2*PI()/400,0)</f>
        <v/>
      </c>
      <c r="AA105">
        <f>IFERROR(LEFT(LEFT(AA104,FIND("+",AA104&amp;"+")-1),FIND("t",LEFT(AA104,FIND("+",AA104&amp;"+")-1))-1)*MID(LEFT(AA104,FIND("+",AA104&amp;"+")-1),FIND("t",LEFT(AA104,FIND("+",AA104&amp;"+")-1))+1,2)^2*PI()/400,0)+IFERROR(LEFT(MID(AA104,FIND("+",AA104&amp;"+")+1,99),FIND("t",MID(AA104,FIND("+",AA104&amp;"+")+1,99))-1)*MID(MID(AA104,FIND("+",AA104&amp;"+")+1,99),FIND("t",MID(AA104,FIND("+",AA104&amp;"+")+1,99))+1,2)^2*PI()/400,0)</f>
        <v/>
      </c>
      <c r="AB105">
        <f>IFERROR(LEFT(LEFT(AB104,FIND("+",AB104&amp;"+")-1),FIND("t",LEFT(AB104,FIND("+",AB104&amp;"+")-1))-1)*MID(LEFT(AB104,FIND("+",AB104&amp;"+")-1),FIND("t",LEFT(AB104,FIND("+",AB104&amp;"+")-1))+1,2)^2*PI()/400,0)+IFERROR(LEFT(MID(AB104,FIND("+",AB104&amp;"+")+1,99),FIND("t",MID(AB104,FIND("+",AB104&amp;"+")+1,99))-1)*MID(MID(AB104,FIND("+",AB104&amp;"+")+1,99),FIND("t",MID(AB104,FIND("+",AB104&amp;"+")+1,99))+1,2)^2*PI()/400,0)</f>
        <v/>
      </c>
      <c r="AC105">
        <f>IFERROR(LEFT(LEFT(AC104,FIND("+",AC104&amp;"+")-1),FIND("t",LEFT(AC104,FIND("+",AC104&amp;"+")-1))-1)*MID(LEFT(AC104,FIND("+",AC104&amp;"+")-1),FIND("t",LEFT(AC104,FIND("+",AC104&amp;"+")-1))+1,2)^2*PI()/400,0)+IFERROR(LEFT(MID(AC104,FIND("+",AC104&amp;"+")+1,99),FIND("t",MID(AC104,FIND("+",AC104&amp;"+")+1,99))-1)*MID(MID(AC104,FIND("+",AC104&amp;"+")+1,99),FIND("t",MID(AC104,FIND("+",AC104&amp;"+")+1,99))+1,2)^2*PI()/400,0)</f>
        <v/>
      </c>
      <c r="AD105">
        <f>IFERROR(LEFT(LEFT(AD104,FIND("+",AD104&amp;"+")-1),FIND("t",LEFT(AD104,FIND("+",AD104&amp;"+")-1))-1)*MID(LEFT(AD104,FIND("+",AD104&amp;"+")-1),FIND("t",LEFT(AD104,FIND("+",AD104&amp;"+")-1))+1,2)^2*PI()/400,0)+IFERROR(LEFT(MID(AD104,FIND("+",AD104&amp;"+")+1,99),FIND("t",MID(AD104,FIND("+",AD104&amp;"+")+1,99))-1)*MID(MID(AD104,FIND("+",AD104&amp;"+")+1,99),FIND("t",MID(AD104,FIND("+",AD104&amp;"+")+1,99))+1,2)^2*PI()/400,0)</f>
        <v/>
      </c>
      <c r="AE105">
        <f>IFERROR(LEFT(LEFT(AE104,FIND("+",AE104&amp;"+")-1),FIND("t",LEFT(AE104,FIND("+",AE104&amp;"+")-1))-1)*MID(LEFT(AE104,FIND("+",AE104&amp;"+")-1),FIND("t",LEFT(AE104,FIND("+",AE104&amp;"+")-1))+1,2)^2*PI()/400,0)+IFERROR(LEFT(MID(AE104,FIND("+",AE104&amp;"+")+1,99),FIND("t",MID(AE104,FIND("+",AE104&amp;"+")+1,99))-1)*MID(MID(AE104,FIND("+",AE104&amp;"+")+1,99),FIND("t",MID(AE104,FIND("+",AE104&amp;"+")+1,99))+1,2)^2*PI()/400,0)</f>
        <v/>
      </c>
      <c r="AF105">
        <f>IFERROR(LEFT(LEFT(AF104,FIND("+",AF104&amp;"+")-1),FIND("t",LEFT(AF104,FIND("+",AF104&amp;"+")-1))-1)*MID(LEFT(AF104,FIND("+",AF104&amp;"+")-1),FIND("t",LEFT(AF104,FIND("+",AF104&amp;"+")-1))+1,2)^2*PI()/400,0)+IFERROR(LEFT(MID(AF104,FIND("+",AF104&amp;"+")+1,99),FIND("t",MID(AF104,FIND("+",AF104&amp;"+")+1,99))-1)*MID(MID(AF104,FIND("+",AF104&amp;"+")+1,99),FIND("t",MID(AF104,FIND("+",AF104&amp;"+")+1,99))+1,2)^2*PI()/400,0)</f>
        <v/>
      </c>
      <c r="AG105">
        <f>IFERROR(LEFT(LEFT(AG104,FIND("+",AG104&amp;"+")-1),FIND("t",LEFT(AG104,FIND("+",AG104&amp;"+")-1))-1)*MID(LEFT(AG104,FIND("+",AG104&amp;"+")-1),FIND("t",LEFT(AG104,FIND("+",AG104&amp;"+")-1))+1,2)^2*PI()/400,0)+IFERROR(LEFT(MID(AG104,FIND("+",AG104&amp;"+")+1,99),FIND("t",MID(AG104,FIND("+",AG104&amp;"+")+1,99))-1)*MID(MID(AG104,FIND("+",AG104&amp;"+")+1,99),FIND("t",MID(AG104,FIND("+",AG104&amp;"+")+1,99))+1,2)^2*PI()/400,0)</f>
        <v/>
      </c>
    </row>
    <row r="106" hidden="1" outlineLevel="1">
      <c r="A106" s="60" t="inlineStr">
        <is>
          <t>(phụ trợ) N_B3R</t>
        </is>
      </c>
      <c r="C106">
        <f>SUBSTITUTE(SUBSTITUTE(SUBSTITUTE(SUBSTITUTE(SUBSTITUTE(SUBSTITUTE(LOWER(IF(ISNUMBER(FIND(";",C20)),MID(C20,FIND(";",C20)+1,99),C20))," ",""),"%%c","t"),"ø","t"),"φ","t"),"f","t"),"d","t")</f>
        <v/>
      </c>
      <c r="D106">
        <f>SUBSTITUTE(SUBSTITUTE(SUBSTITUTE(SUBSTITUTE(SUBSTITUTE(SUBSTITUTE(LOWER(IF(ISNUMBER(FIND(";",D20)),MID(D20,FIND(";",D20)+1,99),D20))," ",""),"%%c","t"),"ø","t"),"φ","t"),"f","t"),"d","t")</f>
        <v/>
      </c>
      <c r="E106">
        <f>SUBSTITUTE(SUBSTITUTE(SUBSTITUTE(SUBSTITUTE(SUBSTITUTE(SUBSTITUTE(LOWER(IF(ISNUMBER(FIND(";",E20)),MID(E20,FIND(";",E20)+1,99),E20))," ",""),"%%c","t"),"ø","t"),"φ","t"),"f","t"),"d","t")</f>
        <v/>
      </c>
      <c r="F106">
        <f>SUBSTITUTE(SUBSTITUTE(SUBSTITUTE(SUBSTITUTE(SUBSTITUTE(SUBSTITUTE(LOWER(IF(ISNUMBER(FIND(";",F20)),MID(F20,FIND(";",F20)+1,99),F20))," ",""),"%%c","t"),"ø","t"),"φ","t"),"f","t"),"d","t")</f>
        <v/>
      </c>
      <c r="G106">
        <f>SUBSTITUTE(SUBSTITUTE(SUBSTITUTE(SUBSTITUTE(SUBSTITUTE(SUBSTITUTE(LOWER(IF(ISNUMBER(FIND(";",G20)),MID(G20,FIND(";",G20)+1,99),G20))," ",""),"%%c","t"),"ø","t"),"φ","t"),"f","t"),"d","t")</f>
        <v/>
      </c>
      <c r="H106">
        <f>SUBSTITUTE(SUBSTITUTE(SUBSTITUTE(SUBSTITUTE(SUBSTITUTE(SUBSTITUTE(LOWER(IF(ISNUMBER(FIND(";",H20)),MID(H20,FIND(";",H20)+1,99),H20))," ",""),"%%c","t"),"ø","t"),"φ","t"),"f","t"),"d","t")</f>
        <v/>
      </c>
      <c r="I106">
        <f>SUBSTITUTE(SUBSTITUTE(SUBSTITUTE(SUBSTITUTE(SUBSTITUTE(SUBSTITUTE(LOWER(IF(ISNUMBER(FIND(";",I20)),MID(I20,FIND(";",I20)+1,99),I20))," ",""),"%%c","t"),"ø","t"),"φ","t"),"f","t"),"d","t")</f>
        <v/>
      </c>
      <c r="J106">
        <f>SUBSTITUTE(SUBSTITUTE(SUBSTITUTE(SUBSTITUTE(SUBSTITUTE(SUBSTITUTE(LOWER(IF(ISNUMBER(FIND(";",J20)),MID(J20,FIND(";",J20)+1,99),J20))," ",""),"%%c","t"),"ø","t"),"φ","t"),"f","t"),"d","t")</f>
        <v/>
      </c>
      <c r="K106">
        <f>SUBSTITUTE(SUBSTITUTE(SUBSTITUTE(SUBSTITUTE(SUBSTITUTE(SUBSTITUTE(LOWER(IF(ISNUMBER(FIND(";",K20)),MID(K20,FIND(";",K20)+1,99),K20))," ",""),"%%c","t"),"ø","t"),"φ","t"),"f","t"),"d","t")</f>
        <v/>
      </c>
      <c r="L106">
        <f>SUBSTITUTE(SUBSTITUTE(SUBSTITUTE(SUBSTITUTE(SUBSTITUTE(SUBSTITUTE(LOWER(IF(ISNUMBER(FIND(";",L20)),MID(L20,FIND(";",L20)+1,99),L20))," ",""),"%%c","t"),"ø","t"),"φ","t"),"f","t"),"d","t")</f>
        <v/>
      </c>
      <c r="M106">
        <f>SUBSTITUTE(SUBSTITUTE(SUBSTITUTE(SUBSTITUTE(SUBSTITUTE(SUBSTITUTE(LOWER(IF(ISNUMBER(FIND(";",M20)),MID(M20,FIND(";",M20)+1,99),M20))," ",""),"%%c","t"),"ø","t"),"φ","t"),"f","t"),"d","t")</f>
        <v/>
      </c>
      <c r="N106">
        <f>SUBSTITUTE(SUBSTITUTE(SUBSTITUTE(SUBSTITUTE(SUBSTITUTE(SUBSTITUTE(LOWER(IF(ISNUMBER(FIND(";",N20)),MID(N20,FIND(";",N20)+1,99),N20))," ",""),"%%c","t"),"ø","t"),"φ","t"),"f","t"),"d","t")</f>
        <v/>
      </c>
      <c r="O106">
        <f>SUBSTITUTE(SUBSTITUTE(SUBSTITUTE(SUBSTITUTE(SUBSTITUTE(SUBSTITUTE(LOWER(IF(ISNUMBER(FIND(";",O20)),MID(O20,FIND(";",O20)+1,99),O20))," ",""),"%%c","t"),"ø","t"),"φ","t"),"f","t"),"d","t")</f>
        <v/>
      </c>
      <c r="P106">
        <f>SUBSTITUTE(SUBSTITUTE(SUBSTITUTE(SUBSTITUTE(SUBSTITUTE(SUBSTITUTE(LOWER(IF(ISNUMBER(FIND(";",P20)),MID(P20,FIND(";",P20)+1,99),P20))," ",""),"%%c","t"),"ø","t"),"φ","t"),"f","t"),"d","t")</f>
        <v/>
      </c>
      <c r="Q106">
        <f>SUBSTITUTE(SUBSTITUTE(SUBSTITUTE(SUBSTITUTE(SUBSTITUTE(SUBSTITUTE(LOWER(IF(ISNUMBER(FIND(";",Q20)),MID(Q20,FIND(";",Q20)+1,99),Q20))," ",""),"%%c","t"),"ø","t"),"φ","t"),"f","t"),"d","t")</f>
        <v/>
      </c>
      <c r="R106">
        <f>SUBSTITUTE(SUBSTITUTE(SUBSTITUTE(SUBSTITUTE(SUBSTITUTE(SUBSTITUTE(LOWER(IF(ISNUMBER(FIND(";",R20)),MID(R20,FIND(";",R20)+1,99),R20))," ",""),"%%c","t"),"ø","t"),"φ","t"),"f","t"),"d","t")</f>
        <v/>
      </c>
      <c r="S106">
        <f>SUBSTITUTE(SUBSTITUTE(SUBSTITUTE(SUBSTITUTE(SUBSTITUTE(SUBSTITUTE(LOWER(IF(ISNUMBER(FIND(";",S20)),MID(S20,FIND(";",S20)+1,99),S20))," ",""),"%%c","t"),"ø","t"),"φ","t"),"f","t"),"d","t")</f>
        <v/>
      </c>
      <c r="T106">
        <f>SUBSTITUTE(SUBSTITUTE(SUBSTITUTE(SUBSTITUTE(SUBSTITUTE(SUBSTITUTE(LOWER(IF(ISNUMBER(FIND(";",T20)),MID(T20,FIND(";",T20)+1,99),T20))," ",""),"%%c","t"),"ø","t"),"φ","t"),"f","t"),"d","t")</f>
        <v/>
      </c>
      <c r="U106">
        <f>SUBSTITUTE(SUBSTITUTE(SUBSTITUTE(SUBSTITUTE(SUBSTITUTE(SUBSTITUTE(LOWER(IF(ISNUMBER(FIND(";",U20)),MID(U20,FIND(";",U20)+1,99),U20))," ",""),"%%c","t"),"ø","t"),"φ","t"),"f","t"),"d","t")</f>
        <v/>
      </c>
      <c r="V106">
        <f>SUBSTITUTE(SUBSTITUTE(SUBSTITUTE(SUBSTITUTE(SUBSTITUTE(SUBSTITUTE(LOWER(IF(ISNUMBER(FIND(";",V20)),MID(V20,FIND(";",V20)+1,99),V20))," ",""),"%%c","t"),"ø","t"),"φ","t"),"f","t"),"d","t")</f>
        <v/>
      </c>
      <c r="W106">
        <f>SUBSTITUTE(SUBSTITUTE(SUBSTITUTE(SUBSTITUTE(SUBSTITUTE(SUBSTITUTE(LOWER(IF(ISNUMBER(FIND(";",W20)),MID(W20,FIND(";",W20)+1,99),W20))," ",""),"%%c","t"),"ø","t"),"φ","t"),"f","t"),"d","t")</f>
        <v/>
      </c>
      <c r="X106">
        <f>SUBSTITUTE(SUBSTITUTE(SUBSTITUTE(SUBSTITUTE(SUBSTITUTE(SUBSTITUTE(LOWER(IF(ISNUMBER(FIND(";",X20)),MID(X20,FIND(";",X20)+1,99),X20))," ",""),"%%c","t"),"ø","t"),"φ","t"),"f","t"),"d","t")</f>
        <v/>
      </c>
      <c r="Y106">
        <f>SUBSTITUTE(SUBSTITUTE(SUBSTITUTE(SUBSTITUTE(SUBSTITUTE(SUBSTITUTE(LOWER(IF(ISNUMBER(FIND(";",Y20)),MID(Y20,FIND(";",Y20)+1,99),Y20))," ",""),"%%c","t"),"ø","t"),"φ","t"),"f","t"),"d","t")</f>
        <v/>
      </c>
      <c r="Z106">
        <f>SUBSTITUTE(SUBSTITUTE(SUBSTITUTE(SUBSTITUTE(SUBSTITUTE(SUBSTITUTE(LOWER(IF(ISNUMBER(FIND(";",Z20)),MID(Z20,FIND(";",Z20)+1,99),Z20))," ",""),"%%c","t"),"ø","t"),"φ","t"),"f","t"),"d","t")</f>
        <v/>
      </c>
      <c r="AA106">
        <f>SUBSTITUTE(SUBSTITUTE(SUBSTITUTE(SUBSTITUTE(SUBSTITUTE(SUBSTITUTE(LOWER(IF(ISNUMBER(FIND(";",AA20)),MID(AA20,FIND(";",AA20)+1,99),AA20))," ",""),"%%c","t"),"ø","t"),"φ","t"),"f","t"),"d","t")</f>
        <v/>
      </c>
      <c r="AB106">
        <f>SUBSTITUTE(SUBSTITUTE(SUBSTITUTE(SUBSTITUTE(SUBSTITUTE(SUBSTITUTE(LOWER(IF(ISNUMBER(FIND(";",AB20)),MID(AB20,FIND(";",AB20)+1,99),AB20))," ",""),"%%c","t"),"ø","t"),"φ","t"),"f","t"),"d","t")</f>
        <v/>
      </c>
      <c r="AC106">
        <f>SUBSTITUTE(SUBSTITUTE(SUBSTITUTE(SUBSTITUTE(SUBSTITUTE(SUBSTITUTE(LOWER(IF(ISNUMBER(FIND(";",AC20)),MID(AC20,FIND(";",AC20)+1,99),AC20))," ",""),"%%c","t"),"ø","t"),"φ","t"),"f","t"),"d","t")</f>
        <v/>
      </c>
      <c r="AD106">
        <f>SUBSTITUTE(SUBSTITUTE(SUBSTITUTE(SUBSTITUTE(SUBSTITUTE(SUBSTITUTE(LOWER(IF(ISNUMBER(FIND(";",AD20)),MID(AD20,FIND(";",AD20)+1,99),AD20))," ",""),"%%c","t"),"ø","t"),"φ","t"),"f","t"),"d","t")</f>
        <v/>
      </c>
      <c r="AE106">
        <f>SUBSTITUTE(SUBSTITUTE(SUBSTITUTE(SUBSTITUTE(SUBSTITUTE(SUBSTITUTE(LOWER(IF(ISNUMBER(FIND(";",AE20)),MID(AE20,FIND(";",AE20)+1,99),AE20))," ",""),"%%c","t"),"ø","t"),"φ","t"),"f","t"),"d","t")</f>
        <v/>
      </c>
      <c r="AF106">
        <f>SUBSTITUTE(SUBSTITUTE(SUBSTITUTE(SUBSTITUTE(SUBSTITUTE(SUBSTITUTE(LOWER(IF(ISNUMBER(FIND(";",AF20)),MID(AF20,FIND(";",AF20)+1,99),AF20))," ",""),"%%c","t"),"ø","t"),"φ","t"),"f","t"),"d","t")</f>
        <v/>
      </c>
      <c r="AG106">
        <f>SUBSTITUTE(SUBSTITUTE(SUBSTITUTE(SUBSTITUTE(SUBSTITUTE(SUBSTITUTE(LOWER(IF(ISNUMBER(FIND(";",AG20)),MID(AG20,FIND(";",AG20)+1,99),AG20))," ",""),"%%c","t"),"ø","t"),"φ","t"),"f","t"),"d","t")</f>
        <v/>
      </c>
    </row>
    <row r="107" hidden="1" outlineLevel="1">
      <c r="A107" s="60" t="inlineStr">
        <is>
          <t>(phụ trợ) A_B3R</t>
        </is>
      </c>
      <c r="C107">
        <f>IFERROR(LEFT(LEFT(C106,FIND("+",C106&amp;"+")-1),FIND("t",LEFT(C106,FIND("+",C106&amp;"+")-1))-1)*MID(LEFT(C106,FIND("+",C106&amp;"+")-1),FIND("t",LEFT(C106,FIND("+",C106&amp;"+")-1))+1,2)^2*PI()/400,0)+IFERROR(LEFT(MID(C106,FIND("+",C106&amp;"+")+1,99),FIND("t",MID(C106,FIND("+",C106&amp;"+")+1,99))-1)*MID(MID(C106,FIND("+",C106&amp;"+")+1,99),FIND("t",MID(C106,FIND("+",C106&amp;"+")+1,99))+1,2)^2*PI()/400,0)</f>
        <v/>
      </c>
      <c r="D107">
        <f>IFERROR(LEFT(LEFT(D106,FIND("+",D106&amp;"+")-1),FIND("t",LEFT(D106,FIND("+",D106&amp;"+")-1))-1)*MID(LEFT(D106,FIND("+",D106&amp;"+")-1),FIND("t",LEFT(D106,FIND("+",D106&amp;"+")-1))+1,2)^2*PI()/400,0)+IFERROR(LEFT(MID(D106,FIND("+",D106&amp;"+")+1,99),FIND("t",MID(D106,FIND("+",D106&amp;"+")+1,99))-1)*MID(MID(D106,FIND("+",D106&amp;"+")+1,99),FIND("t",MID(D106,FIND("+",D106&amp;"+")+1,99))+1,2)^2*PI()/400,0)</f>
        <v/>
      </c>
      <c r="E107">
        <f>IFERROR(LEFT(LEFT(E106,FIND("+",E106&amp;"+")-1),FIND("t",LEFT(E106,FIND("+",E106&amp;"+")-1))-1)*MID(LEFT(E106,FIND("+",E106&amp;"+")-1),FIND("t",LEFT(E106,FIND("+",E106&amp;"+")-1))+1,2)^2*PI()/400,0)+IFERROR(LEFT(MID(E106,FIND("+",E106&amp;"+")+1,99),FIND("t",MID(E106,FIND("+",E106&amp;"+")+1,99))-1)*MID(MID(E106,FIND("+",E106&amp;"+")+1,99),FIND("t",MID(E106,FIND("+",E106&amp;"+")+1,99))+1,2)^2*PI()/400,0)</f>
        <v/>
      </c>
      <c r="F107">
        <f>IFERROR(LEFT(LEFT(F106,FIND("+",F106&amp;"+")-1),FIND("t",LEFT(F106,FIND("+",F106&amp;"+")-1))-1)*MID(LEFT(F106,FIND("+",F106&amp;"+")-1),FIND("t",LEFT(F106,FIND("+",F106&amp;"+")-1))+1,2)^2*PI()/400,0)+IFERROR(LEFT(MID(F106,FIND("+",F106&amp;"+")+1,99),FIND("t",MID(F106,FIND("+",F106&amp;"+")+1,99))-1)*MID(MID(F106,FIND("+",F106&amp;"+")+1,99),FIND("t",MID(F106,FIND("+",F106&amp;"+")+1,99))+1,2)^2*PI()/400,0)</f>
        <v/>
      </c>
      <c r="G107">
        <f>IFERROR(LEFT(LEFT(G106,FIND("+",G106&amp;"+")-1),FIND("t",LEFT(G106,FIND("+",G106&amp;"+")-1))-1)*MID(LEFT(G106,FIND("+",G106&amp;"+")-1),FIND("t",LEFT(G106,FIND("+",G106&amp;"+")-1))+1,2)^2*PI()/400,0)+IFERROR(LEFT(MID(G106,FIND("+",G106&amp;"+")+1,99),FIND("t",MID(G106,FIND("+",G106&amp;"+")+1,99))-1)*MID(MID(G106,FIND("+",G106&amp;"+")+1,99),FIND("t",MID(G106,FIND("+",G106&amp;"+")+1,99))+1,2)^2*PI()/400,0)</f>
        <v/>
      </c>
      <c r="H107">
        <f>IFERROR(LEFT(LEFT(H106,FIND("+",H106&amp;"+")-1),FIND("t",LEFT(H106,FIND("+",H106&amp;"+")-1))-1)*MID(LEFT(H106,FIND("+",H106&amp;"+")-1),FIND("t",LEFT(H106,FIND("+",H106&amp;"+")-1))+1,2)^2*PI()/400,0)+IFERROR(LEFT(MID(H106,FIND("+",H106&amp;"+")+1,99),FIND("t",MID(H106,FIND("+",H106&amp;"+")+1,99))-1)*MID(MID(H106,FIND("+",H106&amp;"+")+1,99),FIND("t",MID(H106,FIND("+",H106&amp;"+")+1,99))+1,2)^2*PI()/400,0)</f>
        <v/>
      </c>
      <c r="I107">
        <f>IFERROR(LEFT(LEFT(I106,FIND("+",I106&amp;"+")-1),FIND("t",LEFT(I106,FIND("+",I106&amp;"+")-1))-1)*MID(LEFT(I106,FIND("+",I106&amp;"+")-1),FIND("t",LEFT(I106,FIND("+",I106&amp;"+")-1))+1,2)^2*PI()/400,0)+IFERROR(LEFT(MID(I106,FIND("+",I106&amp;"+")+1,99),FIND("t",MID(I106,FIND("+",I106&amp;"+")+1,99))-1)*MID(MID(I106,FIND("+",I106&amp;"+")+1,99),FIND("t",MID(I106,FIND("+",I106&amp;"+")+1,99))+1,2)^2*PI()/400,0)</f>
        <v/>
      </c>
      <c r="J107">
        <f>IFERROR(LEFT(LEFT(J106,FIND("+",J106&amp;"+")-1),FIND("t",LEFT(J106,FIND("+",J106&amp;"+")-1))-1)*MID(LEFT(J106,FIND("+",J106&amp;"+")-1),FIND("t",LEFT(J106,FIND("+",J106&amp;"+")-1))+1,2)^2*PI()/400,0)+IFERROR(LEFT(MID(J106,FIND("+",J106&amp;"+")+1,99),FIND("t",MID(J106,FIND("+",J106&amp;"+")+1,99))-1)*MID(MID(J106,FIND("+",J106&amp;"+")+1,99),FIND("t",MID(J106,FIND("+",J106&amp;"+")+1,99))+1,2)^2*PI()/400,0)</f>
        <v/>
      </c>
      <c r="K107">
        <f>IFERROR(LEFT(LEFT(K106,FIND("+",K106&amp;"+")-1),FIND("t",LEFT(K106,FIND("+",K106&amp;"+")-1))-1)*MID(LEFT(K106,FIND("+",K106&amp;"+")-1),FIND("t",LEFT(K106,FIND("+",K106&amp;"+")-1))+1,2)^2*PI()/400,0)+IFERROR(LEFT(MID(K106,FIND("+",K106&amp;"+")+1,99),FIND("t",MID(K106,FIND("+",K106&amp;"+")+1,99))-1)*MID(MID(K106,FIND("+",K106&amp;"+")+1,99),FIND("t",MID(K106,FIND("+",K106&amp;"+")+1,99))+1,2)^2*PI()/400,0)</f>
        <v/>
      </c>
      <c r="L107">
        <f>IFERROR(LEFT(LEFT(L106,FIND("+",L106&amp;"+")-1),FIND("t",LEFT(L106,FIND("+",L106&amp;"+")-1))-1)*MID(LEFT(L106,FIND("+",L106&amp;"+")-1),FIND("t",LEFT(L106,FIND("+",L106&amp;"+")-1))+1,2)^2*PI()/400,0)+IFERROR(LEFT(MID(L106,FIND("+",L106&amp;"+")+1,99),FIND("t",MID(L106,FIND("+",L106&amp;"+")+1,99))-1)*MID(MID(L106,FIND("+",L106&amp;"+")+1,99),FIND("t",MID(L106,FIND("+",L106&amp;"+")+1,99))+1,2)^2*PI()/400,0)</f>
        <v/>
      </c>
      <c r="M107">
        <f>IFERROR(LEFT(LEFT(M106,FIND("+",M106&amp;"+")-1),FIND("t",LEFT(M106,FIND("+",M106&amp;"+")-1))-1)*MID(LEFT(M106,FIND("+",M106&amp;"+")-1),FIND("t",LEFT(M106,FIND("+",M106&amp;"+")-1))+1,2)^2*PI()/400,0)+IFERROR(LEFT(MID(M106,FIND("+",M106&amp;"+")+1,99),FIND("t",MID(M106,FIND("+",M106&amp;"+")+1,99))-1)*MID(MID(M106,FIND("+",M106&amp;"+")+1,99),FIND("t",MID(M106,FIND("+",M106&amp;"+")+1,99))+1,2)^2*PI()/400,0)</f>
        <v/>
      </c>
      <c r="N107">
        <f>IFERROR(LEFT(LEFT(N106,FIND("+",N106&amp;"+")-1),FIND("t",LEFT(N106,FIND("+",N106&amp;"+")-1))-1)*MID(LEFT(N106,FIND("+",N106&amp;"+")-1),FIND("t",LEFT(N106,FIND("+",N106&amp;"+")-1))+1,2)^2*PI()/400,0)+IFERROR(LEFT(MID(N106,FIND("+",N106&amp;"+")+1,99),FIND("t",MID(N106,FIND("+",N106&amp;"+")+1,99))-1)*MID(MID(N106,FIND("+",N106&amp;"+")+1,99),FIND("t",MID(N106,FIND("+",N106&amp;"+")+1,99))+1,2)^2*PI()/400,0)</f>
        <v/>
      </c>
      <c r="O107">
        <f>IFERROR(LEFT(LEFT(O106,FIND("+",O106&amp;"+")-1),FIND("t",LEFT(O106,FIND("+",O106&amp;"+")-1))-1)*MID(LEFT(O106,FIND("+",O106&amp;"+")-1),FIND("t",LEFT(O106,FIND("+",O106&amp;"+")-1))+1,2)^2*PI()/400,0)+IFERROR(LEFT(MID(O106,FIND("+",O106&amp;"+")+1,99),FIND("t",MID(O106,FIND("+",O106&amp;"+")+1,99))-1)*MID(MID(O106,FIND("+",O106&amp;"+")+1,99),FIND("t",MID(O106,FIND("+",O106&amp;"+")+1,99))+1,2)^2*PI()/400,0)</f>
        <v/>
      </c>
      <c r="P107">
        <f>IFERROR(LEFT(LEFT(P106,FIND("+",P106&amp;"+")-1),FIND("t",LEFT(P106,FIND("+",P106&amp;"+")-1))-1)*MID(LEFT(P106,FIND("+",P106&amp;"+")-1),FIND("t",LEFT(P106,FIND("+",P106&amp;"+")-1))+1,2)^2*PI()/400,0)+IFERROR(LEFT(MID(P106,FIND("+",P106&amp;"+")+1,99),FIND("t",MID(P106,FIND("+",P106&amp;"+")+1,99))-1)*MID(MID(P106,FIND("+",P106&amp;"+")+1,99),FIND("t",MID(P106,FIND("+",P106&amp;"+")+1,99))+1,2)^2*PI()/400,0)</f>
        <v/>
      </c>
      <c r="Q107">
        <f>IFERROR(LEFT(LEFT(Q106,FIND("+",Q106&amp;"+")-1),FIND("t",LEFT(Q106,FIND("+",Q106&amp;"+")-1))-1)*MID(LEFT(Q106,FIND("+",Q106&amp;"+")-1),FIND("t",LEFT(Q106,FIND("+",Q106&amp;"+")-1))+1,2)^2*PI()/400,0)+IFERROR(LEFT(MID(Q106,FIND("+",Q106&amp;"+")+1,99),FIND("t",MID(Q106,FIND("+",Q106&amp;"+")+1,99))-1)*MID(MID(Q106,FIND("+",Q106&amp;"+")+1,99),FIND("t",MID(Q106,FIND("+",Q106&amp;"+")+1,99))+1,2)^2*PI()/400,0)</f>
        <v/>
      </c>
      <c r="R107">
        <f>IFERROR(LEFT(LEFT(R106,FIND("+",R106&amp;"+")-1),FIND("t",LEFT(R106,FIND("+",R106&amp;"+")-1))-1)*MID(LEFT(R106,FIND("+",R106&amp;"+")-1),FIND("t",LEFT(R106,FIND("+",R106&amp;"+")-1))+1,2)^2*PI()/400,0)+IFERROR(LEFT(MID(R106,FIND("+",R106&amp;"+")+1,99),FIND("t",MID(R106,FIND("+",R106&amp;"+")+1,99))-1)*MID(MID(R106,FIND("+",R106&amp;"+")+1,99),FIND("t",MID(R106,FIND("+",R106&amp;"+")+1,99))+1,2)^2*PI()/400,0)</f>
        <v/>
      </c>
      <c r="S107">
        <f>IFERROR(LEFT(LEFT(S106,FIND("+",S106&amp;"+")-1),FIND("t",LEFT(S106,FIND("+",S106&amp;"+")-1))-1)*MID(LEFT(S106,FIND("+",S106&amp;"+")-1),FIND("t",LEFT(S106,FIND("+",S106&amp;"+")-1))+1,2)^2*PI()/400,0)+IFERROR(LEFT(MID(S106,FIND("+",S106&amp;"+")+1,99),FIND("t",MID(S106,FIND("+",S106&amp;"+")+1,99))-1)*MID(MID(S106,FIND("+",S106&amp;"+")+1,99),FIND("t",MID(S106,FIND("+",S106&amp;"+")+1,99))+1,2)^2*PI()/400,0)</f>
        <v/>
      </c>
      <c r="T107">
        <f>IFERROR(LEFT(LEFT(T106,FIND("+",T106&amp;"+")-1),FIND("t",LEFT(T106,FIND("+",T106&amp;"+")-1))-1)*MID(LEFT(T106,FIND("+",T106&amp;"+")-1),FIND("t",LEFT(T106,FIND("+",T106&amp;"+")-1))+1,2)^2*PI()/400,0)+IFERROR(LEFT(MID(T106,FIND("+",T106&amp;"+")+1,99),FIND("t",MID(T106,FIND("+",T106&amp;"+")+1,99))-1)*MID(MID(T106,FIND("+",T106&amp;"+")+1,99),FIND("t",MID(T106,FIND("+",T106&amp;"+")+1,99))+1,2)^2*PI()/400,0)</f>
        <v/>
      </c>
      <c r="U107">
        <f>IFERROR(LEFT(LEFT(U106,FIND("+",U106&amp;"+")-1),FIND("t",LEFT(U106,FIND("+",U106&amp;"+")-1))-1)*MID(LEFT(U106,FIND("+",U106&amp;"+")-1),FIND("t",LEFT(U106,FIND("+",U106&amp;"+")-1))+1,2)^2*PI()/400,0)+IFERROR(LEFT(MID(U106,FIND("+",U106&amp;"+")+1,99),FIND("t",MID(U106,FIND("+",U106&amp;"+")+1,99))-1)*MID(MID(U106,FIND("+",U106&amp;"+")+1,99),FIND("t",MID(U106,FIND("+",U106&amp;"+")+1,99))+1,2)^2*PI()/400,0)</f>
        <v/>
      </c>
      <c r="V107">
        <f>IFERROR(LEFT(LEFT(V106,FIND("+",V106&amp;"+")-1),FIND("t",LEFT(V106,FIND("+",V106&amp;"+")-1))-1)*MID(LEFT(V106,FIND("+",V106&amp;"+")-1),FIND("t",LEFT(V106,FIND("+",V106&amp;"+")-1))+1,2)^2*PI()/400,0)+IFERROR(LEFT(MID(V106,FIND("+",V106&amp;"+")+1,99),FIND("t",MID(V106,FIND("+",V106&amp;"+")+1,99))-1)*MID(MID(V106,FIND("+",V106&amp;"+")+1,99),FIND("t",MID(V106,FIND("+",V106&amp;"+")+1,99))+1,2)^2*PI()/400,0)</f>
        <v/>
      </c>
      <c r="W107">
        <f>IFERROR(LEFT(LEFT(W106,FIND("+",W106&amp;"+")-1),FIND("t",LEFT(W106,FIND("+",W106&amp;"+")-1))-1)*MID(LEFT(W106,FIND("+",W106&amp;"+")-1),FIND("t",LEFT(W106,FIND("+",W106&amp;"+")-1))+1,2)^2*PI()/400,0)+IFERROR(LEFT(MID(W106,FIND("+",W106&amp;"+")+1,99),FIND("t",MID(W106,FIND("+",W106&amp;"+")+1,99))-1)*MID(MID(W106,FIND("+",W106&amp;"+")+1,99),FIND("t",MID(W106,FIND("+",W106&amp;"+")+1,99))+1,2)^2*PI()/400,0)</f>
        <v/>
      </c>
      <c r="X107">
        <f>IFERROR(LEFT(LEFT(X106,FIND("+",X106&amp;"+")-1),FIND("t",LEFT(X106,FIND("+",X106&amp;"+")-1))-1)*MID(LEFT(X106,FIND("+",X106&amp;"+")-1),FIND("t",LEFT(X106,FIND("+",X106&amp;"+")-1))+1,2)^2*PI()/400,0)+IFERROR(LEFT(MID(X106,FIND("+",X106&amp;"+")+1,99),FIND("t",MID(X106,FIND("+",X106&amp;"+")+1,99))-1)*MID(MID(X106,FIND("+",X106&amp;"+")+1,99),FIND("t",MID(X106,FIND("+",X106&amp;"+")+1,99))+1,2)^2*PI()/400,0)</f>
        <v/>
      </c>
      <c r="Y107">
        <f>IFERROR(LEFT(LEFT(Y106,FIND("+",Y106&amp;"+")-1),FIND("t",LEFT(Y106,FIND("+",Y106&amp;"+")-1))-1)*MID(LEFT(Y106,FIND("+",Y106&amp;"+")-1),FIND("t",LEFT(Y106,FIND("+",Y106&amp;"+")-1))+1,2)^2*PI()/400,0)+IFERROR(LEFT(MID(Y106,FIND("+",Y106&amp;"+")+1,99),FIND("t",MID(Y106,FIND("+",Y106&amp;"+")+1,99))-1)*MID(MID(Y106,FIND("+",Y106&amp;"+")+1,99),FIND("t",MID(Y106,FIND("+",Y106&amp;"+")+1,99))+1,2)^2*PI()/400,0)</f>
        <v/>
      </c>
      <c r="Z107">
        <f>IFERROR(LEFT(LEFT(Z106,FIND("+",Z106&amp;"+")-1),FIND("t",LEFT(Z106,FIND("+",Z106&amp;"+")-1))-1)*MID(LEFT(Z106,FIND("+",Z106&amp;"+")-1),FIND("t",LEFT(Z106,FIND("+",Z106&amp;"+")-1))+1,2)^2*PI()/400,0)+IFERROR(LEFT(MID(Z106,FIND("+",Z106&amp;"+")+1,99),FIND("t",MID(Z106,FIND("+",Z106&amp;"+")+1,99))-1)*MID(MID(Z106,FIND("+",Z106&amp;"+")+1,99),FIND("t",MID(Z106,FIND("+",Z106&amp;"+")+1,99))+1,2)^2*PI()/400,0)</f>
        <v/>
      </c>
      <c r="AA107">
        <f>IFERROR(LEFT(LEFT(AA106,FIND("+",AA106&amp;"+")-1),FIND("t",LEFT(AA106,FIND("+",AA106&amp;"+")-1))-1)*MID(LEFT(AA106,FIND("+",AA106&amp;"+")-1),FIND("t",LEFT(AA106,FIND("+",AA106&amp;"+")-1))+1,2)^2*PI()/400,0)+IFERROR(LEFT(MID(AA106,FIND("+",AA106&amp;"+")+1,99),FIND("t",MID(AA106,FIND("+",AA106&amp;"+")+1,99))-1)*MID(MID(AA106,FIND("+",AA106&amp;"+")+1,99),FIND("t",MID(AA106,FIND("+",AA106&amp;"+")+1,99))+1,2)^2*PI()/400,0)</f>
        <v/>
      </c>
      <c r="AB107">
        <f>IFERROR(LEFT(LEFT(AB106,FIND("+",AB106&amp;"+")-1),FIND("t",LEFT(AB106,FIND("+",AB106&amp;"+")-1))-1)*MID(LEFT(AB106,FIND("+",AB106&amp;"+")-1),FIND("t",LEFT(AB106,FIND("+",AB106&amp;"+")-1))+1,2)^2*PI()/400,0)+IFERROR(LEFT(MID(AB106,FIND("+",AB106&amp;"+")+1,99),FIND("t",MID(AB106,FIND("+",AB106&amp;"+")+1,99))-1)*MID(MID(AB106,FIND("+",AB106&amp;"+")+1,99),FIND("t",MID(AB106,FIND("+",AB106&amp;"+")+1,99))+1,2)^2*PI()/400,0)</f>
        <v/>
      </c>
      <c r="AC107">
        <f>IFERROR(LEFT(LEFT(AC106,FIND("+",AC106&amp;"+")-1),FIND("t",LEFT(AC106,FIND("+",AC106&amp;"+")-1))-1)*MID(LEFT(AC106,FIND("+",AC106&amp;"+")-1),FIND("t",LEFT(AC106,FIND("+",AC106&amp;"+")-1))+1,2)^2*PI()/400,0)+IFERROR(LEFT(MID(AC106,FIND("+",AC106&amp;"+")+1,99),FIND("t",MID(AC106,FIND("+",AC106&amp;"+")+1,99))-1)*MID(MID(AC106,FIND("+",AC106&amp;"+")+1,99),FIND("t",MID(AC106,FIND("+",AC106&amp;"+")+1,99))+1,2)^2*PI()/400,0)</f>
        <v/>
      </c>
      <c r="AD107">
        <f>IFERROR(LEFT(LEFT(AD106,FIND("+",AD106&amp;"+")-1),FIND("t",LEFT(AD106,FIND("+",AD106&amp;"+")-1))-1)*MID(LEFT(AD106,FIND("+",AD106&amp;"+")-1),FIND("t",LEFT(AD106,FIND("+",AD106&amp;"+")-1))+1,2)^2*PI()/400,0)+IFERROR(LEFT(MID(AD106,FIND("+",AD106&amp;"+")+1,99),FIND("t",MID(AD106,FIND("+",AD106&amp;"+")+1,99))-1)*MID(MID(AD106,FIND("+",AD106&amp;"+")+1,99),FIND("t",MID(AD106,FIND("+",AD106&amp;"+")+1,99))+1,2)^2*PI()/400,0)</f>
        <v/>
      </c>
      <c r="AE107">
        <f>IFERROR(LEFT(LEFT(AE106,FIND("+",AE106&amp;"+")-1),FIND("t",LEFT(AE106,FIND("+",AE106&amp;"+")-1))-1)*MID(LEFT(AE106,FIND("+",AE106&amp;"+")-1),FIND("t",LEFT(AE106,FIND("+",AE106&amp;"+")-1))+1,2)^2*PI()/400,0)+IFERROR(LEFT(MID(AE106,FIND("+",AE106&amp;"+")+1,99),FIND("t",MID(AE106,FIND("+",AE106&amp;"+")+1,99))-1)*MID(MID(AE106,FIND("+",AE106&amp;"+")+1,99),FIND("t",MID(AE106,FIND("+",AE106&amp;"+")+1,99))+1,2)^2*PI()/400,0)</f>
        <v/>
      </c>
      <c r="AF107">
        <f>IFERROR(LEFT(LEFT(AF106,FIND("+",AF106&amp;"+")-1),FIND("t",LEFT(AF106,FIND("+",AF106&amp;"+")-1))-1)*MID(LEFT(AF106,FIND("+",AF106&amp;"+")-1),FIND("t",LEFT(AF106,FIND("+",AF106&amp;"+")-1))+1,2)^2*PI()/400,0)+IFERROR(LEFT(MID(AF106,FIND("+",AF106&amp;"+")+1,99),FIND("t",MID(AF106,FIND("+",AF106&amp;"+")+1,99))-1)*MID(MID(AF106,FIND("+",AF106&amp;"+")+1,99),FIND("t",MID(AF106,FIND("+",AF106&amp;"+")+1,99))+1,2)^2*PI()/400,0)</f>
        <v/>
      </c>
      <c r="AG107">
        <f>IFERROR(LEFT(LEFT(AG106,FIND("+",AG106&amp;"+")-1),FIND("t",LEFT(AG106,FIND("+",AG106&amp;"+")-1))-1)*MID(LEFT(AG106,FIND("+",AG106&amp;"+")-1),FIND("t",LEFT(AG106,FIND("+",AG106&amp;"+")-1))+1,2)^2*PI()/400,0)+IFERROR(LEFT(MID(AG106,FIND("+",AG106&amp;"+")+1,99),FIND("t",MID(AG106,FIND("+",AG106&amp;"+")+1,99))-1)*MID(MID(AG106,FIND("+",AG106&amp;"+")+1,99),FIND("t",MID(AG106,FIND("+",AG106&amp;"+")+1,99))+1,2)^2*PI()/400,0)</f>
        <v/>
      </c>
    </row>
    <row r="108" hidden="1" outlineLevel="1">
      <c r="A108" s="60" t="inlineStr">
        <is>
          <t>(phụ trợ) N_B4L</t>
        </is>
      </c>
      <c r="C108">
        <f>SUBSTITUTE(SUBSTITUTE(SUBSTITUTE(SUBSTITUTE(SUBSTITUTE(SUBSTITUTE(LOWER(IF(ISNUMBER(FIND(";",C19)),LEFT(C19,FIND(";",C19)-1),C19))," ",""),"%%c","t"),"ø","t"),"φ","t"),"f","t"),"d","t")</f>
        <v/>
      </c>
      <c r="D108">
        <f>SUBSTITUTE(SUBSTITUTE(SUBSTITUTE(SUBSTITUTE(SUBSTITUTE(SUBSTITUTE(LOWER(IF(ISNUMBER(FIND(";",D19)),LEFT(D19,FIND(";",D19)-1),D19))," ",""),"%%c","t"),"ø","t"),"φ","t"),"f","t"),"d","t")</f>
        <v/>
      </c>
      <c r="E108">
        <f>SUBSTITUTE(SUBSTITUTE(SUBSTITUTE(SUBSTITUTE(SUBSTITUTE(SUBSTITUTE(LOWER(IF(ISNUMBER(FIND(";",E19)),LEFT(E19,FIND(";",E19)-1),E19))," ",""),"%%c","t"),"ø","t"),"φ","t"),"f","t"),"d","t")</f>
        <v/>
      </c>
      <c r="F108">
        <f>SUBSTITUTE(SUBSTITUTE(SUBSTITUTE(SUBSTITUTE(SUBSTITUTE(SUBSTITUTE(LOWER(IF(ISNUMBER(FIND(";",F19)),LEFT(F19,FIND(";",F19)-1),F19))," ",""),"%%c","t"),"ø","t"),"φ","t"),"f","t"),"d","t")</f>
        <v/>
      </c>
      <c r="G108">
        <f>SUBSTITUTE(SUBSTITUTE(SUBSTITUTE(SUBSTITUTE(SUBSTITUTE(SUBSTITUTE(LOWER(IF(ISNUMBER(FIND(";",G19)),LEFT(G19,FIND(";",G19)-1),G19))," ",""),"%%c","t"),"ø","t"),"φ","t"),"f","t"),"d","t")</f>
        <v/>
      </c>
      <c r="H108">
        <f>SUBSTITUTE(SUBSTITUTE(SUBSTITUTE(SUBSTITUTE(SUBSTITUTE(SUBSTITUTE(LOWER(IF(ISNUMBER(FIND(";",H19)),LEFT(H19,FIND(";",H19)-1),H19))," ",""),"%%c","t"),"ø","t"),"φ","t"),"f","t"),"d","t")</f>
        <v/>
      </c>
      <c r="I108">
        <f>SUBSTITUTE(SUBSTITUTE(SUBSTITUTE(SUBSTITUTE(SUBSTITUTE(SUBSTITUTE(LOWER(IF(ISNUMBER(FIND(";",I19)),LEFT(I19,FIND(";",I19)-1),I19))," ",""),"%%c","t"),"ø","t"),"φ","t"),"f","t"),"d","t")</f>
        <v/>
      </c>
      <c r="J108">
        <f>SUBSTITUTE(SUBSTITUTE(SUBSTITUTE(SUBSTITUTE(SUBSTITUTE(SUBSTITUTE(LOWER(IF(ISNUMBER(FIND(";",J19)),LEFT(J19,FIND(";",J19)-1),J19))," ",""),"%%c","t"),"ø","t"),"φ","t"),"f","t"),"d","t")</f>
        <v/>
      </c>
      <c r="K108">
        <f>SUBSTITUTE(SUBSTITUTE(SUBSTITUTE(SUBSTITUTE(SUBSTITUTE(SUBSTITUTE(LOWER(IF(ISNUMBER(FIND(";",K19)),LEFT(K19,FIND(";",K19)-1),K19))," ",""),"%%c","t"),"ø","t"),"φ","t"),"f","t"),"d","t")</f>
        <v/>
      </c>
      <c r="L108">
        <f>SUBSTITUTE(SUBSTITUTE(SUBSTITUTE(SUBSTITUTE(SUBSTITUTE(SUBSTITUTE(LOWER(IF(ISNUMBER(FIND(";",L19)),LEFT(L19,FIND(";",L19)-1),L19))," ",""),"%%c","t"),"ø","t"),"φ","t"),"f","t"),"d","t")</f>
        <v/>
      </c>
      <c r="M108">
        <f>SUBSTITUTE(SUBSTITUTE(SUBSTITUTE(SUBSTITUTE(SUBSTITUTE(SUBSTITUTE(LOWER(IF(ISNUMBER(FIND(";",M19)),LEFT(M19,FIND(";",M19)-1),M19))," ",""),"%%c","t"),"ø","t"),"φ","t"),"f","t"),"d","t")</f>
        <v/>
      </c>
      <c r="N108">
        <f>SUBSTITUTE(SUBSTITUTE(SUBSTITUTE(SUBSTITUTE(SUBSTITUTE(SUBSTITUTE(LOWER(IF(ISNUMBER(FIND(";",N19)),LEFT(N19,FIND(";",N19)-1),N19))," ",""),"%%c","t"),"ø","t"),"φ","t"),"f","t"),"d","t")</f>
        <v/>
      </c>
      <c r="O108">
        <f>SUBSTITUTE(SUBSTITUTE(SUBSTITUTE(SUBSTITUTE(SUBSTITUTE(SUBSTITUTE(LOWER(IF(ISNUMBER(FIND(";",O19)),LEFT(O19,FIND(";",O19)-1),O19))," ",""),"%%c","t"),"ø","t"),"φ","t"),"f","t"),"d","t")</f>
        <v/>
      </c>
      <c r="P108">
        <f>SUBSTITUTE(SUBSTITUTE(SUBSTITUTE(SUBSTITUTE(SUBSTITUTE(SUBSTITUTE(LOWER(IF(ISNUMBER(FIND(";",P19)),LEFT(P19,FIND(";",P19)-1),P19))," ",""),"%%c","t"),"ø","t"),"φ","t"),"f","t"),"d","t")</f>
        <v/>
      </c>
      <c r="Q108">
        <f>SUBSTITUTE(SUBSTITUTE(SUBSTITUTE(SUBSTITUTE(SUBSTITUTE(SUBSTITUTE(LOWER(IF(ISNUMBER(FIND(";",Q19)),LEFT(Q19,FIND(";",Q19)-1),Q19))," ",""),"%%c","t"),"ø","t"),"φ","t"),"f","t"),"d","t")</f>
        <v/>
      </c>
      <c r="R108">
        <f>SUBSTITUTE(SUBSTITUTE(SUBSTITUTE(SUBSTITUTE(SUBSTITUTE(SUBSTITUTE(LOWER(IF(ISNUMBER(FIND(";",R19)),LEFT(R19,FIND(";",R19)-1),R19))," ",""),"%%c","t"),"ø","t"),"φ","t"),"f","t"),"d","t")</f>
        <v/>
      </c>
      <c r="S108">
        <f>SUBSTITUTE(SUBSTITUTE(SUBSTITUTE(SUBSTITUTE(SUBSTITUTE(SUBSTITUTE(LOWER(IF(ISNUMBER(FIND(";",S19)),LEFT(S19,FIND(";",S19)-1),S19))," ",""),"%%c","t"),"ø","t"),"φ","t"),"f","t"),"d","t")</f>
        <v/>
      </c>
      <c r="T108">
        <f>SUBSTITUTE(SUBSTITUTE(SUBSTITUTE(SUBSTITUTE(SUBSTITUTE(SUBSTITUTE(LOWER(IF(ISNUMBER(FIND(";",T19)),LEFT(T19,FIND(";",T19)-1),T19))," ",""),"%%c","t"),"ø","t"),"φ","t"),"f","t"),"d","t")</f>
        <v/>
      </c>
      <c r="U108">
        <f>SUBSTITUTE(SUBSTITUTE(SUBSTITUTE(SUBSTITUTE(SUBSTITUTE(SUBSTITUTE(LOWER(IF(ISNUMBER(FIND(";",U19)),LEFT(U19,FIND(";",U19)-1),U19))," ",""),"%%c","t"),"ø","t"),"φ","t"),"f","t"),"d","t")</f>
        <v/>
      </c>
      <c r="V108">
        <f>SUBSTITUTE(SUBSTITUTE(SUBSTITUTE(SUBSTITUTE(SUBSTITUTE(SUBSTITUTE(LOWER(IF(ISNUMBER(FIND(";",V19)),LEFT(V19,FIND(";",V19)-1),V19))," ",""),"%%c","t"),"ø","t"),"φ","t"),"f","t"),"d","t")</f>
        <v/>
      </c>
      <c r="W108">
        <f>SUBSTITUTE(SUBSTITUTE(SUBSTITUTE(SUBSTITUTE(SUBSTITUTE(SUBSTITUTE(LOWER(IF(ISNUMBER(FIND(";",W19)),LEFT(W19,FIND(";",W19)-1),W19))," ",""),"%%c","t"),"ø","t"),"φ","t"),"f","t"),"d","t")</f>
        <v/>
      </c>
      <c r="X108">
        <f>SUBSTITUTE(SUBSTITUTE(SUBSTITUTE(SUBSTITUTE(SUBSTITUTE(SUBSTITUTE(LOWER(IF(ISNUMBER(FIND(";",X19)),LEFT(X19,FIND(";",X19)-1),X19))," ",""),"%%c","t"),"ø","t"),"φ","t"),"f","t"),"d","t")</f>
        <v/>
      </c>
      <c r="Y108">
        <f>SUBSTITUTE(SUBSTITUTE(SUBSTITUTE(SUBSTITUTE(SUBSTITUTE(SUBSTITUTE(LOWER(IF(ISNUMBER(FIND(";",Y19)),LEFT(Y19,FIND(";",Y19)-1),Y19))," ",""),"%%c","t"),"ø","t"),"φ","t"),"f","t"),"d","t")</f>
        <v/>
      </c>
      <c r="Z108">
        <f>SUBSTITUTE(SUBSTITUTE(SUBSTITUTE(SUBSTITUTE(SUBSTITUTE(SUBSTITUTE(LOWER(IF(ISNUMBER(FIND(";",Z19)),LEFT(Z19,FIND(";",Z19)-1),Z19))," ",""),"%%c","t"),"ø","t"),"φ","t"),"f","t"),"d","t")</f>
        <v/>
      </c>
      <c r="AA108">
        <f>SUBSTITUTE(SUBSTITUTE(SUBSTITUTE(SUBSTITUTE(SUBSTITUTE(SUBSTITUTE(LOWER(IF(ISNUMBER(FIND(";",AA19)),LEFT(AA19,FIND(";",AA19)-1),AA19))," ",""),"%%c","t"),"ø","t"),"φ","t"),"f","t"),"d","t")</f>
        <v/>
      </c>
      <c r="AB108">
        <f>SUBSTITUTE(SUBSTITUTE(SUBSTITUTE(SUBSTITUTE(SUBSTITUTE(SUBSTITUTE(LOWER(IF(ISNUMBER(FIND(";",AB19)),LEFT(AB19,FIND(";",AB19)-1),AB19))," ",""),"%%c","t"),"ø","t"),"φ","t"),"f","t"),"d","t")</f>
        <v/>
      </c>
      <c r="AC108">
        <f>SUBSTITUTE(SUBSTITUTE(SUBSTITUTE(SUBSTITUTE(SUBSTITUTE(SUBSTITUTE(LOWER(IF(ISNUMBER(FIND(";",AC19)),LEFT(AC19,FIND(";",AC19)-1),AC19))," ",""),"%%c","t"),"ø","t"),"φ","t"),"f","t"),"d","t")</f>
        <v/>
      </c>
      <c r="AD108">
        <f>SUBSTITUTE(SUBSTITUTE(SUBSTITUTE(SUBSTITUTE(SUBSTITUTE(SUBSTITUTE(LOWER(IF(ISNUMBER(FIND(";",AD19)),LEFT(AD19,FIND(";",AD19)-1),AD19))," ",""),"%%c","t"),"ø","t"),"φ","t"),"f","t"),"d","t")</f>
        <v/>
      </c>
      <c r="AE108">
        <f>SUBSTITUTE(SUBSTITUTE(SUBSTITUTE(SUBSTITUTE(SUBSTITUTE(SUBSTITUTE(LOWER(IF(ISNUMBER(FIND(";",AE19)),LEFT(AE19,FIND(";",AE19)-1),AE19))," ",""),"%%c","t"),"ø","t"),"φ","t"),"f","t"),"d","t")</f>
        <v/>
      </c>
      <c r="AF108">
        <f>SUBSTITUTE(SUBSTITUTE(SUBSTITUTE(SUBSTITUTE(SUBSTITUTE(SUBSTITUTE(LOWER(IF(ISNUMBER(FIND(";",AF19)),LEFT(AF19,FIND(";",AF19)-1),AF19))," ",""),"%%c","t"),"ø","t"),"φ","t"),"f","t"),"d","t")</f>
        <v/>
      </c>
      <c r="AG108">
        <f>SUBSTITUTE(SUBSTITUTE(SUBSTITUTE(SUBSTITUTE(SUBSTITUTE(SUBSTITUTE(LOWER(IF(ISNUMBER(FIND(";",AG19)),LEFT(AG19,FIND(";",AG19)-1),AG19))," ",""),"%%c","t"),"ø","t"),"φ","t"),"f","t"),"d","t")</f>
        <v/>
      </c>
    </row>
    <row r="109" hidden="1" outlineLevel="1">
      <c r="A109" s="60" t="inlineStr">
        <is>
          <t>(phụ trợ) A_B4L</t>
        </is>
      </c>
      <c r="C109">
        <f>IFERROR(LEFT(LEFT(C108,FIND("+",C108&amp;"+")-1),FIND("t",LEFT(C108,FIND("+",C108&amp;"+")-1))-1)*MID(LEFT(C108,FIND("+",C108&amp;"+")-1),FIND("t",LEFT(C108,FIND("+",C108&amp;"+")-1))+1,2)^2*PI()/400,0)+IFERROR(LEFT(MID(C108,FIND("+",C108&amp;"+")+1,99),FIND("t",MID(C108,FIND("+",C108&amp;"+")+1,99))-1)*MID(MID(C108,FIND("+",C108&amp;"+")+1,99),FIND("t",MID(C108,FIND("+",C108&amp;"+")+1,99))+1,2)^2*PI()/400,0)</f>
        <v/>
      </c>
      <c r="D109">
        <f>IFERROR(LEFT(LEFT(D108,FIND("+",D108&amp;"+")-1),FIND("t",LEFT(D108,FIND("+",D108&amp;"+")-1))-1)*MID(LEFT(D108,FIND("+",D108&amp;"+")-1),FIND("t",LEFT(D108,FIND("+",D108&amp;"+")-1))+1,2)^2*PI()/400,0)+IFERROR(LEFT(MID(D108,FIND("+",D108&amp;"+")+1,99),FIND("t",MID(D108,FIND("+",D108&amp;"+")+1,99))-1)*MID(MID(D108,FIND("+",D108&amp;"+")+1,99),FIND("t",MID(D108,FIND("+",D108&amp;"+")+1,99))+1,2)^2*PI()/400,0)</f>
        <v/>
      </c>
      <c r="E109">
        <f>IFERROR(LEFT(LEFT(E108,FIND("+",E108&amp;"+")-1),FIND("t",LEFT(E108,FIND("+",E108&amp;"+")-1))-1)*MID(LEFT(E108,FIND("+",E108&amp;"+")-1),FIND("t",LEFT(E108,FIND("+",E108&amp;"+")-1))+1,2)^2*PI()/400,0)+IFERROR(LEFT(MID(E108,FIND("+",E108&amp;"+")+1,99),FIND("t",MID(E108,FIND("+",E108&amp;"+")+1,99))-1)*MID(MID(E108,FIND("+",E108&amp;"+")+1,99),FIND("t",MID(E108,FIND("+",E108&amp;"+")+1,99))+1,2)^2*PI()/400,0)</f>
        <v/>
      </c>
      <c r="F109">
        <f>IFERROR(LEFT(LEFT(F108,FIND("+",F108&amp;"+")-1),FIND("t",LEFT(F108,FIND("+",F108&amp;"+")-1))-1)*MID(LEFT(F108,FIND("+",F108&amp;"+")-1),FIND("t",LEFT(F108,FIND("+",F108&amp;"+")-1))+1,2)^2*PI()/400,0)+IFERROR(LEFT(MID(F108,FIND("+",F108&amp;"+")+1,99),FIND("t",MID(F108,FIND("+",F108&amp;"+")+1,99))-1)*MID(MID(F108,FIND("+",F108&amp;"+")+1,99),FIND("t",MID(F108,FIND("+",F108&amp;"+")+1,99))+1,2)^2*PI()/400,0)</f>
        <v/>
      </c>
      <c r="G109">
        <f>IFERROR(LEFT(LEFT(G108,FIND("+",G108&amp;"+")-1),FIND("t",LEFT(G108,FIND("+",G108&amp;"+")-1))-1)*MID(LEFT(G108,FIND("+",G108&amp;"+")-1),FIND("t",LEFT(G108,FIND("+",G108&amp;"+")-1))+1,2)^2*PI()/400,0)+IFERROR(LEFT(MID(G108,FIND("+",G108&amp;"+")+1,99),FIND("t",MID(G108,FIND("+",G108&amp;"+")+1,99))-1)*MID(MID(G108,FIND("+",G108&amp;"+")+1,99),FIND("t",MID(G108,FIND("+",G108&amp;"+")+1,99))+1,2)^2*PI()/400,0)</f>
        <v/>
      </c>
      <c r="H109">
        <f>IFERROR(LEFT(LEFT(H108,FIND("+",H108&amp;"+")-1),FIND("t",LEFT(H108,FIND("+",H108&amp;"+")-1))-1)*MID(LEFT(H108,FIND("+",H108&amp;"+")-1),FIND("t",LEFT(H108,FIND("+",H108&amp;"+")-1))+1,2)^2*PI()/400,0)+IFERROR(LEFT(MID(H108,FIND("+",H108&amp;"+")+1,99),FIND("t",MID(H108,FIND("+",H108&amp;"+")+1,99))-1)*MID(MID(H108,FIND("+",H108&amp;"+")+1,99),FIND("t",MID(H108,FIND("+",H108&amp;"+")+1,99))+1,2)^2*PI()/400,0)</f>
        <v/>
      </c>
      <c r="I109">
        <f>IFERROR(LEFT(LEFT(I108,FIND("+",I108&amp;"+")-1),FIND("t",LEFT(I108,FIND("+",I108&amp;"+")-1))-1)*MID(LEFT(I108,FIND("+",I108&amp;"+")-1),FIND("t",LEFT(I108,FIND("+",I108&amp;"+")-1))+1,2)^2*PI()/400,0)+IFERROR(LEFT(MID(I108,FIND("+",I108&amp;"+")+1,99),FIND("t",MID(I108,FIND("+",I108&amp;"+")+1,99))-1)*MID(MID(I108,FIND("+",I108&amp;"+")+1,99),FIND("t",MID(I108,FIND("+",I108&amp;"+")+1,99))+1,2)^2*PI()/400,0)</f>
        <v/>
      </c>
      <c r="J109">
        <f>IFERROR(LEFT(LEFT(J108,FIND("+",J108&amp;"+")-1),FIND("t",LEFT(J108,FIND("+",J108&amp;"+")-1))-1)*MID(LEFT(J108,FIND("+",J108&amp;"+")-1),FIND("t",LEFT(J108,FIND("+",J108&amp;"+")-1))+1,2)^2*PI()/400,0)+IFERROR(LEFT(MID(J108,FIND("+",J108&amp;"+")+1,99),FIND("t",MID(J108,FIND("+",J108&amp;"+")+1,99))-1)*MID(MID(J108,FIND("+",J108&amp;"+")+1,99),FIND("t",MID(J108,FIND("+",J108&amp;"+")+1,99))+1,2)^2*PI()/400,0)</f>
        <v/>
      </c>
      <c r="K109">
        <f>IFERROR(LEFT(LEFT(K108,FIND("+",K108&amp;"+")-1),FIND("t",LEFT(K108,FIND("+",K108&amp;"+")-1))-1)*MID(LEFT(K108,FIND("+",K108&amp;"+")-1),FIND("t",LEFT(K108,FIND("+",K108&amp;"+")-1))+1,2)^2*PI()/400,0)+IFERROR(LEFT(MID(K108,FIND("+",K108&amp;"+")+1,99),FIND("t",MID(K108,FIND("+",K108&amp;"+")+1,99))-1)*MID(MID(K108,FIND("+",K108&amp;"+")+1,99),FIND("t",MID(K108,FIND("+",K108&amp;"+")+1,99))+1,2)^2*PI()/400,0)</f>
        <v/>
      </c>
      <c r="L109">
        <f>IFERROR(LEFT(LEFT(L108,FIND("+",L108&amp;"+")-1),FIND("t",LEFT(L108,FIND("+",L108&amp;"+")-1))-1)*MID(LEFT(L108,FIND("+",L108&amp;"+")-1),FIND("t",LEFT(L108,FIND("+",L108&amp;"+")-1))+1,2)^2*PI()/400,0)+IFERROR(LEFT(MID(L108,FIND("+",L108&amp;"+")+1,99),FIND("t",MID(L108,FIND("+",L108&amp;"+")+1,99))-1)*MID(MID(L108,FIND("+",L108&amp;"+")+1,99),FIND("t",MID(L108,FIND("+",L108&amp;"+")+1,99))+1,2)^2*PI()/400,0)</f>
        <v/>
      </c>
      <c r="M109">
        <f>IFERROR(LEFT(LEFT(M108,FIND("+",M108&amp;"+")-1),FIND("t",LEFT(M108,FIND("+",M108&amp;"+")-1))-1)*MID(LEFT(M108,FIND("+",M108&amp;"+")-1),FIND("t",LEFT(M108,FIND("+",M108&amp;"+")-1))+1,2)^2*PI()/400,0)+IFERROR(LEFT(MID(M108,FIND("+",M108&amp;"+")+1,99),FIND("t",MID(M108,FIND("+",M108&amp;"+")+1,99))-1)*MID(MID(M108,FIND("+",M108&amp;"+")+1,99),FIND("t",MID(M108,FIND("+",M108&amp;"+")+1,99))+1,2)^2*PI()/400,0)</f>
        <v/>
      </c>
      <c r="N109">
        <f>IFERROR(LEFT(LEFT(N108,FIND("+",N108&amp;"+")-1),FIND("t",LEFT(N108,FIND("+",N108&amp;"+")-1))-1)*MID(LEFT(N108,FIND("+",N108&amp;"+")-1),FIND("t",LEFT(N108,FIND("+",N108&amp;"+")-1))+1,2)^2*PI()/400,0)+IFERROR(LEFT(MID(N108,FIND("+",N108&amp;"+")+1,99),FIND("t",MID(N108,FIND("+",N108&amp;"+")+1,99))-1)*MID(MID(N108,FIND("+",N108&amp;"+")+1,99),FIND("t",MID(N108,FIND("+",N108&amp;"+")+1,99))+1,2)^2*PI()/400,0)</f>
        <v/>
      </c>
      <c r="O109">
        <f>IFERROR(LEFT(LEFT(O108,FIND("+",O108&amp;"+")-1),FIND("t",LEFT(O108,FIND("+",O108&amp;"+")-1))-1)*MID(LEFT(O108,FIND("+",O108&amp;"+")-1),FIND("t",LEFT(O108,FIND("+",O108&amp;"+")-1))+1,2)^2*PI()/400,0)+IFERROR(LEFT(MID(O108,FIND("+",O108&amp;"+")+1,99),FIND("t",MID(O108,FIND("+",O108&amp;"+")+1,99))-1)*MID(MID(O108,FIND("+",O108&amp;"+")+1,99),FIND("t",MID(O108,FIND("+",O108&amp;"+")+1,99))+1,2)^2*PI()/400,0)</f>
        <v/>
      </c>
      <c r="P109">
        <f>IFERROR(LEFT(LEFT(P108,FIND("+",P108&amp;"+")-1),FIND("t",LEFT(P108,FIND("+",P108&amp;"+")-1))-1)*MID(LEFT(P108,FIND("+",P108&amp;"+")-1),FIND("t",LEFT(P108,FIND("+",P108&amp;"+")-1))+1,2)^2*PI()/400,0)+IFERROR(LEFT(MID(P108,FIND("+",P108&amp;"+")+1,99),FIND("t",MID(P108,FIND("+",P108&amp;"+")+1,99))-1)*MID(MID(P108,FIND("+",P108&amp;"+")+1,99),FIND("t",MID(P108,FIND("+",P108&amp;"+")+1,99))+1,2)^2*PI()/400,0)</f>
        <v/>
      </c>
      <c r="Q109">
        <f>IFERROR(LEFT(LEFT(Q108,FIND("+",Q108&amp;"+")-1),FIND("t",LEFT(Q108,FIND("+",Q108&amp;"+")-1))-1)*MID(LEFT(Q108,FIND("+",Q108&amp;"+")-1),FIND("t",LEFT(Q108,FIND("+",Q108&amp;"+")-1))+1,2)^2*PI()/400,0)+IFERROR(LEFT(MID(Q108,FIND("+",Q108&amp;"+")+1,99),FIND("t",MID(Q108,FIND("+",Q108&amp;"+")+1,99))-1)*MID(MID(Q108,FIND("+",Q108&amp;"+")+1,99),FIND("t",MID(Q108,FIND("+",Q108&amp;"+")+1,99))+1,2)^2*PI()/400,0)</f>
        <v/>
      </c>
      <c r="R109">
        <f>IFERROR(LEFT(LEFT(R108,FIND("+",R108&amp;"+")-1),FIND("t",LEFT(R108,FIND("+",R108&amp;"+")-1))-1)*MID(LEFT(R108,FIND("+",R108&amp;"+")-1),FIND("t",LEFT(R108,FIND("+",R108&amp;"+")-1))+1,2)^2*PI()/400,0)+IFERROR(LEFT(MID(R108,FIND("+",R108&amp;"+")+1,99),FIND("t",MID(R108,FIND("+",R108&amp;"+")+1,99))-1)*MID(MID(R108,FIND("+",R108&amp;"+")+1,99),FIND("t",MID(R108,FIND("+",R108&amp;"+")+1,99))+1,2)^2*PI()/400,0)</f>
        <v/>
      </c>
      <c r="S109">
        <f>IFERROR(LEFT(LEFT(S108,FIND("+",S108&amp;"+")-1),FIND("t",LEFT(S108,FIND("+",S108&amp;"+")-1))-1)*MID(LEFT(S108,FIND("+",S108&amp;"+")-1),FIND("t",LEFT(S108,FIND("+",S108&amp;"+")-1))+1,2)^2*PI()/400,0)+IFERROR(LEFT(MID(S108,FIND("+",S108&amp;"+")+1,99),FIND("t",MID(S108,FIND("+",S108&amp;"+")+1,99))-1)*MID(MID(S108,FIND("+",S108&amp;"+")+1,99),FIND("t",MID(S108,FIND("+",S108&amp;"+")+1,99))+1,2)^2*PI()/400,0)</f>
        <v/>
      </c>
      <c r="T109">
        <f>IFERROR(LEFT(LEFT(T108,FIND("+",T108&amp;"+")-1),FIND("t",LEFT(T108,FIND("+",T108&amp;"+")-1))-1)*MID(LEFT(T108,FIND("+",T108&amp;"+")-1),FIND("t",LEFT(T108,FIND("+",T108&amp;"+")-1))+1,2)^2*PI()/400,0)+IFERROR(LEFT(MID(T108,FIND("+",T108&amp;"+")+1,99),FIND("t",MID(T108,FIND("+",T108&amp;"+")+1,99))-1)*MID(MID(T108,FIND("+",T108&amp;"+")+1,99),FIND("t",MID(T108,FIND("+",T108&amp;"+")+1,99))+1,2)^2*PI()/400,0)</f>
        <v/>
      </c>
      <c r="U109">
        <f>IFERROR(LEFT(LEFT(U108,FIND("+",U108&amp;"+")-1),FIND("t",LEFT(U108,FIND("+",U108&amp;"+")-1))-1)*MID(LEFT(U108,FIND("+",U108&amp;"+")-1),FIND("t",LEFT(U108,FIND("+",U108&amp;"+")-1))+1,2)^2*PI()/400,0)+IFERROR(LEFT(MID(U108,FIND("+",U108&amp;"+")+1,99),FIND("t",MID(U108,FIND("+",U108&amp;"+")+1,99))-1)*MID(MID(U108,FIND("+",U108&amp;"+")+1,99),FIND("t",MID(U108,FIND("+",U108&amp;"+")+1,99))+1,2)^2*PI()/400,0)</f>
        <v/>
      </c>
      <c r="V109">
        <f>IFERROR(LEFT(LEFT(V108,FIND("+",V108&amp;"+")-1),FIND("t",LEFT(V108,FIND("+",V108&amp;"+")-1))-1)*MID(LEFT(V108,FIND("+",V108&amp;"+")-1),FIND("t",LEFT(V108,FIND("+",V108&amp;"+")-1))+1,2)^2*PI()/400,0)+IFERROR(LEFT(MID(V108,FIND("+",V108&amp;"+")+1,99),FIND("t",MID(V108,FIND("+",V108&amp;"+")+1,99))-1)*MID(MID(V108,FIND("+",V108&amp;"+")+1,99),FIND("t",MID(V108,FIND("+",V108&amp;"+")+1,99))+1,2)^2*PI()/400,0)</f>
        <v/>
      </c>
      <c r="W109">
        <f>IFERROR(LEFT(LEFT(W108,FIND("+",W108&amp;"+")-1),FIND("t",LEFT(W108,FIND("+",W108&amp;"+")-1))-1)*MID(LEFT(W108,FIND("+",W108&amp;"+")-1),FIND("t",LEFT(W108,FIND("+",W108&amp;"+")-1))+1,2)^2*PI()/400,0)+IFERROR(LEFT(MID(W108,FIND("+",W108&amp;"+")+1,99),FIND("t",MID(W108,FIND("+",W108&amp;"+")+1,99))-1)*MID(MID(W108,FIND("+",W108&amp;"+")+1,99),FIND("t",MID(W108,FIND("+",W108&amp;"+")+1,99))+1,2)^2*PI()/400,0)</f>
        <v/>
      </c>
      <c r="X109">
        <f>IFERROR(LEFT(LEFT(X108,FIND("+",X108&amp;"+")-1),FIND("t",LEFT(X108,FIND("+",X108&amp;"+")-1))-1)*MID(LEFT(X108,FIND("+",X108&amp;"+")-1),FIND("t",LEFT(X108,FIND("+",X108&amp;"+")-1))+1,2)^2*PI()/400,0)+IFERROR(LEFT(MID(X108,FIND("+",X108&amp;"+")+1,99),FIND("t",MID(X108,FIND("+",X108&amp;"+")+1,99))-1)*MID(MID(X108,FIND("+",X108&amp;"+")+1,99),FIND("t",MID(X108,FIND("+",X108&amp;"+")+1,99))+1,2)^2*PI()/400,0)</f>
        <v/>
      </c>
      <c r="Y109">
        <f>IFERROR(LEFT(LEFT(Y108,FIND("+",Y108&amp;"+")-1),FIND("t",LEFT(Y108,FIND("+",Y108&amp;"+")-1))-1)*MID(LEFT(Y108,FIND("+",Y108&amp;"+")-1),FIND("t",LEFT(Y108,FIND("+",Y108&amp;"+")-1))+1,2)^2*PI()/400,0)+IFERROR(LEFT(MID(Y108,FIND("+",Y108&amp;"+")+1,99),FIND("t",MID(Y108,FIND("+",Y108&amp;"+")+1,99))-1)*MID(MID(Y108,FIND("+",Y108&amp;"+")+1,99),FIND("t",MID(Y108,FIND("+",Y108&amp;"+")+1,99))+1,2)^2*PI()/400,0)</f>
        <v/>
      </c>
      <c r="Z109">
        <f>IFERROR(LEFT(LEFT(Z108,FIND("+",Z108&amp;"+")-1),FIND("t",LEFT(Z108,FIND("+",Z108&amp;"+")-1))-1)*MID(LEFT(Z108,FIND("+",Z108&amp;"+")-1),FIND("t",LEFT(Z108,FIND("+",Z108&amp;"+")-1))+1,2)^2*PI()/400,0)+IFERROR(LEFT(MID(Z108,FIND("+",Z108&amp;"+")+1,99),FIND("t",MID(Z108,FIND("+",Z108&amp;"+")+1,99))-1)*MID(MID(Z108,FIND("+",Z108&amp;"+")+1,99),FIND("t",MID(Z108,FIND("+",Z108&amp;"+")+1,99))+1,2)^2*PI()/400,0)</f>
        <v/>
      </c>
      <c r="AA109">
        <f>IFERROR(LEFT(LEFT(AA108,FIND("+",AA108&amp;"+")-1),FIND("t",LEFT(AA108,FIND("+",AA108&amp;"+")-1))-1)*MID(LEFT(AA108,FIND("+",AA108&amp;"+")-1),FIND("t",LEFT(AA108,FIND("+",AA108&amp;"+")-1))+1,2)^2*PI()/400,0)+IFERROR(LEFT(MID(AA108,FIND("+",AA108&amp;"+")+1,99),FIND("t",MID(AA108,FIND("+",AA108&amp;"+")+1,99))-1)*MID(MID(AA108,FIND("+",AA108&amp;"+")+1,99),FIND("t",MID(AA108,FIND("+",AA108&amp;"+")+1,99))+1,2)^2*PI()/400,0)</f>
        <v/>
      </c>
      <c r="AB109">
        <f>IFERROR(LEFT(LEFT(AB108,FIND("+",AB108&amp;"+")-1),FIND("t",LEFT(AB108,FIND("+",AB108&amp;"+")-1))-1)*MID(LEFT(AB108,FIND("+",AB108&amp;"+")-1),FIND("t",LEFT(AB108,FIND("+",AB108&amp;"+")-1))+1,2)^2*PI()/400,0)+IFERROR(LEFT(MID(AB108,FIND("+",AB108&amp;"+")+1,99),FIND("t",MID(AB108,FIND("+",AB108&amp;"+")+1,99))-1)*MID(MID(AB108,FIND("+",AB108&amp;"+")+1,99),FIND("t",MID(AB108,FIND("+",AB108&amp;"+")+1,99))+1,2)^2*PI()/400,0)</f>
        <v/>
      </c>
      <c r="AC109">
        <f>IFERROR(LEFT(LEFT(AC108,FIND("+",AC108&amp;"+")-1),FIND("t",LEFT(AC108,FIND("+",AC108&amp;"+")-1))-1)*MID(LEFT(AC108,FIND("+",AC108&amp;"+")-1),FIND("t",LEFT(AC108,FIND("+",AC108&amp;"+")-1))+1,2)^2*PI()/400,0)+IFERROR(LEFT(MID(AC108,FIND("+",AC108&amp;"+")+1,99),FIND("t",MID(AC108,FIND("+",AC108&amp;"+")+1,99))-1)*MID(MID(AC108,FIND("+",AC108&amp;"+")+1,99),FIND("t",MID(AC108,FIND("+",AC108&amp;"+")+1,99))+1,2)^2*PI()/400,0)</f>
        <v/>
      </c>
      <c r="AD109">
        <f>IFERROR(LEFT(LEFT(AD108,FIND("+",AD108&amp;"+")-1),FIND("t",LEFT(AD108,FIND("+",AD108&amp;"+")-1))-1)*MID(LEFT(AD108,FIND("+",AD108&amp;"+")-1),FIND("t",LEFT(AD108,FIND("+",AD108&amp;"+")-1))+1,2)^2*PI()/400,0)+IFERROR(LEFT(MID(AD108,FIND("+",AD108&amp;"+")+1,99),FIND("t",MID(AD108,FIND("+",AD108&amp;"+")+1,99))-1)*MID(MID(AD108,FIND("+",AD108&amp;"+")+1,99),FIND("t",MID(AD108,FIND("+",AD108&amp;"+")+1,99))+1,2)^2*PI()/400,0)</f>
        <v/>
      </c>
      <c r="AE109">
        <f>IFERROR(LEFT(LEFT(AE108,FIND("+",AE108&amp;"+")-1),FIND("t",LEFT(AE108,FIND("+",AE108&amp;"+")-1))-1)*MID(LEFT(AE108,FIND("+",AE108&amp;"+")-1),FIND("t",LEFT(AE108,FIND("+",AE108&amp;"+")-1))+1,2)^2*PI()/400,0)+IFERROR(LEFT(MID(AE108,FIND("+",AE108&amp;"+")+1,99),FIND("t",MID(AE108,FIND("+",AE108&amp;"+")+1,99))-1)*MID(MID(AE108,FIND("+",AE108&amp;"+")+1,99),FIND("t",MID(AE108,FIND("+",AE108&amp;"+")+1,99))+1,2)^2*PI()/400,0)</f>
        <v/>
      </c>
      <c r="AF109">
        <f>IFERROR(LEFT(LEFT(AF108,FIND("+",AF108&amp;"+")-1),FIND("t",LEFT(AF108,FIND("+",AF108&amp;"+")-1))-1)*MID(LEFT(AF108,FIND("+",AF108&amp;"+")-1),FIND("t",LEFT(AF108,FIND("+",AF108&amp;"+")-1))+1,2)^2*PI()/400,0)+IFERROR(LEFT(MID(AF108,FIND("+",AF108&amp;"+")+1,99),FIND("t",MID(AF108,FIND("+",AF108&amp;"+")+1,99))-1)*MID(MID(AF108,FIND("+",AF108&amp;"+")+1,99),FIND("t",MID(AF108,FIND("+",AF108&amp;"+")+1,99))+1,2)^2*PI()/400,0)</f>
        <v/>
      </c>
      <c r="AG109">
        <f>IFERROR(LEFT(LEFT(AG108,FIND("+",AG108&amp;"+")-1),FIND("t",LEFT(AG108,FIND("+",AG108&amp;"+")-1))-1)*MID(LEFT(AG108,FIND("+",AG108&amp;"+")-1),FIND("t",LEFT(AG108,FIND("+",AG108&amp;"+")-1))+1,2)^2*PI()/400,0)+IFERROR(LEFT(MID(AG108,FIND("+",AG108&amp;"+")+1,99),FIND("t",MID(AG108,FIND("+",AG108&amp;"+")+1,99))-1)*MID(MID(AG108,FIND("+",AG108&amp;"+")+1,99),FIND("t",MID(AG108,FIND("+",AG108&amp;"+")+1,99))+1,2)^2*PI()/400,0)</f>
        <v/>
      </c>
    </row>
    <row r="110" hidden="1" outlineLevel="1">
      <c r="A110" s="60" t="inlineStr">
        <is>
          <t>(phụ trợ) N_B4R</t>
        </is>
      </c>
      <c r="C110">
        <f>SUBSTITUTE(SUBSTITUTE(SUBSTITUTE(SUBSTITUTE(SUBSTITUTE(SUBSTITUTE(LOWER(IF(ISNUMBER(FIND(";",C19)),MID(C19,FIND(";",C19)+1,99),C19))," ",""),"%%c","t"),"ø","t"),"φ","t"),"f","t"),"d","t")</f>
        <v/>
      </c>
      <c r="D110">
        <f>SUBSTITUTE(SUBSTITUTE(SUBSTITUTE(SUBSTITUTE(SUBSTITUTE(SUBSTITUTE(LOWER(IF(ISNUMBER(FIND(";",D19)),MID(D19,FIND(";",D19)+1,99),D19))," ",""),"%%c","t"),"ø","t"),"φ","t"),"f","t"),"d","t")</f>
        <v/>
      </c>
      <c r="E110">
        <f>SUBSTITUTE(SUBSTITUTE(SUBSTITUTE(SUBSTITUTE(SUBSTITUTE(SUBSTITUTE(LOWER(IF(ISNUMBER(FIND(";",E19)),MID(E19,FIND(";",E19)+1,99),E19))," ",""),"%%c","t"),"ø","t"),"φ","t"),"f","t"),"d","t")</f>
        <v/>
      </c>
      <c r="F110">
        <f>SUBSTITUTE(SUBSTITUTE(SUBSTITUTE(SUBSTITUTE(SUBSTITUTE(SUBSTITUTE(LOWER(IF(ISNUMBER(FIND(";",F19)),MID(F19,FIND(";",F19)+1,99),F19))," ",""),"%%c","t"),"ø","t"),"φ","t"),"f","t"),"d","t")</f>
        <v/>
      </c>
      <c r="G110">
        <f>SUBSTITUTE(SUBSTITUTE(SUBSTITUTE(SUBSTITUTE(SUBSTITUTE(SUBSTITUTE(LOWER(IF(ISNUMBER(FIND(";",G19)),MID(G19,FIND(";",G19)+1,99),G19))," ",""),"%%c","t"),"ø","t"),"φ","t"),"f","t"),"d","t")</f>
        <v/>
      </c>
      <c r="H110">
        <f>SUBSTITUTE(SUBSTITUTE(SUBSTITUTE(SUBSTITUTE(SUBSTITUTE(SUBSTITUTE(LOWER(IF(ISNUMBER(FIND(";",H19)),MID(H19,FIND(";",H19)+1,99),H19))," ",""),"%%c","t"),"ø","t"),"φ","t"),"f","t"),"d","t")</f>
        <v/>
      </c>
      <c r="I110">
        <f>SUBSTITUTE(SUBSTITUTE(SUBSTITUTE(SUBSTITUTE(SUBSTITUTE(SUBSTITUTE(LOWER(IF(ISNUMBER(FIND(";",I19)),MID(I19,FIND(";",I19)+1,99),I19))," ",""),"%%c","t"),"ø","t"),"φ","t"),"f","t"),"d","t")</f>
        <v/>
      </c>
      <c r="J110">
        <f>SUBSTITUTE(SUBSTITUTE(SUBSTITUTE(SUBSTITUTE(SUBSTITUTE(SUBSTITUTE(LOWER(IF(ISNUMBER(FIND(";",J19)),MID(J19,FIND(";",J19)+1,99),J19))," ",""),"%%c","t"),"ø","t"),"φ","t"),"f","t"),"d","t")</f>
        <v/>
      </c>
      <c r="K110">
        <f>SUBSTITUTE(SUBSTITUTE(SUBSTITUTE(SUBSTITUTE(SUBSTITUTE(SUBSTITUTE(LOWER(IF(ISNUMBER(FIND(";",K19)),MID(K19,FIND(";",K19)+1,99),K19))," ",""),"%%c","t"),"ø","t"),"φ","t"),"f","t"),"d","t")</f>
        <v/>
      </c>
      <c r="L110">
        <f>SUBSTITUTE(SUBSTITUTE(SUBSTITUTE(SUBSTITUTE(SUBSTITUTE(SUBSTITUTE(LOWER(IF(ISNUMBER(FIND(";",L19)),MID(L19,FIND(";",L19)+1,99),L19))," ",""),"%%c","t"),"ø","t"),"φ","t"),"f","t"),"d","t")</f>
        <v/>
      </c>
      <c r="M110">
        <f>SUBSTITUTE(SUBSTITUTE(SUBSTITUTE(SUBSTITUTE(SUBSTITUTE(SUBSTITUTE(LOWER(IF(ISNUMBER(FIND(";",M19)),MID(M19,FIND(";",M19)+1,99),M19))," ",""),"%%c","t"),"ø","t"),"φ","t"),"f","t"),"d","t")</f>
        <v/>
      </c>
      <c r="N110">
        <f>SUBSTITUTE(SUBSTITUTE(SUBSTITUTE(SUBSTITUTE(SUBSTITUTE(SUBSTITUTE(LOWER(IF(ISNUMBER(FIND(";",N19)),MID(N19,FIND(";",N19)+1,99),N19))," ",""),"%%c","t"),"ø","t"),"φ","t"),"f","t"),"d","t")</f>
        <v/>
      </c>
      <c r="O110">
        <f>SUBSTITUTE(SUBSTITUTE(SUBSTITUTE(SUBSTITUTE(SUBSTITUTE(SUBSTITUTE(LOWER(IF(ISNUMBER(FIND(";",O19)),MID(O19,FIND(";",O19)+1,99),O19))," ",""),"%%c","t"),"ø","t"),"φ","t"),"f","t"),"d","t")</f>
        <v/>
      </c>
      <c r="P110">
        <f>SUBSTITUTE(SUBSTITUTE(SUBSTITUTE(SUBSTITUTE(SUBSTITUTE(SUBSTITUTE(LOWER(IF(ISNUMBER(FIND(";",P19)),MID(P19,FIND(";",P19)+1,99),P19))," ",""),"%%c","t"),"ø","t"),"φ","t"),"f","t"),"d","t")</f>
        <v/>
      </c>
      <c r="Q110">
        <f>SUBSTITUTE(SUBSTITUTE(SUBSTITUTE(SUBSTITUTE(SUBSTITUTE(SUBSTITUTE(LOWER(IF(ISNUMBER(FIND(";",Q19)),MID(Q19,FIND(";",Q19)+1,99),Q19))," ",""),"%%c","t"),"ø","t"),"φ","t"),"f","t"),"d","t")</f>
        <v/>
      </c>
      <c r="R110">
        <f>SUBSTITUTE(SUBSTITUTE(SUBSTITUTE(SUBSTITUTE(SUBSTITUTE(SUBSTITUTE(LOWER(IF(ISNUMBER(FIND(";",R19)),MID(R19,FIND(";",R19)+1,99),R19))," ",""),"%%c","t"),"ø","t"),"φ","t"),"f","t"),"d","t")</f>
        <v/>
      </c>
      <c r="S110">
        <f>SUBSTITUTE(SUBSTITUTE(SUBSTITUTE(SUBSTITUTE(SUBSTITUTE(SUBSTITUTE(LOWER(IF(ISNUMBER(FIND(";",S19)),MID(S19,FIND(";",S19)+1,99),S19))," ",""),"%%c","t"),"ø","t"),"φ","t"),"f","t"),"d","t")</f>
        <v/>
      </c>
      <c r="T110">
        <f>SUBSTITUTE(SUBSTITUTE(SUBSTITUTE(SUBSTITUTE(SUBSTITUTE(SUBSTITUTE(LOWER(IF(ISNUMBER(FIND(";",T19)),MID(T19,FIND(";",T19)+1,99),T19))," ",""),"%%c","t"),"ø","t"),"φ","t"),"f","t"),"d","t")</f>
        <v/>
      </c>
      <c r="U110">
        <f>SUBSTITUTE(SUBSTITUTE(SUBSTITUTE(SUBSTITUTE(SUBSTITUTE(SUBSTITUTE(LOWER(IF(ISNUMBER(FIND(";",U19)),MID(U19,FIND(";",U19)+1,99),U19))," ",""),"%%c","t"),"ø","t"),"φ","t"),"f","t"),"d","t")</f>
        <v/>
      </c>
      <c r="V110">
        <f>SUBSTITUTE(SUBSTITUTE(SUBSTITUTE(SUBSTITUTE(SUBSTITUTE(SUBSTITUTE(LOWER(IF(ISNUMBER(FIND(";",V19)),MID(V19,FIND(";",V19)+1,99),V19))," ",""),"%%c","t"),"ø","t"),"φ","t"),"f","t"),"d","t")</f>
        <v/>
      </c>
      <c r="W110">
        <f>SUBSTITUTE(SUBSTITUTE(SUBSTITUTE(SUBSTITUTE(SUBSTITUTE(SUBSTITUTE(LOWER(IF(ISNUMBER(FIND(";",W19)),MID(W19,FIND(";",W19)+1,99),W19))," ",""),"%%c","t"),"ø","t"),"φ","t"),"f","t"),"d","t")</f>
        <v/>
      </c>
      <c r="X110">
        <f>SUBSTITUTE(SUBSTITUTE(SUBSTITUTE(SUBSTITUTE(SUBSTITUTE(SUBSTITUTE(LOWER(IF(ISNUMBER(FIND(";",X19)),MID(X19,FIND(";",X19)+1,99),X19))," ",""),"%%c","t"),"ø","t"),"φ","t"),"f","t"),"d","t")</f>
        <v/>
      </c>
      <c r="Y110">
        <f>SUBSTITUTE(SUBSTITUTE(SUBSTITUTE(SUBSTITUTE(SUBSTITUTE(SUBSTITUTE(LOWER(IF(ISNUMBER(FIND(";",Y19)),MID(Y19,FIND(";",Y19)+1,99),Y19))," ",""),"%%c","t"),"ø","t"),"φ","t"),"f","t"),"d","t")</f>
        <v/>
      </c>
      <c r="Z110">
        <f>SUBSTITUTE(SUBSTITUTE(SUBSTITUTE(SUBSTITUTE(SUBSTITUTE(SUBSTITUTE(LOWER(IF(ISNUMBER(FIND(";",Z19)),MID(Z19,FIND(";",Z19)+1,99),Z19))," ",""),"%%c","t"),"ø","t"),"φ","t"),"f","t"),"d","t")</f>
        <v/>
      </c>
      <c r="AA110">
        <f>SUBSTITUTE(SUBSTITUTE(SUBSTITUTE(SUBSTITUTE(SUBSTITUTE(SUBSTITUTE(LOWER(IF(ISNUMBER(FIND(";",AA19)),MID(AA19,FIND(";",AA19)+1,99),AA19))," ",""),"%%c","t"),"ø","t"),"φ","t"),"f","t"),"d","t")</f>
        <v/>
      </c>
      <c r="AB110">
        <f>SUBSTITUTE(SUBSTITUTE(SUBSTITUTE(SUBSTITUTE(SUBSTITUTE(SUBSTITUTE(LOWER(IF(ISNUMBER(FIND(";",AB19)),MID(AB19,FIND(";",AB19)+1,99),AB19))," ",""),"%%c","t"),"ø","t"),"φ","t"),"f","t"),"d","t")</f>
        <v/>
      </c>
      <c r="AC110">
        <f>SUBSTITUTE(SUBSTITUTE(SUBSTITUTE(SUBSTITUTE(SUBSTITUTE(SUBSTITUTE(LOWER(IF(ISNUMBER(FIND(";",AC19)),MID(AC19,FIND(";",AC19)+1,99),AC19))," ",""),"%%c","t"),"ø","t"),"φ","t"),"f","t"),"d","t")</f>
        <v/>
      </c>
      <c r="AD110">
        <f>SUBSTITUTE(SUBSTITUTE(SUBSTITUTE(SUBSTITUTE(SUBSTITUTE(SUBSTITUTE(LOWER(IF(ISNUMBER(FIND(";",AD19)),MID(AD19,FIND(";",AD19)+1,99),AD19))," ",""),"%%c","t"),"ø","t"),"φ","t"),"f","t"),"d","t")</f>
        <v/>
      </c>
      <c r="AE110">
        <f>SUBSTITUTE(SUBSTITUTE(SUBSTITUTE(SUBSTITUTE(SUBSTITUTE(SUBSTITUTE(LOWER(IF(ISNUMBER(FIND(";",AE19)),MID(AE19,FIND(";",AE19)+1,99),AE19))," ",""),"%%c","t"),"ø","t"),"φ","t"),"f","t"),"d","t")</f>
        <v/>
      </c>
      <c r="AF110">
        <f>SUBSTITUTE(SUBSTITUTE(SUBSTITUTE(SUBSTITUTE(SUBSTITUTE(SUBSTITUTE(LOWER(IF(ISNUMBER(FIND(";",AF19)),MID(AF19,FIND(";",AF19)+1,99),AF19))," ",""),"%%c","t"),"ø","t"),"φ","t"),"f","t"),"d","t")</f>
        <v/>
      </c>
      <c r="AG110">
        <f>SUBSTITUTE(SUBSTITUTE(SUBSTITUTE(SUBSTITUTE(SUBSTITUTE(SUBSTITUTE(LOWER(IF(ISNUMBER(FIND(";",AG19)),MID(AG19,FIND(";",AG19)+1,99),AG19))," ",""),"%%c","t"),"ø","t"),"φ","t"),"f","t"),"d","t")</f>
        <v/>
      </c>
    </row>
    <row r="111" hidden="1" outlineLevel="1">
      <c r="A111" s="60" t="inlineStr">
        <is>
          <t>(phụ trợ) A_B4R</t>
        </is>
      </c>
      <c r="C111">
        <f>IFERROR(LEFT(LEFT(C110,FIND("+",C110&amp;"+")-1),FIND("t",LEFT(C110,FIND("+",C110&amp;"+")-1))-1)*MID(LEFT(C110,FIND("+",C110&amp;"+")-1),FIND("t",LEFT(C110,FIND("+",C110&amp;"+")-1))+1,2)^2*PI()/400,0)+IFERROR(LEFT(MID(C110,FIND("+",C110&amp;"+")+1,99),FIND("t",MID(C110,FIND("+",C110&amp;"+")+1,99))-1)*MID(MID(C110,FIND("+",C110&amp;"+")+1,99),FIND("t",MID(C110,FIND("+",C110&amp;"+")+1,99))+1,2)^2*PI()/400,0)</f>
        <v/>
      </c>
      <c r="D111">
        <f>IFERROR(LEFT(LEFT(D110,FIND("+",D110&amp;"+")-1),FIND("t",LEFT(D110,FIND("+",D110&amp;"+")-1))-1)*MID(LEFT(D110,FIND("+",D110&amp;"+")-1),FIND("t",LEFT(D110,FIND("+",D110&amp;"+")-1))+1,2)^2*PI()/400,0)+IFERROR(LEFT(MID(D110,FIND("+",D110&amp;"+")+1,99),FIND("t",MID(D110,FIND("+",D110&amp;"+")+1,99))-1)*MID(MID(D110,FIND("+",D110&amp;"+")+1,99),FIND("t",MID(D110,FIND("+",D110&amp;"+")+1,99))+1,2)^2*PI()/400,0)</f>
        <v/>
      </c>
      <c r="E111">
        <f>IFERROR(LEFT(LEFT(E110,FIND("+",E110&amp;"+")-1),FIND("t",LEFT(E110,FIND("+",E110&amp;"+")-1))-1)*MID(LEFT(E110,FIND("+",E110&amp;"+")-1),FIND("t",LEFT(E110,FIND("+",E110&amp;"+")-1))+1,2)^2*PI()/400,0)+IFERROR(LEFT(MID(E110,FIND("+",E110&amp;"+")+1,99),FIND("t",MID(E110,FIND("+",E110&amp;"+")+1,99))-1)*MID(MID(E110,FIND("+",E110&amp;"+")+1,99),FIND("t",MID(E110,FIND("+",E110&amp;"+")+1,99))+1,2)^2*PI()/400,0)</f>
        <v/>
      </c>
      <c r="F111">
        <f>IFERROR(LEFT(LEFT(F110,FIND("+",F110&amp;"+")-1),FIND("t",LEFT(F110,FIND("+",F110&amp;"+")-1))-1)*MID(LEFT(F110,FIND("+",F110&amp;"+")-1),FIND("t",LEFT(F110,FIND("+",F110&amp;"+")-1))+1,2)^2*PI()/400,0)+IFERROR(LEFT(MID(F110,FIND("+",F110&amp;"+")+1,99),FIND("t",MID(F110,FIND("+",F110&amp;"+")+1,99))-1)*MID(MID(F110,FIND("+",F110&amp;"+")+1,99),FIND("t",MID(F110,FIND("+",F110&amp;"+")+1,99))+1,2)^2*PI()/400,0)</f>
        <v/>
      </c>
      <c r="G111">
        <f>IFERROR(LEFT(LEFT(G110,FIND("+",G110&amp;"+")-1),FIND("t",LEFT(G110,FIND("+",G110&amp;"+")-1))-1)*MID(LEFT(G110,FIND("+",G110&amp;"+")-1),FIND("t",LEFT(G110,FIND("+",G110&amp;"+")-1))+1,2)^2*PI()/400,0)+IFERROR(LEFT(MID(G110,FIND("+",G110&amp;"+")+1,99),FIND("t",MID(G110,FIND("+",G110&amp;"+")+1,99))-1)*MID(MID(G110,FIND("+",G110&amp;"+")+1,99),FIND("t",MID(G110,FIND("+",G110&amp;"+")+1,99))+1,2)^2*PI()/400,0)</f>
        <v/>
      </c>
      <c r="H111">
        <f>IFERROR(LEFT(LEFT(H110,FIND("+",H110&amp;"+")-1),FIND("t",LEFT(H110,FIND("+",H110&amp;"+")-1))-1)*MID(LEFT(H110,FIND("+",H110&amp;"+")-1),FIND("t",LEFT(H110,FIND("+",H110&amp;"+")-1))+1,2)^2*PI()/400,0)+IFERROR(LEFT(MID(H110,FIND("+",H110&amp;"+")+1,99),FIND("t",MID(H110,FIND("+",H110&amp;"+")+1,99))-1)*MID(MID(H110,FIND("+",H110&amp;"+")+1,99),FIND("t",MID(H110,FIND("+",H110&amp;"+")+1,99))+1,2)^2*PI()/400,0)</f>
        <v/>
      </c>
      <c r="I111">
        <f>IFERROR(LEFT(LEFT(I110,FIND("+",I110&amp;"+")-1),FIND("t",LEFT(I110,FIND("+",I110&amp;"+")-1))-1)*MID(LEFT(I110,FIND("+",I110&amp;"+")-1),FIND("t",LEFT(I110,FIND("+",I110&amp;"+")-1))+1,2)^2*PI()/400,0)+IFERROR(LEFT(MID(I110,FIND("+",I110&amp;"+")+1,99),FIND("t",MID(I110,FIND("+",I110&amp;"+")+1,99))-1)*MID(MID(I110,FIND("+",I110&amp;"+")+1,99),FIND("t",MID(I110,FIND("+",I110&amp;"+")+1,99))+1,2)^2*PI()/400,0)</f>
        <v/>
      </c>
      <c r="J111">
        <f>IFERROR(LEFT(LEFT(J110,FIND("+",J110&amp;"+")-1),FIND("t",LEFT(J110,FIND("+",J110&amp;"+")-1))-1)*MID(LEFT(J110,FIND("+",J110&amp;"+")-1),FIND("t",LEFT(J110,FIND("+",J110&amp;"+")-1))+1,2)^2*PI()/400,0)+IFERROR(LEFT(MID(J110,FIND("+",J110&amp;"+")+1,99),FIND("t",MID(J110,FIND("+",J110&amp;"+")+1,99))-1)*MID(MID(J110,FIND("+",J110&amp;"+")+1,99),FIND("t",MID(J110,FIND("+",J110&amp;"+")+1,99))+1,2)^2*PI()/400,0)</f>
        <v/>
      </c>
      <c r="K111">
        <f>IFERROR(LEFT(LEFT(K110,FIND("+",K110&amp;"+")-1),FIND("t",LEFT(K110,FIND("+",K110&amp;"+")-1))-1)*MID(LEFT(K110,FIND("+",K110&amp;"+")-1),FIND("t",LEFT(K110,FIND("+",K110&amp;"+")-1))+1,2)^2*PI()/400,0)+IFERROR(LEFT(MID(K110,FIND("+",K110&amp;"+")+1,99),FIND("t",MID(K110,FIND("+",K110&amp;"+")+1,99))-1)*MID(MID(K110,FIND("+",K110&amp;"+")+1,99),FIND("t",MID(K110,FIND("+",K110&amp;"+")+1,99))+1,2)^2*PI()/400,0)</f>
        <v/>
      </c>
      <c r="L111">
        <f>IFERROR(LEFT(LEFT(L110,FIND("+",L110&amp;"+")-1),FIND("t",LEFT(L110,FIND("+",L110&amp;"+")-1))-1)*MID(LEFT(L110,FIND("+",L110&amp;"+")-1),FIND("t",LEFT(L110,FIND("+",L110&amp;"+")-1))+1,2)^2*PI()/400,0)+IFERROR(LEFT(MID(L110,FIND("+",L110&amp;"+")+1,99),FIND("t",MID(L110,FIND("+",L110&amp;"+")+1,99))-1)*MID(MID(L110,FIND("+",L110&amp;"+")+1,99),FIND("t",MID(L110,FIND("+",L110&amp;"+")+1,99))+1,2)^2*PI()/400,0)</f>
        <v/>
      </c>
      <c r="M111">
        <f>IFERROR(LEFT(LEFT(M110,FIND("+",M110&amp;"+")-1),FIND("t",LEFT(M110,FIND("+",M110&amp;"+")-1))-1)*MID(LEFT(M110,FIND("+",M110&amp;"+")-1),FIND("t",LEFT(M110,FIND("+",M110&amp;"+")-1))+1,2)^2*PI()/400,0)+IFERROR(LEFT(MID(M110,FIND("+",M110&amp;"+")+1,99),FIND("t",MID(M110,FIND("+",M110&amp;"+")+1,99))-1)*MID(MID(M110,FIND("+",M110&amp;"+")+1,99),FIND("t",MID(M110,FIND("+",M110&amp;"+")+1,99))+1,2)^2*PI()/400,0)</f>
        <v/>
      </c>
      <c r="N111">
        <f>IFERROR(LEFT(LEFT(N110,FIND("+",N110&amp;"+")-1),FIND("t",LEFT(N110,FIND("+",N110&amp;"+")-1))-1)*MID(LEFT(N110,FIND("+",N110&amp;"+")-1),FIND("t",LEFT(N110,FIND("+",N110&amp;"+")-1))+1,2)^2*PI()/400,0)+IFERROR(LEFT(MID(N110,FIND("+",N110&amp;"+")+1,99),FIND("t",MID(N110,FIND("+",N110&amp;"+")+1,99))-1)*MID(MID(N110,FIND("+",N110&amp;"+")+1,99),FIND("t",MID(N110,FIND("+",N110&amp;"+")+1,99))+1,2)^2*PI()/400,0)</f>
        <v/>
      </c>
      <c r="O111">
        <f>IFERROR(LEFT(LEFT(O110,FIND("+",O110&amp;"+")-1),FIND("t",LEFT(O110,FIND("+",O110&amp;"+")-1))-1)*MID(LEFT(O110,FIND("+",O110&amp;"+")-1),FIND("t",LEFT(O110,FIND("+",O110&amp;"+")-1))+1,2)^2*PI()/400,0)+IFERROR(LEFT(MID(O110,FIND("+",O110&amp;"+")+1,99),FIND("t",MID(O110,FIND("+",O110&amp;"+")+1,99))-1)*MID(MID(O110,FIND("+",O110&amp;"+")+1,99),FIND("t",MID(O110,FIND("+",O110&amp;"+")+1,99))+1,2)^2*PI()/400,0)</f>
        <v/>
      </c>
      <c r="P111">
        <f>IFERROR(LEFT(LEFT(P110,FIND("+",P110&amp;"+")-1),FIND("t",LEFT(P110,FIND("+",P110&amp;"+")-1))-1)*MID(LEFT(P110,FIND("+",P110&amp;"+")-1),FIND("t",LEFT(P110,FIND("+",P110&amp;"+")-1))+1,2)^2*PI()/400,0)+IFERROR(LEFT(MID(P110,FIND("+",P110&amp;"+")+1,99),FIND("t",MID(P110,FIND("+",P110&amp;"+")+1,99))-1)*MID(MID(P110,FIND("+",P110&amp;"+")+1,99),FIND("t",MID(P110,FIND("+",P110&amp;"+")+1,99))+1,2)^2*PI()/400,0)</f>
        <v/>
      </c>
      <c r="Q111">
        <f>IFERROR(LEFT(LEFT(Q110,FIND("+",Q110&amp;"+")-1),FIND("t",LEFT(Q110,FIND("+",Q110&amp;"+")-1))-1)*MID(LEFT(Q110,FIND("+",Q110&amp;"+")-1),FIND("t",LEFT(Q110,FIND("+",Q110&amp;"+")-1))+1,2)^2*PI()/400,0)+IFERROR(LEFT(MID(Q110,FIND("+",Q110&amp;"+")+1,99),FIND("t",MID(Q110,FIND("+",Q110&amp;"+")+1,99))-1)*MID(MID(Q110,FIND("+",Q110&amp;"+")+1,99),FIND("t",MID(Q110,FIND("+",Q110&amp;"+")+1,99))+1,2)^2*PI()/400,0)</f>
        <v/>
      </c>
      <c r="R111">
        <f>IFERROR(LEFT(LEFT(R110,FIND("+",R110&amp;"+")-1),FIND("t",LEFT(R110,FIND("+",R110&amp;"+")-1))-1)*MID(LEFT(R110,FIND("+",R110&amp;"+")-1),FIND("t",LEFT(R110,FIND("+",R110&amp;"+")-1))+1,2)^2*PI()/400,0)+IFERROR(LEFT(MID(R110,FIND("+",R110&amp;"+")+1,99),FIND("t",MID(R110,FIND("+",R110&amp;"+")+1,99))-1)*MID(MID(R110,FIND("+",R110&amp;"+")+1,99),FIND("t",MID(R110,FIND("+",R110&amp;"+")+1,99))+1,2)^2*PI()/400,0)</f>
        <v/>
      </c>
      <c r="S111">
        <f>IFERROR(LEFT(LEFT(S110,FIND("+",S110&amp;"+")-1),FIND("t",LEFT(S110,FIND("+",S110&amp;"+")-1))-1)*MID(LEFT(S110,FIND("+",S110&amp;"+")-1),FIND("t",LEFT(S110,FIND("+",S110&amp;"+")-1))+1,2)^2*PI()/400,0)+IFERROR(LEFT(MID(S110,FIND("+",S110&amp;"+")+1,99),FIND("t",MID(S110,FIND("+",S110&amp;"+")+1,99))-1)*MID(MID(S110,FIND("+",S110&amp;"+")+1,99),FIND("t",MID(S110,FIND("+",S110&amp;"+")+1,99))+1,2)^2*PI()/400,0)</f>
        <v/>
      </c>
      <c r="T111">
        <f>IFERROR(LEFT(LEFT(T110,FIND("+",T110&amp;"+")-1),FIND("t",LEFT(T110,FIND("+",T110&amp;"+")-1))-1)*MID(LEFT(T110,FIND("+",T110&amp;"+")-1),FIND("t",LEFT(T110,FIND("+",T110&amp;"+")-1))+1,2)^2*PI()/400,0)+IFERROR(LEFT(MID(T110,FIND("+",T110&amp;"+")+1,99),FIND("t",MID(T110,FIND("+",T110&amp;"+")+1,99))-1)*MID(MID(T110,FIND("+",T110&amp;"+")+1,99),FIND("t",MID(T110,FIND("+",T110&amp;"+")+1,99))+1,2)^2*PI()/400,0)</f>
        <v/>
      </c>
      <c r="U111">
        <f>IFERROR(LEFT(LEFT(U110,FIND("+",U110&amp;"+")-1),FIND("t",LEFT(U110,FIND("+",U110&amp;"+")-1))-1)*MID(LEFT(U110,FIND("+",U110&amp;"+")-1),FIND("t",LEFT(U110,FIND("+",U110&amp;"+")-1))+1,2)^2*PI()/400,0)+IFERROR(LEFT(MID(U110,FIND("+",U110&amp;"+")+1,99),FIND("t",MID(U110,FIND("+",U110&amp;"+")+1,99))-1)*MID(MID(U110,FIND("+",U110&amp;"+")+1,99),FIND("t",MID(U110,FIND("+",U110&amp;"+")+1,99))+1,2)^2*PI()/400,0)</f>
        <v/>
      </c>
      <c r="V111">
        <f>IFERROR(LEFT(LEFT(V110,FIND("+",V110&amp;"+")-1),FIND("t",LEFT(V110,FIND("+",V110&amp;"+")-1))-1)*MID(LEFT(V110,FIND("+",V110&amp;"+")-1),FIND("t",LEFT(V110,FIND("+",V110&amp;"+")-1))+1,2)^2*PI()/400,0)+IFERROR(LEFT(MID(V110,FIND("+",V110&amp;"+")+1,99),FIND("t",MID(V110,FIND("+",V110&amp;"+")+1,99))-1)*MID(MID(V110,FIND("+",V110&amp;"+")+1,99),FIND("t",MID(V110,FIND("+",V110&amp;"+")+1,99))+1,2)^2*PI()/400,0)</f>
        <v/>
      </c>
      <c r="W111">
        <f>IFERROR(LEFT(LEFT(W110,FIND("+",W110&amp;"+")-1),FIND("t",LEFT(W110,FIND("+",W110&amp;"+")-1))-1)*MID(LEFT(W110,FIND("+",W110&amp;"+")-1),FIND("t",LEFT(W110,FIND("+",W110&amp;"+")-1))+1,2)^2*PI()/400,0)+IFERROR(LEFT(MID(W110,FIND("+",W110&amp;"+")+1,99),FIND("t",MID(W110,FIND("+",W110&amp;"+")+1,99))-1)*MID(MID(W110,FIND("+",W110&amp;"+")+1,99),FIND("t",MID(W110,FIND("+",W110&amp;"+")+1,99))+1,2)^2*PI()/400,0)</f>
        <v/>
      </c>
      <c r="X111">
        <f>IFERROR(LEFT(LEFT(X110,FIND("+",X110&amp;"+")-1),FIND("t",LEFT(X110,FIND("+",X110&amp;"+")-1))-1)*MID(LEFT(X110,FIND("+",X110&amp;"+")-1),FIND("t",LEFT(X110,FIND("+",X110&amp;"+")-1))+1,2)^2*PI()/400,0)+IFERROR(LEFT(MID(X110,FIND("+",X110&amp;"+")+1,99),FIND("t",MID(X110,FIND("+",X110&amp;"+")+1,99))-1)*MID(MID(X110,FIND("+",X110&amp;"+")+1,99),FIND("t",MID(X110,FIND("+",X110&amp;"+")+1,99))+1,2)^2*PI()/400,0)</f>
        <v/>
      </c>
      <c r="Y111">
        <f>IFERROR(LEFT(LEFT(Y110,FIND("+",Y110&amp;"+")-1),FIND("t",LEFT(Y110,FIND("+",Y110&amp;"+")-1))-1)*MID(LEFT(Y110,FIND("+",Y110&amp;"+")-1),FIND("t",LEFT(Y110,FIND("+",Y110&amp;"+")-1))+1,2)^2*PI()/400,0)+IFERROR(LEFT(MID(Y110,FIND("+",Y110&amp;"+")+1,99),FIND("t",MID(Y110,FIND("+",Y110&amp;"+")+1,99))-1)*MID(MID(Y110,FIND("+",Y110&amp;"+")+1,99),FIND("t",MID(Y110,FIND("+",Y110&amp;"+")+1,99))+1,2)^2*PI()/400,0)</f>
        <v/>
      </c>
      <c r="Z111">
        <f>IFERROR(LEFT(LEFT(Z110,FIND("+",Z110&amp;"+")-1),FIND("t",LEFT(Z110,FIND("+",Z110&amp;"+")-1))-1)*MID(LEFT(Z110,FIND("+",Z110&amp;"+")-1),FIND("t",LEFT(Z110,FIND("+",Z110&amp;"+")-1))+1,2)^2*PI()/400,0)+IFERROR(LEFT(MID(Z110,FIND("+",Z110&amp;"+")+1,99),FIND("t",MID(Z110,FIND("+",Z110&amp;"+")+1,99))-1)*MID(MID(Z110,FIND("+",Z110&amp;"+")+1,99),FIND("t",MID(Z110,FIND("+",Z110&amp;"+")+1,99))+1,2)^2*PI()/400,0)</f>
        <v/>
      </c>
      <c r="AA111">
        <f>IFERROR(LEFT(LEFT(AA110,FIND("+",AA110&amp;"+")-1),FIND("t",LEFT(AA110,FIND("+",AA110&amp;"+")-1))-1)*MID(LEFT(AA110,FIND("+",AA110&amp;"+")-1),FIND("t",LEFT(AA110,FIND("+",AA110&amp;"+")-1))+1,2)^2*PI()/400,0)+IFERROR(LEFT(MID(AA110,FIND("+",AA110&amp;"+")+1,99),FIND("t",MID(AA110,FIND("+",AA110&amp;"+")+1,99))-1)*MID(MID(AA110,FIND("+",AA110&amp;"+")+1,99),FIND("t",MID(AA110,FIND("+",AA110&amp;"+")+1,99))+1,2)^2*PI()/400,0)</f>
        <v/>
      </c>
      <c r="AB111">
        <f>IFERROR(LEFT(LEFT(AB110,FIND("+",AB110&amp;"+")-1),FIND("t",LEFT(AB110,FIND("+",AB110&amp;"+")-1))-1)*MID(LEFT(AB110,FIND("+",AB110&amp;"+")-1),FIND("t",LEFT(AB110,FIND("+",AB110&amp;"+")-1))+1,2)^2*PI()/400,0)+IFERROR(LEFT(MID(AB110,FIND("+",AB110&amp;"+")+1,99),FIND("t",MID(AB110,FIND("+",AB110&amp;"+")+1,99))-1)*MID(MID(AB110,FIND("+",AB110&amp;"+")+1,99),FIND("t",MID(AB110,FIND("+",AB110&amp;"+")+1,99))+1,2)^2*PI()/400,0)</f>
        <v/>
      </c>
      <c r="AC111">
        <f>IFERROR(LEFT(LEFT(AC110,FIND("+",AC110&amp;"+")-1),FIND("t",LEFT(AC110,FIND("+",AC110&amp;"+")-1))-1)*MID(LEFT(AC110,FIND("+",AC110&amp;"+")-1),FIND("t",LEFT(AC110,FIND("+",AC110&amp;"+")-1))+1,2)^2*PI()/400,0)+IFERROR(LEFT(MID(AC110,FIND("+",AC110&amp;"+")+1,99),FIND("t",MID(AC110,FIND("+",AC110&amp;"+")+1,99))-1)*MID(MID(AC110,FIND("+",AC110&amp;"+")+1,99),FIND("t",MID(AC110,FIND("+",AC110&amp;"+")+1,99))+1,2)^2*PI()/400,0)</f>
        <v/>
      </c>
      <c r="AD111">
        <f>IFERROR(LEFT(LEFT(AD110,FIND("+",AD110&amp;"+")-1),FIND("t",LEFT(AD110,FIND("+",AD110&amp;"+")-1))-1)*MID(LEFT(AD110,FIND("+",AD110&amp;"+")-1),FIND("t",LEFT(AD110,FIND("+",AD110&amp;"+")-1))+1,2)^2*PI()/400,0)+IFERROR(LEFT(MID(AD110,FIND("+",AD110&amp;"+")+1,99),FIND("t",MID(AD110,FIND("+",AD110&amp;"+")+1,99))-1)*MID(MID(AD110,FIND("+",AD110&amp;"+")+1,99),FIND("t",MID(AD110,FIND("+",AD110&amp;"+")+1,99))+1,2)^2*PI()/400,0)</f>
        <v/>
      </c>
      <c r="AE111">
        <f>IFERROR(LEFT(LEFT(AE110,FIND("+",AE110&amp;"+")-1),FIND("t",LEFT(AE110,FIND("+",AE110&amp;"+")-1))-1)*MID(LEFT(AE110,FIND("+",AE110&amp;"+")-1),FIND("t",LEFT(AE110,FIND("+",AE110&amp;"+")-1))+1,2)^2*PI()/400,0)+IFERROR(LEFT(MID(AE110,FIND("+",AE110&amp;"+")+1,99),FIND("t",MID(AE110,FIND("+",AE110&amp;"+")+1,99))-1)*MID(MID(AE110,FIND("+",AE110&amp;"+")+1,99),FIND("t",MID(AE110,FIND("+",AE110&amp;"+")+1,99))+1,2)^2*PI()/400,0)</f>
        <v/>
      </c>
      <c r="AF111">
        <f>IFERROR(LEFT(LEFT(AF110,FIND("+",AF110&amp;"+")-1),FIND("t",LEFT(AF110,FIND("+",AF110&amp;"+")-1))-1)*MID(LEFT(AF110,FIND("+",AF110&amp;"+")-1),FIND("t",LEFT(AF110,FIND("+",AF110&amp;"+")-1))+1,2)^2*PI()/400,0)+IFERROR(LEFT(MID(AF110,FIND("+",AF110&amp;"+")+1,99),FIND("t",MID(AF110,FIND("+",AF110&amp;"+")+1,99))-1)*MID(MID(AF110,FIND("+",AF110&amp;"+")+1,99),FIND("t",MID(AF110,FIND("+",AF110&amp;"+")+1,99))+1,2)^2*PI()/400,0)</f>
        <v/>
      </c>
      <c r="AG111">
        <f>IFERROR(LEFT(LEFT(AG110,FIND("+",AG110&amp;"+")-1),FIND("t",LEFT(AG110,FIND("+",AG110&amp;"+")-1))-1)*MID(LEFT(AG110,FIND("+",AG110&amp;"+")-1),FIND("t",LEFT(AG110,FIND("+",AG110&amp;"+")-1))+1,2)^2*PI()/400,0)+IFERROR(LEFT(MID(AG110,FIND("+",AG110&amp;"+")+1,99),FIND("t",MID(AG110,FIND("+",AG110&amp;"+")+1,99))-1)*MID(MID(AG110,FIND("+",AG110&amp;"+")+1,99),FIND("t",MID(AG110,FIND("+",AG110&amp;"+")+1,99))+1,2)^2*PI()/400,0)</f>
        <v/>
      </c>
    </row>
    <row r="112" hidden="1" outlineLevel="1">
      <c r="A112" s="60" t="inlineStr">
        <is>
          <t>(phụ trợ) N_B5L</t>
        </is>
      </c>
      <c r="C112">
        <f>SUBSTITUTE(SUBSTITUTE(SUBSTITUTE(SUBSTITUTE(SUBSTITUTE(SUBSTITUTE(LOWER(IF(ISNUMBER(FIND(";",C18)),LEFT(C18,FIND(";",C18)-1),C18))," ",""),"%%c","t"),"ø","t"),"φ","t"),"f","t"),"d","t")</f>
        <v/>
      </c>
      <c r="D112">
        <f>SUBSTITUTE(SUBSTITUTE(SUBSTITUTE(SUBSTITUTE(SUBSTITUTE(SUBSTITUTE(LOWER(IF(ISNUMBER(FIND(";",D18)),LEFT(D18,FIND(";",D18)-1),D18))," ",""),"%%c","t"),"ø","t"),"φ","t"),"f","t"),"d","t")</f>
        <v/>
      </c>
      <c r="E112">
        <f>SUBSTITUTE(SUBSTITUTE(SUBSTITUTE(SUBSTITUTE(SUBSTITUTE(SUBSTITUTE(LOWER(IF(ISNUMBER(FIND(";",E18)),LEFT(E18,FIND(";",E18)-1),E18))," ",""),"%%c","t"),"ø","t"),"φ","t"),"f","t"),"d","t")</f>
        <v/>
      </c>
      <c r="F112">
        <f>SUBSTITUTE(SUBSTITUTE(SUBSTITUTE(SUBSTITUTE(SUBSTITUTE(SUBSTITUTE(LOWER(IF(ISNUMBER(FIND(";",F18)),LEFT(F18,FIND(";",F18)-1),F18))," ",""),"%%c","t"),"ø","t"),"φ","t"),"f","t"),"d","t")</f>
        <v/>
      </c>
      <c r="G112">
        <f>SUBSTITUTE(SUBSTITUTE(SUBSTITUTE(SUBSTITUTE(SUBSTITUTE(SUBSTITUTE(LOWER(IF(ISNUMBER(FIND(";",G18)),LEFT(G18,FIND(";",G18)-1),G18))," ",""),"%%c","t"),"ø","t"),"φ","t"),"f","t"),"d","t")</f>
        <v/>
      </c>
      <c r="H112">
        <f>SUBSTITUTE(SUBSTITUTE(SUBSTITUTE(SUBSTITUTE(SUBSTITUTE(SUBSTITUTE(LOWER(IF(ISNUMBER(FIND(";",H18)),LEFT(H18,FIND(";",H18)-1),H18))," ",""),"%%c","t"),"ø","t"),"φ","t"),"f","t"),"d","t")</f>
        <v/>
      </c>
      <c r="I112">
        <f>SUBSTITUTE(SUBSTITUTE(SUBSTITUTE(SUBSTITUTE(SUBSTITUTE(SUBSTITUTE(LOWER(IF(ISNUMBER(FIND(";",I18)),LEFT(I18,FIND(";",I18)-1),I18))," ",""),"%%c","t"),"ø","t"),"φ","t"),"f","t"),"d","t")</f>
        <v/>
      </c>
      <c r="J112">
        <f>SUBSTITUTE(SUBSTITUTE(SUBSTITUTE(SUBSTITUTE(SUBSTITUTE(SUBSTITUTE(LOWER(IF(ISNUMBER(FIND(";",J18)),LEFT(J18,FIND(";",J18)-1),J18))," ",""),"%%c","t"),"ø","t"),"φ","t"),"f","t"),"d","t")</f>
        <v/>
      </c>
      <c r="K112">
        <f>SUBSTITUTE(SUBSTITUTE(SUBSTITUTE(SUBSTITUTE(SUBSTITUTE(SUBSTITUTE(LOWER(IF(ISNUMBER(FIND(";",K18)),LEFT(K18,FIND(";",K18)-1),K18))," ",""),"%%c","t"),"ø","t"),"φ","t"),"f","t"),"d","t")</f>
        <v/>
      </c>
      <c r="L112">
        <f>SUBSTITUTE(SUBSTITUTE(SUBSTITUTE(SUBSTITUTE(SUBSTITUTE(SUBSTITUTE(LOWER(IF(ISNUMBER(FIND(";",L18)),LEFT(L18,FIND(";",L18)-1),L18))," ",""),"%%c","t"),"ø","t"),"φ","t"),"f","t"),"d","t")</f>
        <v/>
      </c>
      <c r="M112">
        <f>SUBSTITUTE(SUBSTITUTE(SUBSTITUTE(SUBSTITUTE(SUBSTITUTE(SUBSTITUTE(LOWER(IF(ISNUMBER(FIND(";",M18)),LEFT(M18,FIND(";",M18)-1),M18))," ",""),"%%c","t"),"ø","t"),"φ","t"),"f","t"),"d","t")</f>
        <v/>
      </c>
      <c r="N112">
        <f>SUBSTITUTE(SUBSTITUTE(SUBSTITUTE(SUBSTITUTE(SUBSTITUTE(SUBSTITUTE(LOWER(IF(ISNUMBER(FIND(";",N18)),LEFT(N18,FIND(";",N18)-1),N18))," ",""),"%%c","t"),"ø","t"),"φ","t"),"f","t"),"d","t")</f>
        <v/>
      </c>
      <c r="O112">
        <f>SUBSTITUTE(SUBSTITUTE(SUBSTITUTE(SUBSTITUTE(SUBSTITUTE(SUBSTITUTE(LOWER(IF(ISNUMBER(FIND(";",O18)),LEFT(O18,FIND(";",O18)-1),O18))," ",""),"%%c","t"),"ø","t"),"φ","t"),"f","t"),"d","t")</f>
        <v/>
      </c>
      <c r="P112">
        <f>SUBSTITUTE(SUBSTITUTE(SUBSTITUTE(SUBSTITUTE(SUBSTITUTE(SUBSTITUTE(LOWER(IF(ISNUMBER(FIND(";",P18)),LEFT(P18,FIND(";",P18)-1),P18))," ",""),"%%c","t"),"ø","t"),"φ","t"),"f","t"),"d","t")</f>
        <v/>
      </c>
      <c r="Q112">
        <f>SUBSTITUTE(SUBSTITUTE(SUBSTITUTE(SUBSTITUTE(SUBSTITUTE(SUBSTITUTE(LOWER(IF(ISNUMBER(FIND(";",Q18)),LEFT(Q18,FIND(";",Q18)-1),Q18))," ",""),"%%c","t"),"ø","t"),"φ","t"),"f","t"),"d","t")</f>
        <v/>
      </c>
      <c r="R112">
        <f>SUBSTITUTE(SUBSTITUTE(SUBSTITUTE(SUBSTITUTE(SUBSTITUTE(SUBSTITUTE(LOWER(IF(ISNUMBER(FIND(";",R18)),LEFT(R18,FIND(";",R18)-1),R18))," ",""),"%%c","t"),"ø","t"),"φ","t"),"f","t"),"d","t")</f>
        <v/>
      </c>
      <c r="S112">
        <f>SUBSTITUTE(SUBSTITUTE(SUBSTITUTE(SUBSTITUTE(SUBSTITUTE(SUBSTITUTE(LOWER(IF(ISNUMBER(FIND(";",S18)),LEFT(S18,FIND(";",S18)-1),S18))," ",""),"%%c","t"),"ø","t"),"φ","t"),"f","t"),"d","t")</f>
        <v/>
      </c>
      <c r="T112">
        <f>SUBSTITUTE(SUBSTITUTE(SUBSTITUTE(SUBSTITUTE(SUBSTITUTE(SUBSTITUTE(LOWER(IF(ISNUMBER(FIND(";",T18)),LEFT(T18,FIND(";",T18)-1),T18))," ",""),"%%c","t"),"ø","t"),"φ","t"),"f","t"),"d","t")</f>
        <v/>
      </c>
      <c r="U112">
        <f>SUBSTITUTE(SUBSTITUTE(SUBSTITUTE(SUBSTITUTE(SUBSTITUTE(SUBSTITUTE(LOWER(IF(ISNUMBER(FIND(";",U18)),LEFT(U18,FIND(";",U18)-1),U18))," ",""),"%%c","t"),"ø","t"),"φ","t"),"f","t"),"d","t")</f>
        <v/>
      </c>
      <c r="V112">
        <f>SUBSTITUTE(SUBSTITUTE(SUBSTITUTE(SUBSTITUTE(SUBSTITUTE(SUBSTITUTE(LOWER(IF(ISNUMBER(FIND(";",V18)),LEFT(V18,FIND(";",V18)-1),V18))," ",""),"%%c","t"),"ø","t"),"φ","t"),"f","t"),"d","t")</f>
        <v/>
      </c>
      <c r="W112">
        <f>SUBSTITUTE(SUBSTITUTE(SUBSTITUTE(SUBSTITUTE(SUBSTITUTE(SUBSTITUTE(LOWER(IF(ISNUMBER(FIND(";",W18)),LEFT(W18,FIND(";",W18)-1),W18))," ",""),"%%c","t"),"ø","t"),"φ","t"),"f","t"),"d","t")</f>
        <v/>
      </c>
      <c r="X112">
        <f>SUBSTITUTE(SUBSTITUTE(SUBSTITUTE(SUBSTITUTE(SUBSTITUTE(SUBSTITUTE(LOWER(IF(ISNUMBER(FIND(";",X18)),LEFT(X18,FIND(";",X18)-1),X18))," ",""),"%%c","t"),"ø","t"),"φ","t"),"f","t"),"d","t")</f>
        <v/>
      </c>
      <c r="Y112">
        <f>SUBSTITUTE(SUBSTITUTE(SUBSTITUTE(SUBSTITUTE(SUBSTITUTE(SUBSTITUTE(LOWER(IF(ISNUMBER(FIND(";",Y18)),LEFT(Y18,FIND(";",Y18)-1),Y18))," ",""),"%%c","t"),"ø","t"),"φ","t"),"f","t"),"d","t")</f>
        <v/>
      </c>
      <c r="Z112">
        <f>SUBSTITUTE(SUBSTITUTE(SUBSTITUTE(SUBSTITUTE(SUBSTITUTE(SUBSTITUTE(LOWER(IF(ISNUMBER(FIND(";",Z18)),LEFT(Z18,FIND(";",Z18)-1),Z18))," ",""),"%%c","t"),"ø","t"),"φ","t"),"f","t"),"d","t")</f>
        <v/>
      </c>
      <c r="AA112">
        <f>SUBSTITUTE(SUBSTITUTE(SUBSTITUTE(SUBSTITUTE(SUBSTITUTE(SUBSTITUTE(LOWER(IF(ISNUMBER(FIND(";",AA18)),LEFT(AA18,FIND(";",AA18)-1),AA18))," ",""),"%%c","t"),"ø","t"),"φ","t"),"f","t"),"d","t")</f>
        <v/>
      </c>
      <c r="AB112">
        <f>SUBSTITUTE(SUBSTITUTE(SUBSTITUTE(SUBSTITUTE(SUBSTITUTE(SUBSTITUTE(LOWER(IF(ISNUMBER(FIND(";",AB18)),LEFT(AB18,FIND(";",AB18)-1),AB18))," ",""),"%%c","t"),"ø","t"),"φ","t"),"f","t"),"d","t")</f>
        <v/>
      </c>
      <c r="AC112">
        <f>SUBSTITUTE(SUBSTITUTE(SUBSTITUTE(SUBSTITUTE(SUBSTITUTE(SUBSTITUTE(LOWER(IF(ISNUMBER(FIND(";",AC18)),LEFT(AC18,FIND(";",AC18)-1),AC18))," ",""),"%%c","t"),"ø","t"),"φ","t"),"f","t"),"d","t")</f>
        <v/>
      </c>
      <c r="AD112">
        <f>SUBSTITUTE(SUBSTITUTE(SUBSTITUTE(SUBSTITUTE(SUBSTITUTE(SUBSTITUTE(LOWER(IF(ISNUMBER(FIND(";",AD18)),LEFT(AD18,FIND(";",AD18)-1),AD18))," ",""),"%%c","t"),"ø","t"),"φ","t"),"f","t"),"d","t")</f>
        <v/>
      </c>
      <c r="AE112">
        <f>SUBSTITUTE(SUBSTITUTE(SUBSTITUTE(SUBSTITUTE(SUBSTITUTE(SUBSTITUTE(LOWER(IF(ISNUMBER(FIND(";",AE18)),LEFT(AE18,FIND(";",AE18)-1),AE18))," ",""),"%%c","t"),"ø","t"),"φ","t"),"f","t"),"d","t")</f>
        <v/>
      </c>
      <c r="AF112">
        <f>SUBSTITUTE(SUBSTITUTE(SUBSTITUTE(SUBSTITUTE(SUBSTITUTE(SUBSTITUTE(LOWER(IF(ISNUMBER(FIND(";",AF18)),LEFT(AF18,FIND(";",AF18)-1),AF18))," ",""),"%%c","t"),"ø","t"),"φ","t"),"f","t"),"d","t")</f>
        <v/>
      </c>
      <c r="AG112">
        <f>SUBSTITUTE(SUBSTITUTE(SUBSTITUTE(SUBSTITUTE(SUBSTITUTE(SUBSTITUTE(LOWER(IF(ISNUMBER(FIND(";",AG18)),LEFT(AG18,FIND(";",AG18)-1),AG18))," ",""),"%%c","t"),"ø","t"),"φ","t"),"f","t"),"d","t")</f>
        <v/>
      </c>
    </row>
    <row r="113" hidden="1" outlineLevel="1">
      <c r="A113" s="60" t="inlineStr">
        <is>
          <t>(phụ trợ) A_B5L</t>
        </is>
      </c>
      <c r="C113">
        <f>IFERROR(LEFT(LEFT(C112,FIND("+",C112&amp;"+")-1),FIND("t",LEFT(C112,FIND("+",C112&amp;"+")-1))-1)*MID(LEFT(C112,FIND("+",C112&amp;"+")-1),FIND("t",LEFT(C112,FIND("+",C112&amp;"+")-1))+1,2)^2*PI()/400,0)+IFERROR(LEFT(MID(C112,FIND("+",C112&amp;"+")+1,99),FIND("t",MID(C112,FIND("+",C112&amp;"+")+1,99))-1)*MID(MID(C112,FIND("+",C112&amp;"+")+1,99),FIND("t",MID(C112,FIND("+",C112&amp;"+")+1,99))+1,2)^2*PI()/400,0)</f>
        <v/>
      </c>
      <c r="D113">
        <f>IFERROR(LEFT(LEFT(D112,FIND("+",D112&amp;"+")-1),FIND("t",LEFT(D112,FIND("+",D112&amp;"+")-1))-1)*MID(LEFT(D112,FIND("+",D112&amp;"+")-1),FIND("t",LEFT(D112,FIND("+",D112&amp;"+")-1))+1,2)^2*PI()/400,0)+IFERROR(LEFT(MID(D112,FIND("+",D112&amp;"+")+1,99),FIND("t",MID(D112,FIND("+",D112&amp;"+")+1,99))-1)*MID(MID(D112,FIND("+",D112&amp;"+")+1,99),FIND("t",MID(D112,FIND("+",D112&amp;"+")+1,99))+1,2)^2*PI()/400,0)</f>
        <v/>
      </c>
      <c r="E113">
        <f>IFERROR(LEFT(LEFT(E112,FIND("+",E112&amp;"+")-1),FIND("t",LEFT(E112,FIND("+",E112&amp;"+")-1))-1)*MID(LEFT(E112,FIND("+",E112&amp;"+")-1),FIND("t",LEFT(E112,FIND("+",E112&amp;"+")-1))+1,2)^2*PI()/400,0)+IFERROR(LEFT(MID(E112,FIND("+",E112&amp;"+")+1,99),FIND("t",MID(E112,FIND("+",E112&amp;"+")+1,99))-1)*MID(MID(E112,FIND("+",E112&amp;"+")+1,99),FIND("t",MID(E112,FIND("+",E112&amp;"+")+1,99))+1,2)^2*PI()/400,0)</f>
        <v/>
      </c>
      <c r="F113">
        <f>IFERROR(LEFT(LEFT(F112,FIND("+",F112&amp;"+")-1),FIND("t",LEFT(F112,FIND("+",F112&amp;"+")-1))-1)*MID(LEFT(F112,FIND("+",F112&amp;"+")-1),FIND("t",LEFT(F112,FIND("+",F112&amp;"+")-1))+1,2)^2*PI()/400,0)+IFERROR(LEFT(MID(F112,FIND("+",F112&amp;"+")+1,99),FIND("t",MID(F112,FIND("+",F112&amp;"+")+1,99))-1)*MID(MID(F112,FIND("+",F112&amp;"+")+1,99),FIND("t",MID(F112,FIND("+",F112&amp;"+")+1,99))+1,2)^2*PI()/400,0)</f>
        <v/>
      </c>
      <c r="G113">
        <f>IFERROR(LEFT(LEFT(G112,FIND("+",G112&amp;"+")-1),FIND("t",LEFT(G112,FIND("+",G112&amp;"+")-1))-1)*MID(LEFT(G112,FIND("+",G112&amp;"+")-1),FIND("t",LEFT(G112,FIND("+",G112&amp;"+")-1))+1,2)^2*PI()/400,0)+IFERROR(LEFT(MID(G112,FIND("+",G112&amp;"+")+1,99),FIND("t",MID(G112,FIND("+",G112&amp;"+")+1,99))-1)*MID(MID(G112,FIND("+",G112&amp;"+")+1,99),FIND("t",MID(G112,FIND("+",G112&amp;"+")+1,99))+1,2)^2*PI()/400,0)</f>
        <v/>
      </c>
      <c r="H113">
        <f>IFERROR(LEFT(LEFT(H112,FIND("+",H112&amp;"+")-1),FIND("t",LEFT(H112,FIND("+",H112&amp;"+")-1))-1)*MID(LEFT(H112,FIND("+",H112&amp;"+")-1),FIND("t",LEFT(H112,FIND("+",H112&amp;"+")-1))+1,2)^2*PI()/400,0)+IFERROR(LEFT(MID(H112,FIND("+",H112&amp;"+")+1,99),FIND("t",MID(H112,FIND("+",H112&amp;"+")+1,99))-1)*MID(MID(H112,FIND("+",H112&amp;"+")+1,99),FIND("t",MID(H112,FIND("+",H112&amp;"+")+1,99))+1,2)^2*PI()/400,0)</f>
        <v/>
      </c>
      <c r="I113">
        <f>IFERROR(LEFT(LEFT(I112,FIND("+",I112&amp;"+")-1),FIND("t",LEFT(I112,FIND("+",I112&amp;"+")-1))-1)*MID(LEFT(I112,FIND("+",I112&amp;"+")-1),FIND("t",LEFT(I112,FIND("+",I112&amp;"+")-1))+1,2)^2*PI()/400,0)+IFERROR(LEFT(MID(I112,FIND("+",I112&amp;"+")+1,99),FIND("t",MID(I112,FIND("+",I112&amp;"+")+1,99))-1)*MID(MID(I112,FIND("+",I112&amp;"+")+1,99),FIND("t",MID(I112,FIND("+",I112&amp;"+")+1,99))+1,2)^2*PI()/400,0)</f>
        <v/>
      </c>
      <c r="J113">
        <f>IFERROR(LEFT(LEFT(J112,FIND("+",J112&amp;"+")-1),FIND("t",LEFT(J112,FIND("+",J112&amp;"+")-1))-1)*MID(LEFT(J112,FIND("+",J112&amp;"+")-1),FIND("t",LEFT(J112,FIND("+",J112&amp;"+")-1))+1,2)^2*PI()/400,0)+IFERROR(LEFT(MID(J112,FIND("+",J112&amp;"+")+1,99),FIND("t",MID(J112,FIND("+",J112&amp;"+")+1,99))-1)*MID(MID(J112,FIND("+",J112&amp;"+")+1,99),FIND("t",MID(J112,FIND("+",J112&amp;"+")+1,99))+1,2)^2*PI()/400,0)</f>
        <v/>
      </c>
      <c r="K113">
        <f>IFERROR(LEFT(LEFT(K112,FIND("+",K112&amp;"+")-1),FIND("t",LEFT(K112,FIND("+",K112&amp;"+")-1))-1)*MID(LEFT(K112,FIND("+",K112&amp;"+")-1),FIND("t",LEFT(K112,FIND("+",K112&amp;"+")-1))+1,2)^2*PI()/400,0)+IFERROR(LEFT(MID(K112,FIND("+",K112&amp;"+")+1,99),FIND("t",MID(K112,FIND("+",K112&amp;"+")+1,99))-1)*MID(MID(K112,FIND("+",K112&amp;"+")+1,99),FIND("t",MID(K112,FIND("+",K112&amp;"+")+1,99))+1,2)^2*PI()/400,0)</f>
        <v/>
      </c>
      <c r="L113">
        <f>IFERROR(LEFT(LEFT(L112,FIND("+",L112&amp;"+")-1),FIND("t",LEFT(L112,FIND("+",L112&amp;"+")-1))-1)*MID(LEFT(L112,FIND("+",L112&amp;"+")-1),FIND("t",LEFT(L112,FIND("+",L112&amp;"+")-1))+1,2)^2*PI()/400,0)+IFERROR(LEFT(MID(L112,FIND("+",L112&amp;"+")+1,99),FIND("t",MID(L112,FIND("+",L112&amp;"+")+1,99))-1)*MID(MID(L112,FIND("+",L112&amp;"+")+1,99),FIND("t",MID(L112,FIND("+",L112&amp;"+")+1,99))+1,2)^2*PI()/400,0)</f>
        <v/>
      </c>
      <c r="M113">
        <f>IFERROR(LEFT(LEFT(M112,FIND("+",M112&amp;"+")-1),FIND("t",LEFT(M112,FIND("+",M112&amp;"+")-1))-1)*MID(LEFT(M112,FIND("+",M112&amp;"+")-1),FIND("t",LEFT(M112,FIND("+",M112&amp;"+")-1))+1,2)^2*PI()/400,0)+IFERROR(LEFT(MID(M112,FIND("+",M112&amp;"+")+1,99),FIND("t",MID(M112,FIND("+",M112&amp;"+")+1,99))-1)*MID(MID(M112,FIND("+",M112&amp;"+")+1,99),FIND("t",MID(M112,FIND("+",M112&amp;"+")+1,99))+1,2)^2*PI()/400,0)</f>
        <v/>
      </c>
      <c r="N113">
        <f>IFERROR(LEFT(LEFT(N112,FIND("+",N112&amp;"+")-1),FIND("t",LEFT(N112,FIND("+",N112&amp;"+")-1))-1)*MID(LEFT(N112,FIND("+",N112&amp;"+")-1),FIND("t",LEFT(N112,FIND("+",N112&amp;"+")-1))+1,2)^2*PI()/400,0)+IFERROR(LEFT(MID(N112,FIND("+",N112&amp;"+")+1,99),FIND("t",MID(N112,FIND("+",N112&amp;"+")+1,99))-1)*MID(MID(N112,FIND("+",N112&amp;"+")+1,99),FIND("t",MID(N112,FIND("+",N112&amp;"+")+1,99))+1,2)^2*PI()/400,0)</f>
        <v/>
      </c>
      <c r="O113">
        <f>IFERROR(LEFT(LEFT(O112,FIND("+",O112&amp;"+")-1),FIND("t",LEFT(O112,FIND("+",O112&amp;"+")-1))-1)*MID(LEFT(O112,FIND("+",O112&amp;"+")-1),FIND("t",LEFT(O112,FIND("+",O112&amp;"+")-1))+1,2)^2*PI()/400,0)+IFERROR(LEFT(MID(O112,FIND("+",O112&amp;"+")+1,99),FIND("t",MID(O112,FIND("+",O112&amp;"+")+1,99))-1)*MID(MID(O112,FIND("+",O112&amp;"+")+1,99),FIND("t",MID(O112,FIND("+",O112&amp;"+")+1,99))+1,2)^2*PI()/400,0)</f>
        <v/>
      </c>
      <c r="P113">
        <f>IFERROR(LEFT(LEFT(P112,FIND("+",P112&amp;"+")-1),FIND("t",LEFT(P112,FIND("+",P112&amp;"+")-1))-1)*MID(LEFT(P112,FIND("+",P112&amp;"+")-1),FIND("t",LEFT(P112,FIND("+",P112&amp;"+")-1))+1,2)^2*PI()/400,0)+IFERROR(LEFT(MID(P112,FIND("+",P112&amp;"+")+1,99),FIND("t",MID(P112,FIND("+",P112&amp;"+")+1,99))-1)*MID(MID(P112,FIND("+",P112&amp;"+")+1,99),FIND("t",MID(P112,FIND("+",P112&amp;"+")+1,99))+1,2)^2*PI()/400,0)</f>
        <v/>
      </c>
      <c r="Q113">
        <f>IFERROR(LEFT(LEFT(Q112,FIND("+",Q112&amp;"+")-1),FIND("t",LEFT(Q112,FIND("+",Q112&amp;"+")-1))-1)*MID(LEFT(Q112,FIND("+",Q112&amp;"+")-1),FIND("t",LEFT(Q112,FIND("+",Q112&amp;"+")-1))+1,2)^2*PI()/400,0)+IFERROR(LEFT(MID(Q112,FIND("+",Q112&amp;"+")+1,99),FIND("t",MID(Q112,FIND("+",Q112&amp;"+")+1,99))-1)*MID(MID(Q112,FIND("+",Q112&amp;"+")+1,99),FIND("t",MID(Q112,FIND("+",Q112&amp;"+")+1,99))+1,2)^2*PI()/400,0)</f>
        <v/>
      </c>
      <c r="R113">
        <f>IFERROR(LEFT(LEFT(R112,FIND("+",R112&amp;"+")-1),FIND("t",LEFT(R112,FIND("+",R112&amp;"+")-1))-1)*MID(LEFT(R112,FIND("+",R112&amp;"+")-1),FIND("t",LEFT(R112,FIND("+",R112&amp;"+")-1))+1,2)^2*PI()/400,0)+IFERROR(LEFT(MID(R112,FIND("+",R112&amp;"+")+1,99),FIND("t",MID(R112,FIND("+",R112&amp;"+")+1,99))-1)*MID(MID(R112,FIND("+",R112&amp;"+")+1,99),FIND("t",MID(R112,FIND("+",R112&amp;"+")+1,99))+1,2)^2*PI()/400,0)</f>
        <v/>
      </c>
      <c r="S113">
        <f>IFERROR(LEFT(LEFT(S112,FIND("+",S112&amp;"+")-1),FIND("t",LEFT(S112,FIND("+",S112&amp;"+")-1))-1)*MID(LEFT(S112,FIND("+",S112&amp;"+")-1),FIND("t",LEFT(S112,FIND("+",S112&amp;"+")-1))+1,2)^2*PI()/400,0)+IFERROR(LEFT(MID(S112,FIND("+",S112&amp;"+")+1,99),FIND("t",MID(S112,FIND("+",S112&amp;"+")+1,99))-1)*MID(MID(S112,FIND("+",S112&amp;"+")+1,99),FIND("t",MID(S112,FIND("+",S112&amp;"+")+1,99))+1,2)^2*PI()/400,0)</f>
        <v/>
      </c>
      <c r="T113">
        <f>IFERROR(LEFT(LEFT(T112,FIND("+",T112&amp;"+")-1),FIND("t",LEFT(T112,FIND("+",T112&amp;"+")-1))-1)*MID(LEFT(T112,FIND("+",T112&amp;"+")-1),FIND("t",LEFT(T112,FIND("+",T112&amp;"+")-1))+1,2)^2*PI()/400,0)+IFERROR(LEFT(MID(T112,FIND("+",T112&amp;"+")+1,99),FIND("t",MID(T112,FIND("+",T112&amp;"+")+1,99))-1)*MID(MID(T112,FIND("+",T112&amp;"+")+1,99),FIND("t",MID(T112,FIND("+",T112&amp;"+")+1,99))+1,2)^2*PI()/400,0)</f>
        <v/>
      </c>
      <c r="U113">
        <f>IFERROR(LEFT(LEFT(U112,FIND("+",U112&amp;"+")-1),FIND("t",LEFT(U112,FIND("+",U112&amp;"+")-1))-1)*MID(LEFT(U112,FIND("+",U112&amp;"+")-1),FIND("t",LEFT(U112,FIND("+",U112&amp;"+")-1))+1,2)^2*PI()/400,0)+IFERROR(LEFT(MID(U112,FIND("+",U112&amp;"+")+1,99),FIND("t",MID(U112,FIND("+",U112&amp;"+")+1,99))-1)*MID(MID(U112,FIND("+",U112&amp;"+")+1,99),FIND("t",MID(U112,FIND("+",U112&amp;"+")+1,99))+1,2)^2*PI()/400,0)</f>
        <v/>
      </c>
      <c r="V113">
        <f>IFERROR(LEFT(LEFT(V112,FIND("+",V112&amp;"+")-1),FIND("t",LEFT(V112,FIND("+",V112&amp;"+")-1))-1)*MID(LEFT(V112,FIND("+",V112&amp;"+")-1),FIND("t",LEFT(V112,FIND("+",V112&amp;"+")-1))+1,2)^2*PI()/400,0)+IFERROR(LEFT(MID(V112,FIND("+",V112&amp;"+")+1,99),FIND("t",MID(V112,FIND("+",V112&amp;"+")+1,99))-1)*MID(MID(V112,FIND("+",V112&amp;"+")+1,99),FIND("t",MID(V112,FIND("+",V112&amp;"+")+1,99))+1,2)^2*PI()/400,0)</f>
        <v/>
      </c>
      <c r="W113">
        <f>IFERROR(LEFT(LEFT(W112,FIND("+",W112&amp;"+")-1),FIND("t",LEFT(W112,FIND("+",W112&amp;"+")-1))-1)*MID(LEFT(W112,FIND("+",W112&amp;"+")-1),FIND("t",LEFT(W112,FIND("+",W112&amp;"+")-1))+1,2)^2*PI()/400,0)+IFERROR(LEFT(MID(W112,FIND("+",W112&amp;"+")+1,99),FIND("t",MID(W112,FIND("+",W112&amp;"+")+1,99))-1)*MID(MID(W112,FIND("+",W112&amp;"+")+1,99),FIND("t",MID(W112,FIND("+",W112&amp;"+")+1,99))+1,2)^2*PI()/400,0)</f>
        <v/>
      </c>
      <c r="X113">
        <f>IFERROR(LEFT(LEFT(X112,FIND("+",X112&amp;"+")-1),FIND("t",LEFT(X112,FIND("+",X112&amp;"+")-1))-1)*MID(LEFT(X112,FIND("+",X112&amp;"+")-1),FIND("t",LEFT(X112,FIND("+",X112&amp;"+")-1))+1,2)^2*PI()/400,0)+IFERROR(LEFT(MID(X112,FIND("+",X112&amp;"+")+1,99),FIND("t",MID(X112,FIND("+",X112&amp;"+")+1,99))-1)*MID(MID(X112,FIND("+",X112&amp;"+")+1,99),FIND("t",MID(X112,FIND("+",X112&amp;"+")+1,99))+1,2)^2*PI()/400,0)</f>
        <v/>
      </c>
      <c r="Y113">
        <f>IFERROR(LEFT(LEFT(Y112,FIND("+",Y112&amp;"+")-1),FIND("t",LEFT(Y112,FIND("+",Y112&amp;"+")-1))-1)*MID(LEFT(Y112,FIND("+",Y112&amp;"+")-1),FIND("t",LEFT(Y112,FIND("+",Y112&amp;"+")-1))+1,2)^2*PI()/400,0)+IFERROR(LEFT(MID(Y112,FIND("+",Y112&amp;"+")+1,99),FIND("t",MID(Y112,FIND("+",Y112&amp;"+")+1,99))-1)*MID(MID(Y112,FIND("+",Y112&amp;"+")+1,99),FIND("t",MID(Y112,FIND("+",Y112&amp;"+")+1,99))+1,2)^2*PI()/400,0)</f>
        <v/>
      </c>
      <c r="Z113">
        <f>IFERROR(LEFT(LEFT(Z112,FIND("+",Z112&amp;"+")-1),FIND("t",LEFT(Z112,FIND("+",Z112&amp;"+")-1))-1)*MID(LEFT(Z112,FIND("+",Z112&amp;"+")-1),FIND("t",LEFT(Z112,FIND("+",Z112&amp;"+")-1))+1,2)^2*PI()/400,0)+IFERROR(LEFT(MID(Z112,FIND("+",Z112&amp;"+")+1,99),FIND("t",MID(Z112,FIND("+",Z112&amp;"+")+1,99))-1)*MID(MID(Z112,FIND("+",Z112&amp;"+")+1,99),FIND("t",MID(Z112,FIND("+",Z112&amp;"+")+1,99))+1,2)^2*PI()/400,0)</f>
        <v/>
      </c>
      <c r="AA113">
        <f>IFERROR(LEFT(LEFT(AA112,FIND("+",AA112&amp;"+")-1),FIND("t",LEFT(AA112,FIND("+",AA112&amp;"+")-1))-1)*MID(LEFT(AA112,FIND("+",AA112&amp;"+")-1),FIND("t",LEFT(AA112,FIND("+",AA112&amp;"+")-1))+1,2)^2*PI()/400,0)+IFERROR(LEFT(MID(AA112,FIND("+",AA112&amp;"+")+1,99),FIND("t",MID(AA112,FIND("+",AA112&amp;"+")+1,99))-1)*MID(MID(AA112,FIND("+",AA112&amp;"+")+1,99),FIND("t",MID(AA112,FIND("+",AA112&amp;"+")+1,99))+1,2)^2*PI()/400,0)</f>
        <v/>
      </c>
      <c r="AB113">
        <f>IFERROR(LEFT(LEFT(AB112,FIND("+",AB112&amp;"+")-1),FIND("t",LEFT(AB112,FIND("+",AB112&amp;"+")-1))-1)*MID(LEFT(AB112,FIND("+",AB112&amp;"+")-1),FIND("t",LEFT(AB112,FIND("+",AB112&amp;"+")-1))+1,2)^2*PI()/400,0)+IFERROR(LEFT(MID(AB112,FIND("+",AB112&amp;"+")+1,99),FIND("t",MID(AB112,FIND("+",AB112&amp;"+")+1,99))-1)*MID(MID(AB112,FIND("+",AB112&amp;"+")+1,99),FIND("t",MID(AB112,FIND("+",AB112&amp;"+")+1,99))+1,2)^2*PI()/400,0)</f>
        <v/>
      </c>
      <c r="AC113">
        <f>IFERROR(LEFT(LEFT(AC112,FIND("+",AC112&amp;"+")-1),FIND("t",LEFT(AC112,FIND("+",AC112&amp;"+")-1))-1)*MID(LEFT(AC112,FIND("+",AC112&amp;"+")-1),FIND("t",LEFT(AC112,FIND("+",AC112&amp;"+")-1))+1,2)^2*PI()/400,0)+IFERROR(LEFT(MID(AC112,FIND("+",AC112&amp;"+")+1,99),FIND("t",MID(AC112,FIND("+",AC112&amp;"+")+1,99))-1)*MID(MID(AC112,FIND("+",AC112&amp;"+")+1,99),FIND("t",MID(AC112,FIND("+",AC112&amp;"+")+1,99))+1,2)^2*PI()/400,0)</f>
        <v/>
      </c>
      <c r="AD113">
        <f>IFERROR(LEFT(LEFT(AD112,FIND("+",AD112&amp;"+")-1),FIND("t",LEFT(AD112,FIND("+",AD112&amp;"+")-1))-1)*MID(LEFT(AD112,FIND("+",AD112&amp;"+")-1),FIND("t",LEFT(AD112,FIND("+",AD112&amp;"+")-1))+1,2)^2*PI()/400,0)+IFERROR(LEFT(MID(AD112,FIND("+",AD112&amp;"+")+1,99),FIND("t",MID(AD112,FIND("+",AD112&amp;"+")+1,99))-1)*MID(MID(AD112,FIND("+",AD112&amp;"+")+1,99),FIND("t",MID(AD112,FIND("+",AD112&amp;"+")+1,99))+1,2)^2*PI()/400,0)</f>
        <v/>
      </c>
      <c r="AE113">
        <f>IFERROR(LEFT(LEFT(AE112,FIND("+",AE112&amp;"+")-1),FIND("t",LEFT(AE112,FIND("+",AE112&amp;"+")-1))-1)*MID(LEFT(AE112,FIND("+",AE112&amp;"+")-1),FIND("t",LEFT(AE112,FIND("+",AE112&amp;"+")-1))+1,2)^2*PI()/400,0)+IFERROR(LEFT(MID(AE112,FIND("+",AE112&amp;"+")+1,99),FIND("t",MID(AE112,FIND("+",AE112&amp;"+")+1,99))-1)*MID(MID(AE112,FIND("+",AE112&amp;"+")+1,99),FIND("t",MID(AE112,FIND("+",AE112&amp;"+")+1,99))+1,2)^2*PI()/400,0)</f>
        <v/>
      </c>
      <c r="AF113">
        <f>IFERROR(LEFT(LEFT(AF112,FIND("+",AF112&amp;"+")-1),FIND("t",LEFT(AF112,FIND("+",AF112&amp;"+")-1))-1)*MID(LEFT(AF112,FIND("+",AF112&amp;"+")-1),FIND("t",LEFT(AF112,FIND("+",AF112&amp;"+")-1))+1,2)^2*PI()/400,0)+IFERROR(LEFT(MID(AF112,FIND("+",AF112&amp;"+")+1,99),FIND("t",MID(AF112,FIND("+",AF112&amp;"+")+1,99))-1)*MID(MID(AF112,FIND("+",AF112&amp;"+")+1,99),FIND("t",MID(AF112,FIND("+",AF112&amp;"+")+1,99))+1,2)^2*PI()/400,0)</f>
        <v/>
      </c>
      <c r="AG113">
        <f>IFERROR(LEFT(LEFT(AG112,FIND("+",AG112&amp;"+")-1),FIND("t",LEFT(AG112,FIND("+",AG112&amp;"+")-1))-1)*MID(LEFT(AG112,FIND("+",AG112&amp;"+")-1),FIND("t",LEFT(AG112,FIND("+",AG112&amp;"+")-1))+1,2)^2*PI()/400,0)+IFERROR(LEFT(MID(AG112,FIND("+",AG112&amp;"+")+1,99),FIND("t",MID(AG112,FIND("+",AG112&amp;"+")+1,99))-1)*MID(MID(AG112,FIND("+",AG112&amp;"+")+1,99),FIND("t",MID(AG112,FIND("+",AG112&amp;"+")+1,99))+1,2)^2*PI()/400,0)</f>
        <v/>
      </c>
    </row>
    <row r="114" hidden="1" outlineLevel="1">
      <c r="A114" s="60" t="inlineStr">
        <is>
          <t>(phụ trợ) N_B5R</t>
        </is>
      </c>
      <c r="C114">
        <f>SUBSTITUTE(SUBSTITUTE(SUBSTITUTE(SUBSTITUTE(SUBSTITUTE(SUBSTITUTE(LOWER(IF(ISNUMBER(FIND(";",C18)),MID(C18,FIND(";",C18)+1,99),C18))," ",""),"%%c","t"),"ø","t"),"φ","t"),"f","t"),"d","t")</f>
        <v/>
      </c>
      <c r="D114">
        <f>SUBSTITUTE(SUBSTITUTE(SUBSTITUTE(SUBSTITUTE(SUBSTITUTE(SUBSTITUTE(LOWER(IF(ISNUMBER(FIND(";",D18)),MID(D18,FIND(";",D18)+1,99),D18))," ",""),"%%c","t"),"ø","t"),"φ","t"),"f","t"),"d","t")</f>
        <v/>
      </c>
      <c r="E114">
        <f>SUBSTITUTE(SUBSTITUTE(SUBSTITUTE(SUBSTITUTE(SUBSTITUTE(SUBSTITUTE(LOWER(IF(ISNUMBER(FIND(";",E18)),MID(E18,FIND(";",E18)+1,99),E18))," ",""),"%%c","t"),"ø","t"),"φ","t"),"f","t"),"d","t")</f>
        <v/>
      </c>
      <c r="F114">
        <f>SUBSTITUTE(SUBSTITUTE(SUBSTITUTE(SUBSTITUTE(SUBSTITUTE(SUBSTITUTE(LOWER(IF(ISNUMBER(FIND(";",F18)),MID(F18,FIND(";",F18)+1,99),F18))," ",""),"%%c","t"),"ø","t"),"φ","t"),"f","t"),"d","t")</f>
        <v/>
      </c>
      <c r="G114">
        <f>SUBSTITUTE(SUBSTITUTE(SUBSTITUTE(SUBSTITUTE(SUBSTITUTE(SUBSTITUTE(LOWER(IF(ISNUMBER(FIND(";",G18)),MID(G18,FIND(";",G18)+1,99),G18))," ",""),"%%c","t"),"ø","t"),"φ","t"),"f","t"),"d","t")</f>
        <v/>
      </c>
      <c r="H114">
        <f>SUBSTITUTE(SUBSTITUTE(SUBSTITUTE(SUBSTITUTE(SUBSTITUTE(SUBSTITUTE(LOWER(IF(ISNUMBER(FIND(";",H18)),MID(H18,FIND(";",H18)+1,99),H18))," ",""),"%%c","t"),"ø","t"),"φ","t"),"f","t"),"d","t")</f>
        <v/>
      </c>
      <c r="I114">
        <f>SUBSTITUTE(SUBSTITUTE(SUBSTITUTE(SUBSTITUTE(SUBSTITUTE(SUBSTITUTE(LOWER(IF(ISNUMBER(FIND(";",I18)),MID(I18,FIND(";",I18)+1,99),I18))," ",""),"%%c","t"),"ø","t"),"φ","t"),"f","t"),"d","t")</f>
        <v/>
      </c>
      <c r="J114">
        <f>SUBSTITUTE(SUBSTITUTE(SUBSTITUTE(SUBSTITUTE(SUBSTITUTE(SUBSTITUTE(LOWER(IF(ISNUMBER(FIND(";",J18)),MID(J18,FIND(";",J18)+1,99),J18))," ",""),"%%c","t"),"ø","t"),"φ","t"),"f","t"),"d","t")</f>
        <v/>
      </c>
      <c r="K114">
        <f>SUBSTITUTE(SUBSTITUTE(SUBSTITUTE(SUBSTITUTE(SUBSTITUTE(SUBSTITUTE(LOWER(IF(ISNUMBER(FIND(";",K18)),MID(K18,FIND(";",K18)+1,99),K18))," ",""),"%%c","t"),"ø","t"),"φ","t"),"f","t"),"d","t")</f>
        <v/>
      </c>
      <c r="L114">
        <f>SUBSTITUTE(SUBSTITUTE(SUBSTITUTE(SUBSTITUTE(SUBSTITUTE(SUBSTITUTE(LOWER(IF(ISNUMBER(FIND(";",L18)),MID(L18,FIND(";",L18)+1,99),L18))," ",""),"%%c","t"),"ø","t"),"φ","t"),"f","t"),"d","t")</f>
        <v/>
      </c>
      <c r="M114">
        <f>SUBSTITUTE(SUBSTITUTE(SUBSTITUTE(SUBSTITUTE(SUBSTITUTE(SUBSTITUTE(LOWER(IF(ISNUMBER(FIND(";",M18)),MID(M18,FIND(";",M18)+1,99),M18))," ",""),"%%c","t"),"ø","t"),"φ","t"),"f","t"),"d","t")</f>
        <v/>
      </c>
      <c r="N114">
        <f>SUBSTITUTE(SUBSTITUTE(SUBSTITUTE(SUBSTITUTE(SUBSTITUTE(SUBSTITUTE(LOWER(IF(ISNUMBER(FIND(";",N18)),MID(N18,FIND(";",N18)+1,99),N18))," ",""),"%%c","t"),"ø","t"),"φ","t"),"f","t"),"d","t")</f>
        <v/>
      </c>
      <c r="O114">
        <f>SUBSTITUTE(SUBSTITUTE(SUBSTITUTE(SUBSTITUTE(SUBSTITUTE(SUBSTITUTE(LOWER(IF(ISNUMBER(FIND(";",O18)),MID(O18,FIND(";",O18)+1,99),O18))," ",""),"%%c","t"),"ø","t"),"φ","t"),"f","t"),"d","t")</f>
        <v/>
      </c>
      <c r="P114">
        <f>SUBSTITUTE(SUBSTITUTE(SUBSTITUTE(SUBSTITUTE(SUBSTITUTE(SUBSTITUTE(LOWER(IF(ISNUMBER(FIND(";",P18)),MID(P18,FIND(";",P18)+1,99),P18))," ",""),"%%c","t"),"ø","t"),"φ","t"),"f","t"),"d","t")</f>
        <v/>
      </c>
      <c r="Q114">
        <f>SUBSTITUTE(SUBSTITUTE(SUBSTITUTE(SUBSTITUTE(SUBSTITUTE(SUBSTITUTE(LOWER(IF(ISNUMBER(FIND(";",Q18)),MID(Q18,FIND(";",Q18)+1,99),Q18))," ",""),"%%c","t"),"ø","t"),"φ","t"),"f","t"),"d","t")</f>
        <v/>
      </c>
      <c r="R114">
        <f>SUBSTITUTE(SUBSTITUTE(SUBSTITUTE(SUBSTITUTE(SUBSTITUTE(SUBSTITUTE(LOWER(IF(ISNUMBER(FIND(";",R18)),MID(R18,FIND(";",R18)+1,99),R18))," ",""),"%%c","t"),"ø","t"),"φ","t"),"f","t"),"d","t")</f>
        <v/>
      </c>
      <c r="S114">
        <f>SUBSTITUTE(SUBSTITUTE(SUBSTITUTE(SUBSTITUTE(SUBSTITUTE(SUBSTITUTE(LOWER(IF(ISNUMBER(FIND(";",S18)),MID(S18,FIND(";",S18)+1,99),S18))," ",""),"%%c","t"),"ø","t"),"φ","t"),"f","t"),"d","t")</f>
        <v/>
      </c>
      <c r="T114">
        <f>SUBSTITUTE(SUBSTITUTE(SUBSTITUTE(SUBSTITUTE(SUBSTITUTE(SUBSTITUTE(LOWER(IF(ISNUMBER(FIND(";",T18)),MID(T18,FIND(";",T18)+1,99),T18))," ",""),"%%c","t"),"ø","t"),"φ","t"),"f","t"),"d","t")</f>
        <v/>
      </c>
      <c r="U114">
        <f>SUBSTITUTE(SUBSTITUTE(SUBSTITUTE(SUBSTITUTE(SUBSTITUTE(SUBSTITUTE(LOWER(IF(ISNUMBER(FIND(";",U18)),MID(U18,FIND(";",U18)+1,99),U18))," ",""),"%%c","t"),"ø","t"),"φ","t"),"f","t"),"d","t")</f>
        <v/>
      </c>
      <c r="V114">
        <f>SUBSTITUTE(SUBSTITUTE(SUBSTITUTE(SUBSTITUTE(SUBSTITUTE(SUBSTITUTE(LOWER(IF(ISNUMBER(FIND(";",V18)),MID(V18,FIND(";",V18)+1,99),V18))," ",""),"%%c","t"),"ø","t"),"φ","t"),"f","t"),"d","t")</f>
        <v/>
      </c>
      <c r="W114">
        <f>SUBSTITUTE(SUBSTITUTE(SUBSTITUTE(SUBSTITUTE(SUBSTITUTE(SUBSTITUTE(LOWER(IF(ISNUMBER(FIND(";",W18)),MID(W18,FIND(";",W18)+1,99),W18))," ",""),"%%c","t"),"ø","t"),"φ","t"),"f","t"),"d","t")</f>
        <v/>
      </c>
      <c r="X114">
        <f>SUBSTITUTE(SUBSTITUTE(SUBSTITUTE(SUBSTITUTE(SUBSTITUTE(SUBSTITUTE(LOWER(IF(ISNUMBER(FIND(";",X18)),MID(X18,FIND(";",X18)+1,99),X18))," ",""),"%%c","t"),"ø","t"),"φ","t"),"f","t"),"d","t")</f>
        <v/>
      </c>
      <c r="Y114">
        <f>SUBSTITUTE(SUBSTITUTE(SUBSTITUTE(SUBSTITUTE(SUBSTITUTE(SUBSTITUTE(LOWER(IF(ISNUMBER(FIND(";",Y18)),MID(Y18,FIND(";",Y18)+1,99),Y18))," ",""),"%%c","t"),"ø","t"),"φ","t"),"f","t"),"d","t")</f>
        <v/>
      </c>
      <c r="Z114">
        <f>SUBSTITUTE(SUBSTITUTE(SUBSTITUTE(SUBSTITUTE(SUBSTITUTE(SUBSTITUTE(LOWER(IF(ISNUMBER(FIND(";",Z18)),MID(Z18,FIND(";",Z18)+1,99),Z18))," ",""),"%%c","t"),"ø","t"),"φ","t"),"f","t"),"d","t")</f>
        <v/>
      </c>
      <c r="AA114">
        <f>SUBSTITUTE(SUBSTITUTE(SUBSTITUTE(SUBSTITUTE(SUBSTITUTE(SUBSTITUTE(LOWER(IF(ISNUMBER(FIND(";",AA18)),MID(AA18,FIND(";",AA18)+1,99),AA18))," ",""),"%%c","t"),"ø","t"),"φ","t"),"f","t"),"d","t")</f>
        <v/>
      </c>
      <c r="AB114">
        <f>SUBSTITUTE(SUBSTITUTE(SUBSTITUTE(SUBSTITUTE(SUBSTITUTE(SUBSTITUTE(LOWER(IF(ISNUMBER(FIND(";",AB18)),MID(AB18,FIND(";",AB18)+1,99),AB18))," ",""),"%%c","t"),"ø","t"),"φ","t"),"f","t"),"d","t")</f>
        <v/>
      </c>
      <c r="AC114">
        <f>SUBSTITUTE(SUBSTITUTE(SUBSTITUTE(SUBSTITUTE(SUBSTITUTE(SUBSTITUTE(LOWER(IF(ISNUMBER(FIND(";",AC18)),MID(AC18,FIND(";",AC18)+1,99),AC18))," ",""),"%%c","t"),"ø","t"),"φ","t"),"f","t"),"d","t")</f>
        <v/>
      </c>
      <c r="AD114">
        <f>SUBSTITUTE(SUBSTITUTE(SUBSTITUTE(SUBSTITUTE(SUBSTITUTE(SUBSTITUTE(LOWER(IF(ISNUMBER(FIND(";",AD18)),MID(AD18,FIND(";",AD18)+1,99),AD18))," ",""),"%%c","t"),"ø","t"),"φ","t"),"f","t"),"d","t")</f>
        <v/>
      </c>
      <c r="AE114">
        <f>SUBSTITUTE(SUBSTITUTE(SUBSTITUTE(SUBSTITUTE(SUBSTITUTE(SUBSTITUTE(LOWER(IF(ISNUMBER(FIND(";",AE18)),MID(AE18,FIND(";",AE18)+1,99),AE18))," ",""),"%%c","t"),"ø","t"),"φ","t"),"f","t"),"d","t")</f>
        <v/>
      </c>
      <c r="AF114">
        <f>SUBSTITUTE(SUBSTITUTE(SUBSTITUTE(SUBSTITUTE(SUBSTITUTE(SUBSTITUTE(LOWER(IF(ISNUMBER(FIND(";",AF18)),MID(AF18,FIND(";",AF18)+1,99),AF18))," ",""),"%%c","t"),"ø","t"),"φ","t"),"f","t"),"d","t")</f>
        <v/>
      </c>
      <c r="AG114">
        <f>SUBSTITUTE(SUBSTITUTE(SUBSTITUTE(SUBSTITUTE(SUBSTITUTE(SUBSTITUTE(LOWER(IF(ISNUMBER(FIND(";",AG18)),MID(AG18,FIND(";",AG18)+1,99),AG18))," ",""),"%%c","t"),"ø","t"),"φ","t"),"f","t"),"d","t")</f>
        <v/>
      </c>
    </row>
    <row r="115" hidden="1" outlineLevel="1">
      <c r="A115" s="60" t="inlineStr">
        <is>
          <t>(phụ trợ) A_B5R</t>
        </is>
      </c>
      <c r="C115">
        <f>IFERROR(LEFT(LEFT(C114,FIND("+",C114&amp;"+")-1),FIND("t",LEFT(C114,FIND("+",C114&amp;"+")-1))-1)*MID(LEFT(C114,FIND("+",C114&amp;"+")-1),FIND("t",LEFT(C114,FIND("+",C114&amp;"+")-1))+1,2)^2*PI()/400,0)+IFERROR(LEFT(MID(C114,FIND("+",C114&amp;"+")+1,99),FIND("t",MID(C114,FIND("+",C114&amp;"+")+1,99))-1)*MID(MID(C114,FIND("+",C114&amp;"+")+1,99),FIND("t",MID(C114,FIND("+",C114&amp;"+")+1,99))+1,2)^2*PI()/400,0)</f>
        <v/>
      </c>
      <c r="D115">
        <f>IFERROR(LEFT(LEFT(D114,FIND("+",D114&amp;"+")-1),FIND("t",LEFT(D114,FIND("+",D114&amp;"+")-1))-1)*MID(LEFT(D114,FIND("+",D114&amp;"+")-1),FIND("t",LEFT(D114,FIND("+",D114&amp;"+")-1))+1,2)^2*PI()/400,0)+IFERROR(LEFT(MID(D114,FIND("+",D114&amp;"+")+1,99),FIND("t",MID(D114,FIND("+",D114&amp;"+")+1,99))-1)*MID(MID(D114,FIND("+",D114&amp;"+")+1,99),FIND("t",MID(D114,FIND("+",D114&amp;"+")+1,99))+1,2)^2*PI()/400,0)</f>
        <v/>
      </c>
      <c r="E115">
        <f>IFERROR(LEFT(LEFT(E114,FIND("+",E114&amp;"+")-1),FIND("t",LEFT(E114,FIND("+",E114&amp;"+")-1))-1)*MID(LEFT(E114,FIND("+",E114&amp;"+")-1),FIND("t",LEFT(E114,FIND("+",E114&amp;"+")-1))+1,2)^2*PI()/400,0)+IFERROR(LEFT(MID(E114,FIND("+",E114&amp;"+")+1,99),FIND("t",MID(E114,FIND("+",E114&amp;"+")+1,99))-1)*MID(MID(E114,FIND("+",E114&amp;"+")+1,99),FIND("t",MID(E114,FIND("+",E114&amp;"+")+1,99))+1,2)^2*PI()/400,0)</f>
        <v/>
      </c>
      <c r="F115">
        <f>IFERROR(LEFT(LEFT(F114,FIND("+",F114&amp;"+")-1),FIND("t",LEFT(F114,FIND("+",F114&amp;"+")-1))-1)*MID(LEFT(F114,FIND("+",F114&amp;"+")-1),FIND("t",LEFT(F114,FIND("+",F114&amp;"+")-1))+1,2)^2*PI()/400,0)+IFERROR(LEFT(MID(F114,FIND("+",F114&amp;"+")+1,99),FIND("t",MID(F114,FIND("+",F114&amp;"+")+1,99))-1)*MID(MID(F114,FIND("+",F114&amp;"+")+1,99),FIND("t",MID(F114,FIND("+",F114&amp;"+")+1,99))+1,2)^2*PI()/400,0)</f>
        <v/>
      </c>
      <c r="G115">
        <f>IFERROR(LEFT(LEFT(G114,FIND("+",G114&amp;"+")-1),FIND("t",LEFT(G114,FIND("+",G114&amp;"+")-1))-1)*MID(LEFT(G114,FIND("+",G114&amp;"+")-1),FIND("t",LEFT(G114,FIND("+",G114&amp;"+")-1))+1,2)^2*PI()/400,0)+IFERROR(LEFT(MID(G114,FIND("+",G114&amp;"+")+1,99),FIND("t",MID(G114,FIND("+",G114&amp;"+")+1,99))-1)*MID(MID(G114,FIND("+",G114&amp;"+")+1,99),FIND("t",MID(G114,FIND("+",G114&amp;"+")+1,99))+1,2)^2*PI()/400,0)</f>
        <v/>
      </c>
      <c r="H115">
        <f>IFERROR(LEFT(LEFT(H114,FIND("+",H114&amp;"+")-1),FIND("t",LEFT(H114,FIND("+",H114&amp;"+")-1))-1)*MID(LEFT(H114,FIND("+",H114&amp;"+")-1),FIND("t",LEFT(H114,FIND("+",H114&amp;"+")-1))+1,2)^2*PI()/400,0)+IFERROR(LEFT(MID(H114,FIND("+",H114&amp;"+")+1,99),FIND("t",MID(H114,FIND("+",H114&amp;"+")+1,99))-1)*MID(MID(H114,FIND("+",H114&amp;"+")+1,99),FIND("t",MID(H114,FIND("+",H114&amp;"+")+1,99))+1,2)^2*PI()/400,0)</f>
        <v/>
      </c>
      <c r="I115">
        <f>IFERROR(LEFT(LEFT(I114,FIND("+",I114&amp;"+")-1),FIND("t",LEFT(I114,FIND("+",I114&amp;"+")-1))-1)*MID(LEFT(I114,FIND("+",I114&amp;"+")-1),FIND("t",LEFT(I114,FIND("+",I114&amp;"+")-1))+1,2)^2*PI()/400,0)+IFERROR(LEFT(MID(I114,FIND("+",I114&amp;"+")+1,99),FIND("t",MID(I114,FIND("+",I114&amp;"+")+1,99))-1)*MID(MID(I114,FIND("+",I114&amp;"+")+1,99),FIND("t",MID(I114,FIND("+",I114&amp;"+")+1,99))+1,2)^2*PI()/400,0)</f>
        <v/>
      </c>
      <c r="J115">
        <f>IFERROR(LEFT(LEFT(J114,FIND("+",J114&amp;"+")-1),FIND("t",LEFT(J114,FIND("+",J114&amp;"+")-1))-1)*MID(LEFT(J114,FIND("+",J114&amp;"+")-1),FIND("t",LEFT(J114,FIND("+",J114&amp;"+")-1))+1,2)^2*PI()/400,0)+IFERROR(LEFT(MID(J114,FIND("+",J114&amp;"+")+1,99),FIND("t",MID(J114,FIND("+",J114&amp;"+")+1,99))-1)*MID(MID(J114,FIND("+",J114&amp;"+")+1,99),FIND("t",MID(J114,FIND("+",J114&amp;"+")+1,99))+1,2)^2*PI()/400,0)</f>
        <v/>
      </c>
      <c r="K115">
        <f>IFERROR(LEFT(LEFT(K114,FIND("+",K114&amp;"+")-1),FIND("t",LEFT(K114,FIND("+",K114&amp;"+")-1))-1)*MID(LEFT(K114,FIND("+",K114&amp;"+")-1),FIND("t",LEFT(K114,FIND("+",K114&amp;"+")-1))+1,2)^2*PI()/400,0)+IFERROR(LEFT(MID(K114,FIND("+",K114&amp;"+")+1,99),FIND("t",MID(K114,FIND("+",K114&amp;"+")+1,99))-1)*MID(MID(K114,FIND("+",K114&amp;"+")+1,99),FIND("t",MID(K114,FIND("+",K114&amp;"+")+1,99))+1,2)^2*PI()/400,0)</f>
        <v/>
      </c>
      <c r="L115">
        <f>IFERROR(LEFT(LEFT(L114,FIND("+",L114&amp;"+")-1),FIND("t",LEFT(L114,FIND("+",L114&amp;"+")-1))-1)*MID(LEFT(L114,FIND("+",L114&amp;"+")-1),FIND("t",LEFT(L114,FIND("+",L114&amp;"+")-1))+1,2)^2*PI()/400,0)+IFERROR(LEFT(MID(L114,FIND("+",L114&amp;"+")+1,99),FIND("t",MID(L114,FIND("+",L114&amp;"+")+1,99))-1)*MID(MID(L114,FIND("+",L114&amp;"+")+1,99),FIND("t",MID(L114,FIND("+",L114&amp;"+")+1,99))+1,2)^2*PI()/400,0)</f>
        <v/>
      </c>
      <c r="M115">
        <f>IFERROR(LEFT(LEFT(M114,FIND("+",M114&amp;"+")-1),FIND("t",LEFT(M114,FIND("+",M114&amp;"+")-1))-1)*MID(LEFT(M114,FIND("+",M114&amp;"+")-1),FIND("t",LEFT(M114,FIND("+",M114&amp;"+")-1))+1,2)^2*PI()/400,0)+IFERROR(LEFT(MID(M114,FIND("+",M114&amp;"+")+1,99),FIND("t",MID(M114,FIND("+",M114&amp;"+")+1,99))-1)*MID(MID(M114,FIND("+",M114&amp;"+")+1,99),FIND("t",MID(M114,FIND("+",M114&amp;"+")+1,99))+1,2)^2*PI()/400,0)</f>
        <v/>
      </c>
      <c r="N115">
        <f>IFERROR(LEFT(LEFT(N114,FIND("+",N114&amp;"+")-1),FIND("t",LEFT(N114,FIND("+",N114&amp;"+")-1))-1)*MID(LEFT(N114,FIND("+",N114&amp;"+")-1),FIND("t",LEFT(N114,FIND("+",N114&amp;"+")-1))+1,2)^2*PI()/400,0)+IFERROR(LEFT(MID(N114,FIND("+",N114&amp;"+")+1,99),FIND("t",MID(N114,FIND("+",N114&amp;"+")+1,99))-1)*MID(MID(N114,FIND("+",N114&amp;"+")+1,99),FIND("t",MID(N114,FIND("+",N114&amp;"+")+1,99))+1,2)^2*PI()/400,0)</f>
        <v/>
      </c>
      <c r="O115">
        <f>IFERROR(LEFT(LEFT(O114,FIND("+",O114&amp;"+")-1),FIND("t",LEFT(O114,FIND("+",O114&amp;"+")-1))-1)*MID(LEFT(O114,FIND("+",O114&amp;"+")-1),FIND("t",LEFT(O114,FIND("+",O114&amp;"+")-1))+1,2)^2*PI()/400,0)+IFERROR(LEFT(MID(O114,FIND("+",O114&amp;"+")+1,99),FIND("t",MID(O114,FIND("+",O114&amp;"+")+1,99))-1)*MID(MID(O114,FIND("+",O114&amp;"+")+1,99),FIND("t",MID(O114,FIND("+",O114&amp;"+")+1,99))+1,2)^2*PI()/400,0)</f>
        <v/>
      </c>
      <c r="P115">
        <f>IFERROR(LEFT(LEFT(P114,FIND("+",P114&amp;"+")-1),FIND("t",LEFT(P114,FIND("+",P114&amp;"+")-1))-1)*MID(LEFT(P114,FIND("+",P114&amp;"+")-1),FIND("t",LEFT(P114,FIND("+",P114&amp;"+")-1))+1,2)^2*PI()/400,0)+IFERROR(LEFT(MID(P114,FIND("+",P114&amp;"+")+1,99),FIND("t",MID(P114,FIND("+",P114&amp;"+")+1,99))-1)*MID(MID(P114,FIND("+",P114&amp;"+")+1,99),FIND("t",MID(P114,FIND("+",P114&amp;"+")+1,99))+1,2)^2*PI()/400,0)</f>
        <v/>
      </c>
      <c r="Q115">
        <f>IFERROR(LEFT(LEFT(Q114,FIND("+",Q114&amp;"+")-1),FIND("t",LEFT(Q114,FIND("+",Q114&amp;"+")-1))-1)*MID(LEFT(Q114,FIND("+",Q114&amp;"+")-1),FIND("t",LEFT(Q114,FIND("+",Q114&amp;"+")-1))+1,2)^2*PI()/400,0)+IFERROR(LEFT(MID(Q114,FIND("+",Q114&amp;"+")+1,99),FIND("t",MID(Q114,FIND("+",Q114&amp;"+")+1,99))-1)*MID(MID(Q114,FIND("+",Q114&amp;"+")+1,99),FIND("t",MID(Q114,FIND("+",Q114&amp;"+")+1,99))+1,2)^2*PI()/400,0)</f>
        <v/>
      </c>
      <c r="R115">
        <f>IFERROR(LEFT(LEFT(R114,FIND("+",R114&amp;"+")-1),FIND("t",LEFT(R114,FIND("+",R114&amp;"+")-1))-1)*MID(LEFT(R114,FIND("+",R114&amp;"+")-1),FIND("t",LEFT(R114,FIND("+",R114&amp;"+")-1))+1,2)^2*PI()/400,0)+IFERROR(LEFT(MID(R114,FIND("+",R114&amp;"+")+1,99),FIND("t",MID(R114,FIND("+",R114&amp;"+")+1,99))-1)*MID(MID(R114,FIND("+",R114&amp;"+")+1,99),FIND("t",MID(R114,FIND("+",R114&amp;"+")+1,99))+1,2)^2*PI()/400,0)</f>
        <v/>
      </c>
      <c r="S115">
        <f>IFERROR(LEFT(LEFT(S114,FIND("+",S114&amp;"+")-1),FIND("t",LEFT(S114,FIND("+",S114&amp;"+")-1))-1)*MID(LEFT(S114,FIND("+",S114&amp;"+")-1),FIND("t",LEFT(S114,FIND("+",S114&amp;"+")-1))+1,2)^2*PI()/400,0)+IFERROR(LEFT(MID(S114,FIND("+",S114&amp;"+")+1,99),FIND("t",MID(S114,FIND("+",S114&amp;"+")+1,99))-1)*MID(MID(S114,FIND("+",S114&amp;"+")+1,99),FIND("t",MID(S114,FIND("+",S114&amp;"+")+1,99))+1,2)^2*PI()/400,0)</f>
        <v/>
      </c>
      <c r="T115">
        <f>IFERROR(LEFT(LEFT(T114,FIND("+",T114&amp;"+")-1),FIND("t",LEFT(T114,FIND("+",T114&amp;"+")-1))-1)*MID(LEFT(T114,FIND("+",T114&amp;"+")-1),FIND("t",LEFT(T114,FIND("+",T114&amp;"+")-1))+1,2)^2*PI()/400,0)+IFERROR(LEFT(MID(T114,FIND("+",T114&amp;"+")+1,99),FIND("t",MID(T114,FIND("+",T114&amp;"+")+1,99))-1)*MID(MID(T114,FIND("+",T114&amp;"+")+1,99),FIND("t",MID(T114,FIND("+",T114&amp;"+")+1,99))+1,2)^2*PI()/400,0)</f>
        <v/>
      </c>
      <c r="U115">
        <f>IFERROR(LEFT(LEFT(U114,FIND("+",U114&amp;"+")-1),FIND("t",LEFT(U114,FIND("+",U114&amp;"+")-1))-1)*MID(LEFT(U114,FIND("+",U114&amp;"+")-1),FIND("t",LEFT(U114,FIND("+",U114&amp;"+")-1))+1,2)^2*PI()/400,0)+IFERROR(LEFT(MID(U114,FIND("+",U114&amp;"+")+1,99),FIND("t",MID(U114,FIND("+",U114&amp;"+")+1,99))-1)*MID(MID(U114,FIND("+",U114&amp;"+")+1,99),FIND("t",MID(U114,FIND("+",U114&amp;"+")+1,99))+1,2)^2*PI()/400,0)</f>
        <v/>
      </c>
      <c r="V115">
        <f>IFERROR(LEFT(LEFT(V114,FIND("+",V114&amp;"+")-1),FIND("t",LEFT(V114,FIND("+",V114&amp;"+")-1))-1)*MID(LEFT(V114,FIND("+",V114&amp;"+")-1),FIND("t",LEFT(V114,FIND("+",V114&amp;"+")-1))+1,2)^2*PI()/400,0)+IFERROR(LEFT(MID(V114,FIND("+",V114&amp;"+")+1,99),FIND("t",MID(V114,FIND("+",V114&amp;"+")+1,99))-1)*MID(MID(V114,FIND("+",V114&amp;"+")+1,99),FIND("t",MID(V114,FIND("+",V114&amp;"+")+1,99))+1,2)^2*PI()/400,0)</f>
        <v/>
      </c>
      <c r="W115">
        <f>IFERROR(LEFT(LEFT(W114,FIND("+",W114&amp;"+")-1),FIND("t",LEFT(W114,FIND("+",W114&amp;"+")-1))-1)*MID(LEFT(W114,FIND("+",W114&amp;"+")-1),FIND("t",LEFT(W114,FIND("+",W114&amp;"+")-1))+1,2)^2*PI()/400,0)+IFERROR(LEFT(MID(W114,FIND("+",W114&amp;"+")+1,99),FIND("t",MID(W114,FIND("+",W114&amp;"+")+1,99))-1)*MID(MID(W114,FIND("+",W114&amp;"+")+1,99),FIND("t",MID(W114,FIND("+",W114&amp;"+")+1,99))+1,2)^2*PI()/400,0)</f>
        <v/>
      </c>
      <c r="X115">
        <f>IFERROR(LEFT(LEFT(X114,FIND("+",X114&amp;"+")-1),FIND("t",LEFT(X114,FIND("+",X114&amp;"+")-1))-1)*MID(LEFT(X114,FIND("+",X114&amp;"+")-1),FIND("t",LEFT(X114,FIND("+",X114&amp;"+")-1))+1,2)^2*PI()/400,0)+IFERROR(LEFT(MID(X114,FIND("+",X114&amp;"+")+1,99),FIND("t",MID(X114,FIND("+",X114&amp;"+")+1,99))-1)*MID(MID(X114,FIND("+",X114&amp;"+")+1,99),FIND("t",MID(X114,FIND("+",X114&amp;"+")+1,99))+1,2)^2*PI()/400,0)</f>
        <v/>
      </c>
      <c r="Y115">
        <f>IFERROR(LEFT(LEFT(Y114,FIND("+",Y114&amp;"+")-1),FIND("t",LEFT(Y114,FIND("+",Y114&amp;"+")-1))-1)*MID(LEFT(Y114,FIND("+",Y114&amp;"+")-1),FIND("t",LEFT(Y114,FIND("+",Y114&amp;"+")-1))+1,2)^2*PI()/400,0)+IFERROR(LEFT(MID(Y114,FIND("+",Y114&amp;"+")+1,99),FIND("t",MID(Y114,FIND("+",Y114&amp;"+")+1,99))-1)*MID(MID(Y114,FIND("+",Y114&amp;"+")+1,99),FIND("t",MID(Y114,FIND("+",Y114&amp;"+")+1,99))+1,2)^2*PI()/400,0)</f>
        <v/>
      </c>
      <c r="Z115">
        <f>IFERROR(LEFT(LEFT(Z114,FIND("+",Z114&amp;"+")-1),FIND("t",LEFT(Z114,FIND("+",Z114&amp;"+")-1))-1)*MID(LEFT(Z114,FIND("+",Z114&amp;"+")-1),FIND("t",LEFT(Z114,FIND("+",Z114&amp;"+")-1))+1,2)^2*PI()/400,0)+IFERROR(LEFT(MID(Z114,FIND("+",Z114&amp;"+")+1,99),FIND("t",MID(Z114,FIND("+",Z114&amp;"+")+1,99))-1)*MID(MID(Z114,FIND("+",Z114&amp;"+")+1,99),FIND("t",MID(Z114,FIND("+",Z114&amp;"+")+1,99))+1,2)^2*PI()/400,0)</f>
        <v/>
      </c>
      <c r="AA115">
        <f>IFERROR(LEFT(LEFT(AA114,FIND("+",AA114&amp;"+")-1),FIND("t",LEFT(AA114,FIND("+",AA114&amp;"+")-1))-1)*MID(LEFT(AA114,FIND("+",AA114&amp;"+")-1),FIND("t",LEFT(AA114,FIND("+",AA114&amp;"+")-1))+1,2)^2*PI()/400,0)+IFERROR(LEFT(MID(AA114,FIND("+",AA114&amp;"+")+1,99),FIND("t",MID(AA114,FIND("+",AA114&amp;"+")+1,99))-1)*MID(MID(AA114,FIND("+",AA114&amp;"+")+1,99),FIND("t",MID(AA114,FIND("+",AA114&amp;"+")+1,99))+1,2)^2*PI()/400,0)</f>
        <v/>
      </c>
      <c r="AB115">
        <f>IFERROR(LEFT(LEFT(AB114,FIND("+",AB114&amp;"+")-1),FIND("t",LEFT(AB114,FIND("+",AB114&amp;"+")-1))-1)*MID(LEFT(AB114,FIND("+",AB114&amp;"+")-1),FIND("t",LEFT(AB114,FIND("+",AB114&amp;"+")-1))+1,2)^2*PI()/400,0)+IFERROR(LEFT(MID(AB114,FIND("+",AB114&amp;"+")+1,99),FIND("t",MID(AB114,FIND("+",AB114&amp;"+")+1,99))-1)*MID(MID(AB114,FIND("+",AB114&amp;"+")+1,99),FIND("t",MID(AB114,FIND("+",AB114&amp;"+")+1,99))+1,2)^2*PI()/400,0)</f>
        <v/>
      </c>
      <c r="AC115">
        <f>IFERROR(LEFT(LEFT(AC114,FIND("+",AC114&amp;"+")-1),FIND("t",LEFT(AC114,FIND("+",AC114&amp;"+")-1))-1)*MID(LEFT(AC114,FIND("+",AC114&amp;"+")-1),FIND("t",LEFT(AC114,FIND("+",AC114&amp;"+")-1))+1,2)^2*PI()/400,0)+IFERROR(LEFT(MID(AC114,FIND("+",AC114&amp;"+")+1,99),FIND("t",MID(AC114,FIND("+",AC114&amp;"+")+1,99))-1)*MID(MID(AC114,FIND("+",AC114&amp;"+")+1,99),FIND("t",MID(AC114,FIND("+",AC114&amp;"+")+1,99))+1,2)^2*PI()/400,0)</f>
        <v/>
      </c>
      <c r="AD115">
        <f>IFERROR(LEFT(LEFT(AD114,FIND("+",AD114&amp;"+")-1),FIND("t",LEFT(AD114,FIND("+",AD114&amp;"+")-1))-1)*MID(LEFT(AD114,FIND("+",AD114&amp;"+")-1),FIND("t",LEFT(AD114,FIND("+",AD114&amp;"+")-1))+1,2)^2*PI()/400,0)+IFERROR(LEFT(MID(AD114,FIND("+",AD114&amp;"+")+1,99),FIND("t",MID(AD114,FIND("+",AD114&amp;"+")+1,99))-1)*MID(MID(AD114,FIND("+",AD114&amp;"+")+1,99),FIND("t",MID(AD114,FIND("+",AD114&amp;"+")+1,99))+1,2)^2*PI()/400,0)</f>
        <v/>
      </c>
      <c r="AE115">
        <f>IFERROR(LEFT(LEFT(AE114,FIND("+",AE114&amp;"+")-1),FIND("t",LEFT(AE114,FIND("+",AE114&amp;"+")-1))-1)*MID(LEFT(AE114,FIND("+",AE114&amp;"+")-1),FIND("t",LEFT(AE114,FIND("+",AE114&amp;"+")-1))+1,2)^2*PI()/400,0)+IFERROR(LEFT(MID(AE114,FIND("+",AE114&amp;"+")+1,99),FIND("t",MID(AE114,FIND("+",AE114&amp;"+")+1,99))-1)*MID(MID(AE114,FIND("+",AE114&amp;"+")+1,99),FIND("t",MID(AE114,FIND("+",AE114&amp;"+")+1,99))+1,2)^2*PI()/400,0)</f>
        <v/>
      </c>
      <c r="AF115">
        <f>IFERROR(LEFT(LEFT(AF114,FIND("+",AF114&amp;"+")-1),FIND("t",LEFT(AF114,FIND("+",AF114&amp;"+")-1))-1)*MID(LEFT(AF114,FIND("+",AF114&amp;"+")-1),FIND("t",LEFT(AF114,FIND("+",AF114&amp;"+")-1))+1,2)^2*PI()/400,0)+IFERROR(LEFT(MID(AF114,FIND("+",AF114&amp;"+")+1,99),FIND("t",MID(AF114,FIND("+",AF114&amp;"+")+1,99))-1)*MID(MID(AF114,FIND("+",AF114&amp;"+")+1,99),FIND("t",MID(AF114,FIND("+",AF114&amp;"+")+1,99))+1,2)^2*PI()/400,0)</f>
        <v/>
      </c>
      <c r="AG115">
        <f>IFERROR(LEFT(LEFT(AG114,FIND("+",AG114&amp;"+")-1),FIND("t",LEFT(AG114,FIND("+",AG114&amp;"+")-1))-1)*MID(LEFT(AG114,FIND("+",AG114&amp;"+")-1),FIND("t",LEFT(AG114,FIND("+",AG114&amp;"+")-1))+1,2)^2*PI()/400,0)+IFERROR(LEFT(MID(AG114,FIND("+",AG114&amp;"+")+1,99),FIND("t",MID(AG114,FIND("+",AG114&amp;"+")+1,99))-1)*MID(MID(AG114,FIND("+",AG114&amp;"+")+1,99),FIND("t",MID(AG114,FIND("+",AG114&amp;"+")+1,99))+1,2)^2*PI()/400,0)</f>
        <v/>
      </c>
    </row>
    <row r="116" hidden="1" outlineLevel="1">
      <c r="A116" s="60" t="inlineStr">
        <is>
          <t>(phụ trợ) ASTL</t>
        </is>
      </c>
      <c r="C116">
        <f>C69+C73+C77+C81+C85+C89</f>
        <v/>
      </c>
      <c r="D116">
        <f>D69+D73+D77+D81+D85+D89</f>
        <v/>
      </c>
      <c r="E116">
        <f>E69+E73+E77+E81+E85+E89</f>
        <v/>
      </c>
      <c r="F116">
        <f>F69+F73+F77+F81+F85+F89</f>
        <v/>
      </c>
      <c r="G116">
        <f>G69+G73+G77+G81+G85+G89</f>
        <v/>
      </c>
      <c r="H116">
        <f>H69+H73+H77+H81+H85+H89</f>
        <v/>
      </c>
      <c r="I116">
        <f>I69+I73+I77+I81+I85+I89</f>
        <v/>
      </c>
      <c r="J116">
        <f>J69+J73+J77+J81+J85+J89</f>
        <v/>
      </c>
      <c r="K116">
        <f>K69+K73+K77+K81+K85+K89</f>
        <v/>
      </c>
      <c r="L116">
        <f>L69+L73+L77+L81+L85+L89</f>
        <v/>
      </c>
      <c r="M116">
        <f>M69+M73+M77+M81+M85+M89</f>
        <v/>
      </c>
      <c r="N116">
        <f>N69+N73+N77+N81+N85+N89</f>
        <v/>
      </c>
      <c r="O116">
        <f>O69+O73+O77+O81+O85+O89</f>
        <v/>
      </c>
      <c r="P116">
        <f>P69+P73+P77+P81+P85+P89</f>
        <v/>
      </c>
      <c r="Q116">
        <f>Q69+Q73+Q77+Q81+Q85+Q89</f>
        <v/>
      </c>
      <c r="R116">
        <f>R69+R73+R77+R81+R85+R89</f>
        <v/>
      </c>
      <c r="S116">
        <f>S69+S73+S77+S81+S85+S89</f>
        <v/>
      </c>
      <c r="T116">
        <f>T69+T73+T77+T81+T85+T89</f>
        <v/>
      </c>
      <c r="U116">
        <f>U69+U73+U77+U81+U85+U89</f>
        <v/>
      </c>
      <c r="V116">
        <f>V69+V73+V77+V81+V85+V89</f>
        <v/>
      </c>
      <c r="W116">
        <f>W69+W73+W77+W81+W85+W89</f>
        <v/>
      </c>
      <c r="X116">
        <f>X69+X73+X77+X81+X85+X89</f>
        <v/>
      </c>
      <c r="Y116">
        <f>Y69+Y73+Y77+Y81+Y85+Y89</f>
        <v/>
      </c>
      <c r="Z116">
        <f>Z69+Z73+Z77+Z81+Z85+Z89</f>
        <v/>
      </c>
      <c r="AA116">
        <f>AA69+AA73+AA77+AA81+AA85+AA89</f>
        <v/>
      </c>
      <c r="AB116">
        <f>AB69+AB73+AB77+AB81+AB85+AB89</f>
        <v/>
      </c>
      <c r="AC116">
        <f>AC69+AC73+AC77+AC81+AC85+AC89</f>
        <v/>
      </c>
      <c r="AD116">
        <f>AD69+AD73+AD77+AD81+AD85+AD89</f>
        <v/>
      </c>
      <c r="AE116">
        <f>AE69+AE73+AE77+AE81+AE85+AE89</f>
        <v/>
      </c>
      <c r="AF116">
        <f>AF69+AF73+AF77+AF81+AF85+AF89</f>
        <v/>
      </c>
      <c r="AG116">
        <f>AG69+AG73+AG77+AG81+AG85+AG89</f>
        <v/>
      </c>
    </row>
    <row r="117" hidden="1" outlineLevel="1">
      <c r="A117" s="60" t="inlineStr">
        <is>
          <t>(phụ trợ) ASTR</t>
        </is>
      </c>
      <c r="C117">
        <f>C71+C75+C79+C83+C87+C91</f>
        <v/>
      </c>
      <c r="D117">
        <f>D71+D75+D79+D83+D87+D91</f>
        <v/>
      </c>
      <c r="E117">
        <f>E71+E75+E79+E83+E87+E91</f>
        <v/>
      </c>
      <c r="F117">
        <f>F71+F75+F79+F83+F87+F91</f>
        <v/>
      </c>
      <c r="G117">
        <f>G71+G75+G79+G83+G87+G91</f>
        <v/>
      </c>
      <c r="H117">
        <f>H71+H75+H79+H83+H87+H91</f>
        <v/>
      </c>
      <c r="I117">
        <f>I71+I75+I79+I83+I87+I91</f>
        <v/>
      </c>
      <c r="J117">
        <f>J71+J75+J79+J83+J87+J91</f>
        <v/>
      </c>
      <c r="K117">
        <f>K71+K75+K79+K83+K87+K91</f>
        <v/>
      </c>
      <c r="L117">
        <f>L71+L75+L79+L83+L87+L91</f>
        <v/>
      </c>
      <c r="M117">
        <f>M71+M75+M79+M83+M87+M91</f>
        <v/>
      </c>
      <c r="N117">
        <f>N71+N75+N79+N83+N87+N91</f>
        <v/>
      </c>
      <c r="O117">
        <f>O71+O75+O79+O83+O87+O91</f>
        <v/>
      </c>
      <c r="P117">
        <f>P71+P75+P79+P83+P87+P91</f>
        <v/>
      </c>
      <c r="Q117">
        <f>Q71+Q75+Q79+Q83+Q87+Q91</f>
        <v/>
      </c>
      <c r="R117">
        <f>R71+R75+R79+R83+R87+R91</f>
        <v/>
      </c>
      <c r="S117">
        <f>S71+S75+S79+S83+S87+S91</f>
        <v/>
      </c>
      <c r="T117">
        <f>T71+T75+T79+T83+T87+T91</f>
        <v/>
      </c>
      <c r="U117">
        <f>U71+U75+U79+U83+U87+U91</f>
        <v/>
      </c>
      <c r="V117">
        <f>V71+V75+V79+V83+V87+V91</f>
        <v/>
      </c>
      <c r="W117">
        <f>W71+W75+W79+W83+W87+W91</f>
        <v/>
      </c>
      <c r="X117">
        <f>X71+X75+X79+X83+X87+X91</f>
        <v/>
      </c>
      <c r="Y117">
        <f>Y71+Y75+Y79+Y83+Y87+Y91</f>
        <v/>
      </c>
      <c r="Z117">
        <f>Z71+Z75+Z79+Z83+Z87+Z91</f>
        <v/>
      </c>
      <c r="AA117">
        <f>AA71+AA75+AA79+AA83+AA87+AA91</f>
        <v/>
      </c>
      <c r="AB117">
        <f>AB71+AB75+AB79+AB83+AB87+AB91</f>
        <v/>
      </c>
      <c r="AC117">
        <f>AC71+AC75+AC79+AC83+AC87+AC91</f>
        <v/>
      </c>
      <c r="AD117">
        <f>AD71+AD75+AD79+AD83+AD87+AD91</f>
        <v/>
      </c>
      <c r="AE117">
        <f>AE71+AE75+AE79+AE83+AE87+AE91</f>
        <v/>
      </c>
      <c r="AF117">
        <f>AF71+AF75+AF79+AF83+AF87+AF91</f>
        <v/>
      </c>
      <c r="AG117">
        <f>AG71+AG75+AG79+AG83+AG87+AG91</f>
        <v/>
      </c>
    </row>
    <row r="118" hidden="1" outlineLevel="1">
      <c r="A118" s="60" t="inlineStr">
        <is>
          <t>(phụ trợ) ASBL</t>
        </is>
      </c>
      <c r="C118">
        <f>C93+C97+C101+C105+C109+C113</f>
        <v/>
      </c>
      <c r="D118">
        <f>D93+D97+D101+D105+D109+D113</f>
        <v/>
      </c>
      <c r="E118">
        <f>E93+E97+E101+E105+E109+E113</f>
        <v/>
      </c>
      <c r="F118">
        <f>F93+F97+F101+F105+F109+F113</f>
        <v/>
      </c>
      <c r="G118">
        <f>G93+G97+G101+G105+G109+G113</f>
        <v/>
      </c>
      <c r="H118">
        <f>H93+H97+H101+H105+H109+H113</f>
        <v/>
      </c>
      <c r="I118">
        <f>I93+I97+I101+I105+I109+I113</f>
        <v/>
      </c>
      <c r="J118">
        <f>J93+J97+J101+J105+J109+J113</f>
        <v/>
      </c>
      <c r="K118">
        <f>K93+K97+K101+K105+K109+K113</f>
        <v/>
      </c>
      <c r="L118">
        <f>L93+L97+L101+L105+L109+L113</f>
        <v/>
      </c>
      <c r="M118">
        <f>M93+M97+M101+M105+M109+M113</f>
        <v/>
      </c>
      <c r="N118">
        <f>N93+N97+N101+N105+N109+N113</f>
        <v/>
      </c>
      <c r="O118">
        <f>O93+O97+O101+O105+O109+O113</f>
        <v/>
      </c>
      <c r="P118">
        <f>P93+P97+P101+P105+P109+P113</f>
        <v/>
      </c>
      <c r="Q118">
        <f>Q93+Q97+Q101+Q105+Q109+Q113</f>
        <v/>
      </c>
      <c r="R118">
        <f>R93+R97+R101+R105+R109+R113</f>
        <v/>
      </c>
      <c r="S118">
        <f>S93+S97+S101+S105+S109+S113</f>
        <v/>
      </c>
      <c r="T118">
        <f>T93+T97+T101+T105+T109+T113</f>
        <v/>
      </c>
      <c r="U118">
        <f>U93+U97+U101+U105+U109+U113</f>
        <v/>
      </c>
      <c r="V118">
        <f>V93+V97+V101+V105+V109+V113</f>
        <v/>
      </c>
      <c r="W118">
        <f>W93+W97+W101+W105+W109+W113</f>
        <v/>
      </c>
      <c r="X118">
        <f>X93+X97+X101+X105+X109+X113</f>
        <v/>
      </c>
      <c r="Y118">
        <f>Y93+Y97+Y101+Y105+Y109+Y113</f>
        <v/>
      </c>
      <c r="Z118">
        <f>Z93+Z97+Z101+Z105+Z109+Z113</f>
        <v/>
      </c>
      <c r="AA118">
        <f>AA93+AA97+AA101+AA105+AA109+AA113</f>
        <v/>
      </c>
      <c r="AB118">
        <f>AB93+AB97+AB101+AB105+AB109+AB113</f>
        <v/>
      </c>
      <c r="AC118">
        <f>AC93+AC97+AC101+AC105+AC109+AC113</f>
        <v/>
      </c>
      <c r="AD118">
        <f>AD93+AD97+AD101+AD105+AD109+AD113</f>
        <v/>
      </c>
      <c r="AE118">
        <f>AE93+AE97+AE101+AE105+AE109+AE113</f>
        <v/>
      </c>
      <c r="AF118">
        <f>AF93+AF97+AF101+AF105+AF109+AF113</f>
        <v/>
      </c>
      <c r="AG118">
        <f>AG93+AG97+AG101+AG105+AG109+AG113</f>
        <v/>
      </c>
    </row>
    <row r="119" hidden="1" outlineLevel="1">
      <c r="A119" s="60" t="inlineStr">
        <is>
          <t>(phụ trợ) ASBR</t>
        </is>
      </c>
      <c r="C119">
        <f>C95+C99+C103+C107+C111+C115</f>
        <v/>
      </c>
      <c r="D119">
        <f>D95+D99+D103+D107+D111+D115</f>
        <v/>
      </c>
      <c r="E119">
        <f>E95+E99+E103+E107+E111+E115</f>
        <v/>
      </c>
      <c r="F119">
        <f>F95+F99+F103+F107+F111+F115</f>
        <v/>
      </c>
      <c r="G119">
        <f>G95+G99+G103+G107+G111+G115</f>
        <v/>
      </c>
      <c r="H119">
        <f>H95+H99+H103+H107+H111+H115</f>
        <v/>
      </c>
      <c r="I119">
        <f>I95+I99+I103+I107+I111+I115</f>
        <v/>
      </c>
      <c r="J119">
        <f>J95+J99+J103+J107+J111+J115</f>
        <v/>
      </c>
      <c r="K119">
        <f>K95+K99+K103+K107+K111+K115</f>
        <v/>
      </c>
      <c r="L119">
        <f>L95+L99+L103+L107+L111+L115</f>
        <v/>
      </c>
      <c r="M119">
        <f>M95+M99+M103+M107+M111+M115</f>
        <v/>
      </c>
      <c r="N119">
        <f>N95+N99+N103+N107+N111+N115</f>
        <v/>
      </c>
      <c r="O119">
        <f>O95+O99+O103+O107+O111+O115</f>
        <v/>
      </c>
      <c r="P119">
        <f>P95+P99+P103+P107+P111+P115</f>
        <v/>
      </c>
      <c r="Q119">
        <f>Q95+Q99+Q103+Q107+Q111+Q115</f>
        <v/>
      </c>
      <c r="R119">
        <f>R95+R99+R103+R107+R111+R115</f>
        <v/>
      </c>
      <c r="S119">
        <f>S95+S99+S103+S107+S111+S115</f>
        <v/>
      </c>
      <c r="T119">
        <f>T95+T99+T103+T107+T111+T115</f>
        <v/>
      </c>
      <c r="U119">
        <f>U95+U99+U103+U107+U111+U115</f>
        <v/>
      </c>
      <c r="V119">
        <f>V95+V99+V103+V107+V111+V115</f>
        <v/>
      </c>
      <c r="W119">
        <f>W95+W99+W103+W107+W111+W115</f>
        <v/>
      </c>
      <c r="X119">
        <f>X95+X99+X103+X107+X111+X115</f>
        <v/>
      </c>
      <c r="Y119">
        <f>Y95+Y99+Y103+Y107+Y111+Y115</f>
        <v/>
      </c>
      <c r="Z119">
        <f>Z95+Z99+Z103+Z107+Z111+Z115</f>
        <v/>
      </c>
      <c r="AA119">
        <f>AA95+AA99+AA103+AA107+AA111+AA115</f>
        <v/>
      </c>
      <c r="AB119">
        <f>AB95+AB99+AB103+AB107+AB111+AB115</f>
        <v/>
      </c>
      <c r="AC119">
        <f>AC95+AC99+AC103+AC107+AC111+AC115</f>
        <v/>
      </c>
      <c r="AD119">
        <f>AD95+AD99+AD103+AD107+AD111+AD115</f>
        <v/>
      </c>
      <c r="AE119">
        <f>AE95+AE99+AE103+AE107+AE111+AE115</f>
        <v/>
      </c>
      <c r="AF119">
        <f>AF95+AF99+AF103+AF107+AF111+AF115</f>
        <v/>
      </c>
      <c r="AG119">
        <f>AG95+AG99+AG103+AG107+AG111+AG115</f>
        <v/>
      </c>
    </row>
    <row r="120" hidden="1" outlineLevel="1">
      <c r="A120" s="60" t="inlineStr">
        <is>
          <t>(phụ trợ) YTL</t>
        </is>
      </c>
      <c r="C120">
        <f>IF(C37="","",IFERROR(LEFT(C37,FIND("/",C37&amp;"/")-1)*1,IFERROR(SUBSTITUTE(LEFT(C37,FIND("/",C37&amp;"/")-1),".",",")*1,IFERROR(SUBSTITUTE(LEFT(C37,FIND("/",C37&amp;"/")-1),",",".")*1,0))))</f>
        <v/>
      </c>
      <c r="D120">
        <f>IF(D37="","",IFERROR(LEFT(D37,FIND("/",D37&amp;"/")-1)*1,IFERROR(SUBSTITUTE(LEFT(D37,FIND("/",D37&amp;"/")-1),".",",")*1,IFERROR(SUBSTITUTE(LEFT(D37,FIND("/",D37&amp;"/")-1),",",".")*1,0))))</f>
        <v/>
      </c>
      <c r="E120">
        <f>IF(E37="","",IFERROR(LEFT(E37,FIND("/",E37&amp;"/")-1)*1,IFERROR(SUBSTITUTE(LEFT(E37,FIND("/",E37&amp;"/")-1),".",",")*1,IFERROR(SUBSTITUTE(LEFT(E37,FIND("/",E37&amp;"/")-1),",",".")*1,0))))</f>
        <v/>
      </c>
      <c r="F120">
        <f>IF(F37="","",IFERROR(LEFT(F37,FIND("/",F37&amp;"/")-1)*1,IFERROR(SUBSTITUTE(LEFT(F37,FIND("/",F37&amp;"/")-1),".",",")*1,IFERROR(SUBSTITUTE(LEFT(F37,FIND("/",F37&amp;"/")-1),",",".")*1,0))))</f>
        <v/>
      </c>
      <c r="G120">
        <f>IF(G37="","",IFERROR(LEFT(G37,FIND("/",G37&amp;"/")-1)*1,IFERROR(SUBSTITUTE(LEFT(G37,FIND("/",G37&amp;"/")-1),".",",")*1,IFERROR(SUBSTITUTE(LEFT(G37,FIND("/",G37&amp;"/")-1),",",".")*1,0))))</f>
        <v/>
      </c>
      <c r="H120">
        <f>IF(H37="","",IFERROR(LEFT(H37,FIND("/",H37&amp;"/")-1)*1,IFERROR(SUBSTITUTE(LEFT(H37,FIND("/",H37&amp;"/")-1),".",",")*1,IFERROR(SUBSTITUTE(LEFT(H37,FIND("/",H37&amp;"/")-1),",",".")*1,0))))</f>
        <v/>
      </c>
      <c r="I120">
        <f>IF(I37="","",IFERROR(LEFT(I37,FIND("/",I37&amp;"/")-1)*1,IFERROR(SUBSTITUTE(LEFT(I37,FIND("/",I37&amp;"/")-1),".",",")*1,IFERROR(SUBSTITUTE(LEFT(I37,FIND("/",I37&amp;"/")-1),",",".")*1,0))))</f>
        <v/>
      </c>
      <c r="J120">
        <f>IF(J37="","",IFERROR(LEFT(J37,FIND("/",J37&amp;"/")-1)*1,IFERROR(SUBSTITUTE(LEFT(J37,FIND("/",J37&amp;"/")-1),".",",")*1,IFERROR(SUBSTITUTE(LEFT(J37,FIND("/",J37&amp;"/")-1),",",".")*1,0))))</f>
        <v/>
      </c>
      <c r="K120">
        <f>IF(K37="","",IFERROR(LEFT(K37,FIND("/",K37&amp;"/")-1)*1,IFERROR(SUBSTITUTE(LEFT(K37,FIND("/",K37&amp;"/")-1),".",",")*1,IFERROR(SUBSTITUTE(LEFT(K37,FIND("/",K37&amp;"/")-1),",",".")*1,0))))</f>
        <v/>
      </c>
      <c r="L120">
        <f>IF(L37="","",IFERROR(LEFT(L37,FIND("/",L37&amp;"/")-1)*1,IFERROR(SUBSTITUTE(LEFT(L37,FIND("/",L37&amp;"/")-1),".",",")*1,IFERROR(SUBSTITUTE(LEFT(L37,FIND("/",L37&amp;"/")-1),",",".")*1,0))))</f>
        <v/>
      </c>
      <c r="M120">
        <f>IF(M37="","",IFERROR(LEFT(M37,FIND("/",M37&amp;"/")-1)*1,IFERROR(SUBSTITUTE(LEFT(M37,FIND("/",M37&amp;"/")-1),".",",")*1,IFERROR(SUBSTITUTE(LEFT(M37,FIND("/",M37&amp;"/")-1),",",".")*1,0))))</f>
        <v/>
      </c>
      <c r="N120">
        <f>IF(N37="","",IFERROR(LEFT(N37,FIND("/",N37&amp;"/")-1)*1,IFERROR(SUBSTITUTE(LEFT(N37,FIND("/",N37&amp;"/")-1),".",",")*1,IFERROR(SUBSTITUTE(LEFT(N37,FIND("/",N37&amp;"/")-1),",",".")*1,0))))</f>
        <v/>
      </c>
      <c r="O120">
        <f>IF(O37="","",IFERROR(LEFT(O37,FIND("/",O37&amp;"/")-1)*1,IFERROR(SUBSTITUTE(LEFT(O37,FIND("/",O37&amp;"/")-1),".",",")*1,IFERROR(SUBSTITUTE(LEFT(O37,FIND("/",O37&amp;"/")-1),",",".")*1,0))))</f>
        <v/>
      </c>
      <c r="P120">
        <f>IF(P37="","",IFERROR(LEFT(P37,FIND("/",P37&amp;"/")-1)*1,IFERROR(SUBSTITUTE(LEFT(P37,FIND("/",P37&amp;"/")-1),".",",")*1,IFERROR(SUBSTITUTE(LEFT(P37,FIND("/",P37&amp;"/")-1),",",".")*1,0))))</f>
        <v/>
      </c>
      <c r="Q120">
        <f>IF(Q37="","",IFERROR(LEFT(Q37,FIND("/",Q37&amp;"/")-1)*1,IFERROR(SUBSTITUTE(LEFT(Q37,FIND("/",Q37&amp;"/")-1),".",",")*1,IFERROR(SUBSTITUTE(LEFT(Q37,FIND("/",Q37&amp;"/")-1),",",".")*1,0))))</f>
        <v/>
      </c>
      <c r="R120">
        <f>IF(R37="","",IFERROR(LEFT(R37,FIND("/",R37&amp;"/")-1)*1,IFERROR(SUBSTITUTE(LEFT(R37,FIND("/",R37&amp;"/")-1),".",",")*1,IFERROR(SUBSTITUTE(LEFT(R37,FIND("/",R37&amp;"/")-1),",",".")*1,0))))</f>
        <v/>
      </c>
      <c r="S120">
        <f>IF(S37="","",IFERROR(LEFT(S37,FIND("/",S37&amp;"/")-1)*1,IFERROR(SUBSTITUTE(LEFT(S37,FIND("/",S37&amp;"/")-1),".",",")*1,IFERROR(SUBSTITUTE(LEFT(S37,FIND("/",S37&amp;"/")-1),",",".")*1,0))))</f>
        <v/>
      </c>
      <c r="T120">
        <f>IF(T37="","",IFERROR(LEFT(T37,FIND("/",T37&amp;"/")-1)*1,IFERROR(SUBSTITUTE(LEFT(T37,FIND("/",T37&amp;"/")-1),".",",")*1,IFERROR(SUBSTITUTE(LEFT(T37,FIND("/",T37&amp;"/")-1),",",".")*1,0))))</f>
        <v/>
      </c>
      <c r="U120">
        <f>IF(U37="","",IFERROR(LEFT(U37,FIND("/",U37&amp;"/")-1)*1,IFERROR(SUBSTITUTE(LEFT(U37,FIND("/",U37&amp;"/")-1),".",",")*1,IFERROR(SUBSTITUTE(LEFT(U37,FIND("/",U37&amp;"/")-1),",",".")*1,0))))</f>
        <v/>
      </c>
      <c r="V120">
        <f>IF(V37="","",IFERROR(LEFT(V37,FIND("/",V37&amp;"/")-1)*1,IFERROR(SUBSTITUTE(LEFT(V37,FIND("/",V37&amp;"/")-1),".",",")*1,IFERROR(SUBSTITUTE(LEFT(V37,FIND("/",V37&amp;"/")-1),",",".")*1,0))))</f>
        <v/>
      </c>
      <c r="W120">
        <f>IF(W37="","",IFERROR(LEFT(W37,FIND("/",W37&amp;"/")-1)*1,IFERROR(SUBSTITUTE(LEFT(W37,FIND("/",W37&amp;"/")-1),".",",")*1,IFERROR(SUBSTITUTE(LEFT(W37,FIND("/",W37&amp;"/")-1),",",".")*1,0))))</f>
        <v/>
      </c>
      <c r="X120">
        <f>IF(X37="","",IFERROR(LEFT(X37,FIND("/",X37&amp;"/")-1)*1,IFERROR(SUBSTITUTE(LEFT(X37,FIND("/",X37&amp;"/")-1),".",",")*1,IFERROR(SUBSTITUTE(LEFT(X37,FIND("/",X37&amp;"/")-1),",",".")*1,0))))</f>
        <v/>
      </c>
      <c r="Y120">
        <f>IF(Y37="","",IFERROR(LEFT(Y37,FIND("/",Y37&amp;"/")-1)*1,IFERROR(SUBSTITUTE(LEFT(Y37,FIND("/",Y37&amp;"/")-1),".",",")*1,IFERROR(SUBSTITUTE(LEFT(Y37,FIND("/",Y37&amp;"/")-1),",",".")*1,0))))</f>
        <v/>
      </c>
      <c r="Z120">
        <f>IF(Z37="","",IFERROR(LEFT(Z37,FIND("/",Z37&amp;"/")-1)*1,IFERROR(SUBSTITUTE(LEFT(Z37,FIND("/",Z37&amp;"/")-1),".",",")*1,IFERROR(SUBSTITUTE(LEFT(Z37,FIND("/",Z37&amp;"/")-1),",",".")*1,0))))</f>
        <v/>
      </c>
      <c r="AA120">
        <f>IF(AA37="","",IFERROR(LEFT(AA37,FIND("/",AA37&amp;"/")-1)*1,IFERROR(SUBSTITUTE(LEFT(AA37,FIND("/",AA37&amp;"/")-1),".",",")*1,IFERROR(SUBSTITUTE(LEFT(AA37,FIND("/",AA37&amp;"/")-1),",",".")*1,0))))</f>
        <v/>
      </c>
      <c r="AB120">
        <f>IF(AB37="","",IFERROR(LEFT(AB37,FIND("/",AB37&amp;"/")-1)*1,IFERROR(SUBSTITUTE(LEFT(AB37,FIND("/",AB37&amp;"/")-1),".",",")*1,IFERROR(SUBSTITUTE(LEFT(AB37,FIND("/",AB37&amp;"/")-1),",",".")*1,0))))</f>
        <v/>
      </c>
      <c r="AC120">
        <f>IF(AC37="","",IFERROR(LEFT(AC37,FIND("/",AC37&amp;"/")-1)*1,IFERROR(SUBSTITUTE(LEFT(AC37,FIND("/",AC37&amp;"/")-1),".",",")*1,IFERROR(SUBSTITUTE(LEFT(AC37,FIND("/",AC37&amp;"/")-1),",",".")*1,0))))</f>
        <v/>
      </c>
      <c r="AD120">
        <f>IF(AD37="","",IFERROR(LEFT(AD37,FIND("/",AD37&amp;"/")-1)*1,IFERROR(SUBSTITUTE(LEFT(AD37,FIND("/",AD37&amp;"/")-1),".",",")*1,IFERROR(SUBSTITUTE(LEFT(AD37,FIND("/",AD37&amp;"/")-1),",",".")*1,0))))</f>
        <v/>
      </c>
      <c r="AE120">
        <f>IF(AE37="","",IFERROR(LEFT(AE37,FIND("/",AE37&amp;"/")-1)*1,IFERROR(SUBSTITUTE(LEFT(AE37,FIND("/",AE37&amp;"/")-1),".",",")*1,IFERROR(SUBSTITUTE(LEFT(AE37,FIND("/",AE37&amp;"/")-1),",",".")*1,0))))</f>
        <v/>
      </c>
      <c r="AF120">
        <f>IF(AF37="","",IFERROR(LEFT(AF37,FIND("/",AF37&amp;"/")-1)*1,IFERROR(SUBSTITUTE(LEFT(AF37,FIND("/",AF37&amp;"/")-1),".",",")*1,IFERROR(SUBSTITUTE(LEFT(AF37,FIND("/",AF37&amp;"/")-1),",",".")*1,0))))</f>
        <v/>
      </c>
      <c r="AG120">
        <f>IF(AG37="","",IFERROR(LEFT(AG37,FIND("/",AG37&amp;"/")-1)*1,IFERROR(SUBSTITUTE(LEFT(AG37,FIND("/",AG37&amp;"/")-1),".",",")*1,IFERROR(SUBSTITUTE(LEFT(AG37,FIND("/",AG37&amp;"/")-1),",",".")*1,0))))</f>
        <v/>
      </c>
    </row>
    <row r="121" hidden="1" outlineLevel="1">
      <c r="A121" s="60" t="inlineStr">
        <is>
          <t>(phụ trợ) YTR</t>
        </is>
      </c>
      <c r="C121">
        <f>IF(C37="","",IF(ISNUMBER(FIND("/",C37)),IFERROR(MID(C37,FIND("/",C37)+1,20)*1,IFERROR(SUBSTITUTE(MID(C37,FIND("/",C37)+1,20),".",",")*1,IFERROR(SUBSTITUTE(MID(C37,FIND("/",C37)+1,20),",",".")*1,0))),C120))</f>
        <v/>
      </c>
      <c r="D121">
        <f>IF(D37="","",IF(ISNUMBER(FIND("/",D37)),IFERROR(MID(D37,FIND("/",D37)+1,20)*1,IFERROR(SUBSTITUTE(MID(D37,FIND("/",D37)+1,20),".",",")*1,IFERROR(SUBSTITUTE(MID(D37,FIND("/",D37)+1,20),",",".")*1,0))),D120))</f>
        <v/>
      </c>
      <c r="E121">
        <f>IF(E37="","",IF(ISNUMBER(FIND("/",E37)),IFERROR(MID(E37,FIND("/",E37)+1,20)*1,IFERROR(SUBSTITUTE(MID(E37,FIND("/",E37)+1,20),".",",")*1,IFERROR(SUBSTITUTE(MID(E37,FIND("/",E37)+1,20),",",".")*1,0))),E120))</f>
        <v/>
      </c>
      <c r="F121">
        <f>IF(F37="","",IF(ISNUMBER(FIND("/",F37)),IFERROR(MID(F37,FIND("/",F37)+1,20)*1,IFERROR(SUBSTITUTE(MID(F37,FIND("/",F37)+1,20),".",",")*1,IFERROR(SUBSTITUTE(MID(F37,FIND("/",F37)+1,20),",",".")*1,0))),F120))</f>
        <v/>
      </c>
      <c r="G121">
        <f>IF(G37="","",IF(ISNUMBER(FIND("/",G37)),IFERROR(MID(G37,FIND("/",G37)+1,20)*1,IFERROR(SUBSTITUTE(MID(G37,FIND("/",G37)+1,20),".",",")*1,IFERROR(SUBSTITUTE(MID(G37,FIND("/",G37)+1,20),",",".")*1,0))),G120))</f>
        <v/>
      </c>
      <c r="H121">
        <f>IF(H37="","",IF(ISNUMBER(FIND("/",H37)),IFERROR(MID(H37,FIND("/",H37)+1,20)*1,IFERROR(SUBSTITUTE(MID(H37,FIND("/",H37)+1,20),".",",")*1,IFERROR(SUBSTITUTE(MID(H37,FIND("/",H37)+1,20),",",".")*1,0))),H120))</f>
        <v/>
      </c>
      <c r="I121">
        <f>IF(I37="","",IF(ISNUMBER(FIND("/",I37)),IFERROR(MID(I37,FIND("/",I37)+1,20)*1,IFERROR(SUBSTITUTE(MID(I37,FIND("/",I37)+1,20),".",",")*1,IFERROR(SUBSTITUTE(MID(I37,FIND("/",I37)+1,20),",",".")*1,0))),I120))</f>
        <v/>
      </c>
      <c r="J121">
        <f>IF(J37="","",IF(ISNUMBER(FIND("/",J37)),IFERROR(MID(J37,FIND("/",J37)+1,20)*1,IFERROR(SUBSTITUTE(MID(J37,FIND("/",J37)+1,20),".",",")*1,IFERROR(SUBSTITUTE(MID(J37,FIND("/",J37)+1,20),",",".")*1,0))),J120))</f>
        <v/>
      </c>
      <c r="K121">
        <f>IF(K37="","",IF(ISNUMBER(FIND("/",K37)),IFERROR(MID(K37,FIND("/",K37)+1,20)*1,IFERROR(SUBSTITUTE(MID(K37,FIND("/",K37)+1,20),".",",")*1,IFERROR(SUBSTITUTE(MID(K37,FIND("/",K37)+1,20),",",".")*1,0))),K120))</f>
        <v/>
      </c>
      <c r="L121">
        <f>IF(L37="","",IF(ISNUMBER(FIND("/",L37)),IFERROR(MID(L37,FIND("/",L37)+1,20)*1,IFERROR(SUBSTITUTE(MID(L37,FIND("/",L37)+1,20),".",",")*1,IFERROR(SUBSTITUTE(MID(L37,FIND("/",L37)+1,20),",",".")*1,0))),L120))</f>
        <v/>
      </c>
      <c r="M121">
        <f>IF(M37="","",IF(ISNUMBER(FIND("/",M37)),IFERROR(MID(M37,FIND("/",M37)+1,20)*1,IFERROR(SUBSTITUTE(MID(M37,FIND("/",M37)+1,20),".",",")*1,IFERROR(SUBSTITUTE(MID(M37,FIND("/",M37)+1,20),",",".")*1,0))),M120))</f>
        <v/>
      </c>
      <c r="N121">
        <f>IF(N37="","",IF(ISNUMBER(FIND("/",N37)),IFERROR(MID(N37,FIND("/",N37)+1,20)*1,IFERROR(SUBSTITUTE(MID(N37,FIND("/",N37)+1,20),".",",")*1,IFERROR(SUBSTITUTE(MID(N37,FIND("/",N37)+1,20),",",".")*1,0))),N120))</f>
        <v/>
      </c>
      <c r="O121">
        <f>IF(O37="","",IF(ISNUMBER(FIND("/",O37)),IFERROR(MID(O37,FIND("/",O37)+1,20)*1,IFERROR(SUBSTITUTE(MID(O37,FIND("/",O37)+1,20),".",",")*1,IFERROR(SUBSTITUTE(MID(O37,FIND("/",O37)+1,20),",",".")*1,0))),O120))</f>
        <v/>
      </c>
      <c r="P121">
        <f>IF(P37="","",IF(ISNUMBER(FIND("/",P37)),IFERROR(MID(P37,FIND("/",P37)+1,20)*1,IFERROR(SUBSTITUTE(MID(P37,FIND("/",P37)+1,20),".",",")*1,IFERROR(SUBSTITUTE(MID(P37,FIND("/",P37)+1,20),",",".")*1,0))),P120))</f>
        <v/>
      </c>
      <c r="Q121">
        <f>IF(Q37="","",IF(ISNUMBER(FIND("/",Q37)),IFERROR(MID(Q37,FIND("/",Q37)+1,20)*1,IFERROR(SUBSTITUTE(MID(Q37,FIND("/",Q37)+1,20),".",",")*1,IFERROR(SUBSTITUTE(MID(Q37,FIND("/",Q37)+1,20),",",".")*1,0))),Q120))</f>
        <v/>
      </c>
      <c r="R121">
        <f>IF(R37="","",IF(ISNUMBER(FIND("/",R37)),IFERROR(MID(R37,FIND("/",R37)+1,20)*1,IFERROR(SUBSTITUTE(MID(R37,FIND("/",R37)+1,20),".",",")*1,IFERROR(SUBSTITUTE(MID(R37,FIND("/",R37)+1,20),",",".")*1,0))),R120))</f>
        <v/>
      </c>
      <c r="S121">
        <f>IF(S37="","",IF(ISNUMBER(FIND("/",S37)),IFERROR(MID(S37,FIND("/",S37)+1,20)*1,IFERROR(SUBSTITUTE(MID(S37,FIND("/",S37)+1,20),".",",")*1,IFERROR(SUBSTITUTE(MID(S37,FIND("/",S37)+1,20),",",".")*1,0))),S120))</f>
        <v/>
      </c>
      <c r="T121">
        <f>IF(T37="","",IF(ISNUMBER(FIND("/",T37)),IFERROR(MID(T37,FIND("/",T37)+1,20)*1,IFERROR(SUBSTITUTE(MID(T37,FIND("/",T37)+1,20),".",",")*1,IFERROR(SUBSTITUTE(MID(T37,FIND("/",T37)+1,20),",",".")*1,0))),T120))</f>
        <v/>
      </c>
      <c r="U121">
        <f>IF(U37="","",IF(ISNUMBER(FIND("/",U37)),IFERROR(MID(U37,FIND("/",U37)+1,20)*1,IFERROR(SUBSTITUTE(MID(U37,FIND("/",U37)+1,20),".",",")*1,IFERROR(SUBSTITUTE(MID(U37,FIND("/",U37)+1,20),",",".")*1,0))),U120))</f>
        <v/>
      </c>
      <c r="V121">
        <f>IF(V37="","",IF(ISNUMBER(FIND("/",V37)),IFERROR(MID(V37,FIND("/",V37)+1,20)*1,IFERROR(SUBSTITUTE(MID(V37,FIND("/",V37)+1,20),".",",")*1,IFERROR(SUBSTITUTE(MID(V37,FIND("/",V37)+1,20),",",".")*1,0))),V120))</f>
        <v/>
      </c>
      <c r="W121">
        <f>IF(W37="","",IF(ISNUMBER(FIND("/",W37)),IFERROR(MID(W37,FIND("/",W37)+1,20)*1,IFERROR(SUBSTITUTE(MID(W37,FIND("/",W37)+1,20),".",",")*1,IFERROR(SUBSTITUTE(MID(W37,FIND("/",W37)+1,20),",",".")*1,0))),W120))</f>
        <v/>
      </c>
      <c r="X121">
        <f>IF(X37="","",IF(ISNUMBER(FIND("/",X37)),IFERROR(MID(X37,FIND("/",X37)+1,20)*1,IFERROR(SUBSTITUTE(MID(X37,FIND("/",X37)+1,20),".",",")*1,IFERROR(SUBSTITUTE(MID(X37,FIND("/",X37)+1,20),",",".")*1,0))),X120))</f>
        <v/>
      </c>
      <c r="Y121">
        <f>IF(Y37="","",IF(ISNUMBER(FIND("/",Y37)),IFERROR(MID(Y37,FIND("/",Y37)+1,20)*1,IFERROR(SUBSTITUTE(MID(Y37,FIND("/",Y37)+1,20),".",",")*1,IFERROR(SUBSTITUTE(MID(Y37,FIND("/",Y37)+1,20),",",".")*1,0))),Y120))</f>
        <v/>
      </c>
      <c r="Z121">
        <f>IF(Z37="","",IF(ISNUMBER(FIND("/",Z37)),IFERROR(MID(Z37,FIND("/",Z37)+1,20)*1,IFERROR(SUBSTITUTE(MID(Z37,FIND("/",Z37)+1,20),".",",")*1,IFERROR(SUBSTITUTE(MID(Z37,FIND("/",Z37)+1,20),",",".")*1,0))),Z120))</f>
        <v/>
      </c>
      <c r="AA121">
        <f>IF(AA37="","",IF(ISNUMBER(FIND("/",AA37)),IFERROR(MID(AA37,FIND("/",AA37)+1,20)*1,IFERROR(SUBSTITUTE(MID(AA37,FIND("/",AA37)+1,20),".",",")*1,IFERROR(SUBSTITUTE(MID(AA37,FIND("/",AA37)+1,20),",",".")*1,0))),AA120))</f>
        <v/>
      </c>
      <c r="AB121">
        <f>IF(AB37="","",IF(ISNUMBER(FIND("/",AB37)),IFERROR(MID(AB37,FIND("/",AB37)+1,20)*1,IFERROR(SUBSTITUTE(MID(AB37,FIND("/",AB37)+1,20),".",",")*1,IFERROR(SUBSTITUTE(MID(AB37,FIND("/",AB37)+1,20),",",".")*1,0))),AB120))</f>
        <v/>
      </c>
      <c r="AC121">
        <f>IF(AC37="","",IF(ISNUMBER(FIND("/",AC37)),IFERROR(MID(AC37,FIND("/",AC37)+1,20)*1,IFERROR(SUBSTITUTE(MID(AC37,FIND("/",AC37)+1,20),".",",")*1,IFERROR(SUBSTITUTE(MID(AC37,FIND("/",AC37)+1,20),",",".")*1,0))),AC120))</f>
        <v/>
      </c>
      <c r="AD121">
        <f>IF(AD37="","",IF(ISNUMBER(FIND("/",AD37)),IFERROR(MID(AD37,FIND("/",AD37)+1,20)*1,IFERROR(SUBSTITUTE(MID(AD37,FIND("/",AD37)+1,20),".",",")*1,IFERROR(SUBSTITUTE(MID(AD37,FIND("/",AD37)+1,20),",",".")*1,0))),AD120))</f>
        <v/>
      </c>
      <c r="AE121">
        <f>IF(AE37="","",IF(ISNUMBER(FIND("/",AE37)),IFERROR(MID(AE37,FIND("/",AE37)+1,20)*1,IFERROR(SUBSTITUTE(MID(AE37,FIND("/",AE37)+1,20),".",",")*1,IFERROR(SUBSTITUTE(MID(AE37,FIND("/",AE37)+1,20),",",".")*1,0))),AE120))</f>
        <v/>
      </c>
      <c r="AF121">
        <f>IF(AF37="","",IF(ISNUMBER(FIND("/",AF37)),IFERROR(MID(AF37,FIND("/",AF37)+1,20)*1,IFERROR(SUBSTITUTE(MID(AF37,FIND("/",AF37)+1,20),".",",")*1,IFERROR(SUBSTITUTE(MID(AF37,FIND("/",AF37)+1,20),",",".")*1,0))),AF120))</f>
        <v/>
      </c>
      <c r="AG121">
        <f>IF(AG37="","",IF(ISNUMBER(FIND("/",AG37)),IFERROR(MID(AG37,FIND("/",AG37)+1,20)*1,IFERROR(SUBSTITUTE(MID(AG37,FIND("/",AG37)+1,20),".",",")*1,IFERROR(SUBSTITUTE(MID(AG37,FIND("/",AG37)+1,20),",",".")*1,0))),AG120))</f>
        <v/>
      </c>
    </row>
    <row r="122" hidden="1" outlineLevel="1">
      <c r="A122" s="60" t="inlineStr">
        <is>
          <t>(phụ trợ) YBL</t>
        </is>
      </c>
      <c r="C122">
        <f>IF(C40="","",IFERROR(LEFT(C40,FIND("/",C40&amp;"/")-1)*1,IFERROR(SUBSTITUTE(LEFT(C40,FIND("/",C40&amp;"/")-1),".",",")*1,IFERROR(SUBSTITUTE(LEFT(C40,FIND("/",C40&amp;"/")-1),",",".")*1,0))))</f>
        <v/>
      </c>
      <c r="D122">
        <f>IF(D40="","",IFERROR(LEFT(D40,FIND("/",D40&amp;"/")-1)*1,IFERROR(SUBSTITUTE(LEFT(D40,FIND("/",D40&amp;"/")-1),".",",")*1,IFERROR(SUBSTITUTE(LEFT(D40,FIND("/",D40&amp;"/")-1),",",".")*1,0))))</f>
        <v/>
      </c>
      <c r="E122">
        <f>IF(E40="","",IFERROR(LEFT(E40,FIND("/",E40&amp;"/")-1)*1,IFERROR(SUBSTITUTE(LEFT(E40,FIND("/",E40&amp;"/")-1),".",",")*1,IFERROR(SUBSTITUTE(LEFT(E40,FIND("/",E40&amp;"/")-1),",",".")*1,0))))</f>
        <v/>
      </c>
      <c r="F122">
        <f>IF(F40="","",IFERROR(LEFT(F40,FIND("/",F40&amp;"/")-1)*1,IFERROR(SUBSTITUTE(LEFT(F40,FIND("/",F40&amp;"/")-1),".",",")*1,IFERROR(SUBSTITUTE(LEFT(F40,FIND("/",F40&amp;"/")-1),",",".")*1,0))))</f>
        <v/>
      </c>
      <c r="G122">
        <f>IF(G40="","",IFERROR(LEFT(G40,FIND("/",G40&amp;"/")-1)*1,IFERROR(SUBSTITUTE(LEFT(G40,FIND("/",G40&amp;"/")-1),".",",")*1,IFERROR(SUBSTITUTE(LEFT(G40,FIND("/",G40&amp;"/")-1),",",".")*1,0))))</f>
        <v/>
      </c>
      <c r="H122">
        <f>IF(H40="","",IFERROR(LEFT(H40,FIND("/",H40&amp;"/")-1)*1,IFERROR(SUBSTITUTE(LEFT(H40,FIND("/",H40&amp;"/")-1),".",",")*1,IFERROR(SUBSTITUTE(LEFT(H40,FIND("/",H40&amp;"/")-1),",",".")*1,0))))</f>
        <v/>
      </c>
      <c r="I122">
        <f>IF(I40="","",IFERROR(LEFT(I40,FIND("/",I40&amp;"/")-1)*1,IFERROR(SUBSTITUTE(LEFT(I40,FIND("/",I40&amp;"/")-1),".",",")*1,IFERROR(SUBSTITUTE(LEFT(I40,FIND("/",I40&amp;"/")-1),",",".")*1,0))))</f>
        <v/>
      </c>
      <c r="J122">
        <f>IF(J40="","",IFERROR(LEFT(J40,FIND("/",J40&amp;"/")-1)*1,IFERROR(SUBSTITUTE(LEFT(J40,FIND("/",J40&amp;"/")-1),".",",")*1,IFERROR(SUBSTITUTE(LEFT(J40,FIND("/",J40&amp;"/")-1),",",".")*1,0))))</f>
        <v/>
      </c>
      <c r="K122">
        <f>IF(K40="","",IFERROR(LEFT(K40,FIND("/",K40&amp;"/")-1)*1,IFERROR(SUBSTITUTE(LEFT(K40,FIND("/",K40&amp;"/")-1),".",",")*1,IFERROR(SUBSTITUTE(LEFT(K40,FIND("/",K40&amp;"/")-1),",",".")*1,0))))</f>
        <v/>
      </c>
      <c r="L122">
        <f>IF(L40="","",IFERROR(LEFT(L40,FIND("/",L40&amp;"/")-1)*1,IFERROR(SUBSTITUTE(LEFT(L40,FIND("/",L40&amp;"/")-1),".",",")*1,IFERROR(SUBSTITUTE(LEFT(L40,FIND("/",L40&amp;"/")-1),",",".")*1,0))))</f>
        <v/>
      </c>
      <c r="M122">
        <f>IF(M40="","",IFERROR(LEFT(M40,FIND("/",M40&amp;"/")-1)*1,IFERROR(SUBSTITUTE(LEFT(M40,FIND("/",M40&amp;"/")-1),".",",")*1,IFERROR(SUBSTITUTE(LEFT(M40,FIND("/",M40&amp;"/")-1),",",".")*1,0))))</f>
        <v/>
      </c>
      <c r="N122">
        <f>IF(N40="","",IFERROR(LEFT(N40,FIND("/",N40&amp;"/")-1)*1,IFERROR(SUBSTITUTE(LEFT(N40,FIND("/",N40&amp;"/")-1),".",",")*1,IFERROR(SUBSTITUTE(LEFT(N40,FIND("/",N40&amp;"/")-1),",",".")*1,0))))</f>
        <v/>
      </c>
      <c r="O122">
        <f>IF(O40="","",IFERROR(LEFT(O40,FIND("/",O40&amp;"/")-1)*1,IFERROR(SUBSTITUTE(LEFT(O40,FIND("/",O40&amp;"/")-1),".",",")*1,IFERROR(SUBSTITUTE(LEFT(O40,FIND("/",O40&amp;"/")-1),",",".")*1,0))))</f>
        <v/>
      </c>
      <c r="P122">
        <f>IF(P40="","",IFERROR(LEFT(P40,FIND("/",P40&amp;"/")-1)*1,IFERROR(SUBSTITUTE(LEFT(P40,FIND("/",P40&amp;"/")-1),".",",")*1,IFERROR(SUBSTITUTE(LEFT(P40,FIND("/",P40&amp;"/")-1),",",".")*1,0))))</f>
        <v/>
      </c>
      <c r="Q122">
        <f>IF(Q40="","",IFERROR(LEFT(Q40,FIND("/",Q40&amp;"/")-1)*1,IFERROR(SUBSTITUTE(LEFT(Q40,FIND("/",Q40&amp;"/")-1),".",",")*1,IFERROR(SUBSTITUTE(LEFT(Q40,FIND("/",Q40&amp;"/")-1),",",".")*1,0))))</f>
        <v/>
      </c>
      <c r="R122">
        <f>IF(R40="","",IFERROR(LEFT(R40,FIND("/",R40&amp;"/")-1)*1,IFERROR(SUBSTITUTE(LEFT(R40,FIND("/",R40&amp;"/")-1),".",",")*1,IFERROR(SUBSTITUTE(LEFT(R40,FIND("/",R40&amp;"/")-1),",",".")*1,0))))</f>
        <v/>
      </c>
      <c r="S122">
        <f>IF(S40="","",IFERROR(LEFT(S40,FIND("/",S40&amp;"/")-1)*1,IFERROR(SUBSTITUTE(LEFT(S40,FIND("/",S40&amp;"/")-1),".",",")*1,IFERROR(SUBSTITUTE(LEFT(S40,FIND("/",S40&amp;"/")-1),",",".")*1,0))))</f>
        <v/>
      </c>
      <c r="T122">
        <f>IF(T40="","",IFERROR(LEFT(T40,FIND("/",T40&amp;"/")-1)*1,IFERROR(SUBSTITUTE(LEFT(T40,FIND("/",T40&amp;"/")-1),".",",")*1,IFERROR(SUBSTITUTE(LEFT(T40,FIND("/",T40&amp;"/")-1),",",".")*1,0))))</f>
        <v/>
      </c>
      <c r="U122">
        <f>IF(U40="","",IFERROR(LEFT(U40,FIND("/",U40&amp;"/")-1)*1,IFERROR(SUBSTITUTE(LEFT(U40,FIND("/",U40&amp;"/")-1),".",",")*1,IFERROR(SUBSTITUTE(LEFT(U40,FIND("/",U40&amp;"/")-1),",",".")*1,0))))</f>
        <v/>
      </c>
      <c r="V122">
        <f>IF(V40="","",IFERROR(LEFT(V40,FIND("/",V40&amp;"/")-1)*1,IFERROR(SUBSTITUTE(LEFT(V40,FIND("/",V40&amp;"/")-1),".",",")*1,IFERROR(SUBSTITUTE(LEFT(V40,FIND("/",V40&amp;"/")-1),",",".")*1,0))))</f>
        <v/>
      </c>
      <c r="W122">
        <f>IF(W40="","",IFERROR(LEFT(W40,FIND("/",W40&amp;"/")-1)*1,IFERROR(SUBSTITUTE(LEFT(W40,FIND("/",W40&amp;"/")-1),".",",")*1,IFERROR(SUBSTITUTE(LEFT(W40,FIND("/",W40&amp;"/")-1),",",".")*1,0))))</f>
        <v/>
      </c>
      <c r="X122">
        <f>IF(X40="","",IFERROR(LEFT(X40,FIND("/",X40&amp;"/")-1)*1,IFERROR(SUBSTITUTE(LEFT(X40,FIND("/",X40&amp;"/")-1),".",",")*1,IFERROR(SUBSTITUTE(LEFT(X40,FIND("/",X40&amp;"/")-1),",",".")*1,0))))</f>
        <v/>
      </c>
      <c r="Y122">
        <f>IF(Y40="","",IFERROR(LEFT(Y40,FIND("/",Y40&amp;"/")-1)*1,IFERROR(SUBSTITUTE(LEFT(Y40,FIND("/",Y40&amp;"/")-1),".",",")*1,IFERROR(SUBSTITUTE(LEFT(Y40,FIND("/",Y40&amp;"/")-1),",",".")*1,0))))</f>
        <v/>
      </c>
      <c r="Z122">
        <f>IF(Z40="","",IFERROR(LEFT(Z40,FIND("/",Z40&amp;"/")-1)*1,IFERROR(SUBSTITUTE(LEFT(Z40,FIND("/",Z40&amp;"/")-1),".",",")*1,IFERROR(SUBSTITUTE(LEFT(Z40,FIND("/",Z40&amp;"/")-1),",",".")*1,0))))</f>
        <v/>
      </c>
      <c r="AA122">
        <f>IF(AA40="","",IFERROR(LEFT(AA40,FIND("/",AA40&amp;"/")-1)*1,IFERROR(SUBSTITUTE(LEFT(AA40,FIND("/",AA40&amp;"/")-1),".",",")*1,IFERROR(SUBSTITUTE(LEFT(AA40,FIND("/",AA40&amp;"/")-1),",",".")*1,0))))</f>
        <v/>
      </c>
      <c r="AB122">
        <f>IF(AB40="","",IFERROR(LEFT(AB40,FIND("/",AB40&amp;"/")-1)*1,IFERROR(SUBSTITUTE(LEFT(AB40,FIND("/",AB40&amp;"/")-1),".",",")*1,IFERROR(SUBSTITUTE(LEFT(AB40,FIND("/",AB40&amp;"/")-1),",",".")*1,0))))</f>
        <v/>
      </c>
      <c r="AC122">
        <f>IF(AC40="","",IFERROR(LEFT(AC40,FIND("/",AC40&amp;"/")-1)*1,IFERROR(SUBSTITUTE(LEFT(AC40,FIND("/",AC40&amp;"/")-1),".",",")*1,IFERROR(SUBSTITUTE(LEFT(AC40,FIND("/",AC40&amp;"/")-1),",",".")*1,0))))</f>
        <v/>
      </c>
      <c r="AD122">
        <f>IF(AD40="","",IFERROR(LEFT(AD40,FIND("/",AD40&amp;"/")-1)*1,IFERROR(SUBSTITUTE(LEFT(AD40,FIND("/",AD40&amp;"/")-1),".",",")*1,IFERROR(SUBSTITUTE(LEFT(AD40,FIND("/",AD40&amp;"/")-1),",",".")*1,0))))</f>
        <v/>
      </c>
      <c r="AE122">
        <f>IF(AE40="","",IFERROR(LEFT(AE40,FIND("/",AE40&amp;"/")-1)*1,IFERROR(SUBSTITUTE(LEFT(AE40,FIND("/",AE40&amp;"/")-1),".",",")*1,IFERROR(SUBSTITUTE(LEFT(AE40,FIND("/",AE40&amp;"/")-1),",",".")*1,0))))</f>
        <v/>
      </c>
      <c r="AF122">
        <f>IF(AF40="","",IFERROR(LEFT(AF40,FIND("/",AF40&amp;"/")-1)*1,IFERROR(SUBSTITUTE(LEFT(AF40,FIND("/",AF40&amp;"/")-1),".",",")*1,IFERROR(SUBSTITUTE(LEFT(AF40,FIND("/",AF40&amp;"/")-1),",",".")*1,0))))</f>
        <v/>
      </c>
      <c r="AG122">
        <f>IF(AG40="","",IFERROR(LEFT(AG40,FIND("/",AG40&amp;"/")-1)*1,IFERROR(SUBSTITUTE(LEFT(AG40,FIND("/",AG40&amp;"/")-1),".",",")*1,IFERROR(SUBSTITUTE(LEFT(AG40,FIND("/",AG40&amp;"/")-1),",",".")*1,0))))</f>
        <v/>
      </c>
    </row>
    <row r="123" hidden="1" outlineLevel="1">
      <c r="A123" s="60" t="inlineStr">
        <is>
          <t>(phụ trợ) YBR</t>
        </is>
      </c>
      <c r="C123">
        <f>IF(C40="","",IF(ISNUMBER(FIND("/",C40)),IFERROR(MID(C40,FIND("/",C40)+1,20)*1,IFERROR(SUBSTITUTE(MID(C40,FIND("/",C40)+1,20),".",",")*1,IFERROR(SUBSTITUTE(MID(C40,FIND("/",C40)+1,20),",",".")*1,0))),C122))</f>
        <v/>
      </c>
      <c r="D123">
        <f>IF(D40="","",IF(ISNUMBER(FIND("/",D40)),IFERROR(MID(D40,FIND("/",D40)+1,20)*1,IFERROR(SUBSTITUTE(MID(D40,FIND("/",D40)+1,20),".",",")*1,IFERROR(SUBSTITUTE(MID(D40,FIND("/",D40)+1,20),",",".")*1,0))),D122))</f>
        <v/>
      </c>
      <c r="E123">
        <f>IF(E40="","",IF(ISNUMBER(FIND("/",E40)),IFERROR(MID(E40,FIND("/",E40)+1,20)*1,IFERROR(SUBSTITUTE(MID(E40,FIND("/",E40)+1,20),".",",")*1,IFERROR(SUBSTITUTE(MID(E40,FIND("/",E40)+1,20),",",".")*1,0))),E122))</f>
        <v/>
      </c>
      <c r="F123">
        <f>IF(F40="","",IF(ISNUMBER(FIND("/",F40)),IFERROR(MID(F40,FIND("/",F40)+1,20)*1,IFERROR(SUBSTITUTE(MID(F40,FIND("/",F40)+1,20),".",",")*1,IFERROR(SUBSTITUTE(MID(F40,FIND("/",F40)+1,20),",",".")*1,0))),F122))</f>
        <v/>
      </c>
      <c r="G123">
        <f>IF(G40="","",IF(ISNUMBER(FIND("/",G40)),IFERROR(MID(G40,FIND("/",G40)+1,20)*1,IFERROR(SUBSTITUTE(MID(G40,FIND("/",G40)+1,20),".",",")*1,IFERROR(SUBSTITUTE(MID(G40,FIND("/",G40)+1,20),",",".")*1,0))),G122))</f>
        <v/>
      </c>
      <c r="H123">
        <f>IF(H40="","",IF(ISNUMBER(FIND("/",H40)),IFERROR(MID(H40,FIND("/",H40)+1,20)*1,IFERROR(SUBSTITUTE(MID(H40,FIND("/",H40)+1,20),".",",")*1,IFERROR(SUBSTITUTE(MID(H40,FIND("/",H40)+1,20),",",".")*1,0))),H122))</f>
        <v/>
      </c>
      <c r="I123">
        <f>IF(I40="","",IF(ISNUMBER(FIND("/",I40)),IFERROR(MID(I40,FIND("/",I40)+1,20)*1,IFERROR(SUBSTITUTE(MID(I40,FIND("/",I40)+1,20),".",",")*1,IFERROR(SUBSTITUTE(MID(I40,FIND("/",I40)+1,20),",",".")*1,0))),I122))</f>
        <v/>
      </c>
      <c r="J123">
        <f>IF(J40="","",IF(ISNUMBER(FIND("/",J40)),IFERROR(MID(J40,FIND("/",J40)+1,20)*1,IFERROR(SUBSTITUTE(MID(J40,FIND("/",J40)+1,20),".",",")*1,IFERROR(SUBSTITUTE(MID(J40,FIND("/",J40)+1,20),",",".")*1,0))),J122))</f>
        <v/>
      </c>
      <c r="K123">
        <f>IF(K40="","",IF(ISNUMBER(FIND("/",K40)),IFERROR(MID(K40,FIND("/",K40)+1,20)*1,IFERROR(SUBSTITUTE(MID(K40,FIND("/",K40)+1,20),".",",")*1,IFERROR(SUBSTITUTE(MID(K40,FIND("/",K40)+1,20),",",".")*1,0))),K122))</f>
        <v/>
      </c>
      <c r="L123">
        <f>IF(L40="","",IF(ISNUMBER(FIND("/",L40)),IFERROR(MID(L40,FIND("/",L40)+1,20)*1,IFERROR(SUBSTITUTE(MID(L40,FIND("/",L40)+1,20),".",",")*1,IFERROR(SUBSTITUTE(MID(L40,FIND("/",L40)+1,20),",",".")*1,0))),L122))</f>
        <v/>
      </c>
      <c r="M123">
        <f>IF(M40="","",IF(ISNUMBER(FIND("/",M40)),IFERROR(MID(M40,FIND("/",M40)+1,20)*1,IFERROR(SUBSTITUTE(MID(M40,FIND("/",M40)+1,20),".",",")*1,IFERROR(SUBSTITUTE(MID(M40,FIND("/",M40)+1,20),",",".")*1,0))),M122))</f>
        <v/>
      </c>
      <c r="N123">
        <f>IF(N40="","",IF(ISNUMBER(FIND("/",N40)),IFERROR(MID(N40,FIND("/",N40)+1,20)*1,IFERROR(SUBSTITUTE(MID(N40,FIND("/",N40)+1,20),".",",")*1,IFERROR(SUBSTITUTE(MID(N40,FIND("/",N40)+1,20),",",".")*1,0))),N122))</f>
        <v/>
      </c>
      <c r="O123">
        <f>IF(O40="","",IF(ISNUMBER(FIND("/",O40)),IFERROR(MID(O40,FIND("/",O40)+1,20)*1,IFERROR(SUBSTITUTE(MID(O40,FIND("/",O40)+1,20),".",",")*1,IFERROR(SUBSTITUTE(MID(O40,FIND("/",O40)+1,20),",",".")*1,0))),O122))</f>
        <v/>
      </c>
      <c r="P123">
        <f>IF(P40="","",IF(ISNUMBER(FIND("/",P40)),IFERROR(MID(P40,FIND("/",P40)+1,20)*1,IFERROR(SUBSTITUTE(MID(P40,FIND("/",P40)+1,20),".",",")*1,IFERROR(SUBSTITUTE(MID(P40,FIND("/",P40)+1,20),",",".")*1,0))),P122))</f>
        <v/>
      </c>
      <c r="Q123">
        <f>IF(Q40="","",IF(ISNUMBER(FIND("/",Q40)),IFERROR(MID(Q40,FIND("/",Q40)+1,20)*1,IFERROR(SUBSTITUTE(MID(Q40,FIND("/",Q40)+1,20),".",",")*1,IFERROR(SUBSTITUTE(MID(Q40,FIND("/",Q40)+1,20),",",".")*1,0))),Q122))</f>
        <v/>
      </c>
      <c r="R123">
        <f>IF(R40="","",IF(ISNUMBER(FIND("/",R40)),IFERROR(MID(R40,FIND("/",R40)+1,20)*1,IFERROR(SUBSTITUTE(MID(R40,FIND("/",R40)+1,20),".",",")*1,IFERROR(SUBSTITUTE(MID(R40,FIND("/",R40)+1,20),",",".")*1,0))),R122))</f>
        <v/>
      </c>
      <c r="S123">
        <f>IF(S40="","",IF(ISNUMBER(FIND("/",S40)),IFERROR(MID(S40,FIND("/",S40)+1,20)*1,IFERROR(SUBSTITUTE(MID(S40,FIND("/",S40)+1,20),".",",")*1,IFERROR(SUBSTITUTE(MID(S40,FIND("/",S40)+1,20),",",".")*1,0))),S122))</f>
        <v/>
      </c>
      <c r="T123">
        <f>IF(T40="","",IF(ISNUMBER(FIND("/",T40)),IFERROR(MID(T40,FIND("/",T40)+1,20)*1,IFERROR(SUBSTITUTE(MID(T40,FIND("/",T40)+1,20),".",",")*1,IFERROR(SUBSTITUTE(MID(T40,FIND("/",T40)+1,20),",",".")*1,0))),T122))</f>
        <v/>
      </c>
      <c r="U123">
        <f>IF(U40="","",IF(ISNUMBER(FIND("/",U40)),IFERROR(MID(U40,FIND("/",U40)+1,20)*1,IFERROR(SUBSTITUTE(MID(U40,FIND("/",U40)+1,20),".",",")*1,IFERROR(SUBSTITUTE(MID(U40,FIND("/",U40)+1,20),",",".")*1,0))),U122))</f>
        <v/>
      </c>
      <c r="V123">
        <f>IF(V40="","",IF(ISNUMBER(FIND("/",V40)),IFERROR(MID(V40,FIND("/",V40)+1,20)*1,IFERROR(SUBSTITUTE(MID(V40,FIND("/",V40)+1,20),".",",")*1,IFERROR(SUBSTITUTE(MID(V40,FIND("/",V40)+1,20),",",".")*1,0))),V122))</f>
        <v/>
      </c>
      <c r="W123">
        <f>IF(W40="","",IF(ISNUMBER(FIND("/",W40)),IFERROR(MID(W40,FIND("/",W40)+1,20)*1,IFERROR(SUBSTITUTE(MID(W40,FIND("/",W40)+1,20),".",",")*1,IFERROR(SUBSTITUTE(MID(W40,FIND("/",W40)+1,20),",",".")*1,0))),W122))</f>
        <v/>
      </c>
      <c r="X123">
        <f>IF(X40="","",IF(ISNUMBER(FIND("/",X40)),IFERROR(MID(X40,FIND("/",X40)+1,20)*1,IFERROR(SUBSTITUTE(MID(X40,FIND("/",X40)+1,20),".",",")*1,IFERROR(SUBSTITUTE(MID(X40,FIND("/",X40)+1,20),",",".")*1,0))),X122))</f>
        <v/>
      </c>
      <c r="Y123">
        <f>IF(Y40="","",IF(ISNUMBER(FIND("/",Y40)),IFERROR(MID(Y40,FIND("/",Y40)+1,20)*1,IFERROR(SUBSTITUTE(MID(Y40,FIND("/",Y40)+1,20),".",",")*1,IFERROR(SUBSTITUTE(MID(Y40,FIND("/",Y40)+1,20),",",".")*1,0))),Y122))</f>
        <v/>
      </c>
      <c r="Z123">
        <f>IF(Z40="","",IF(ISNUMBER(FIND("/",Z40)),IFERROR(MID(Z40,FIND("/",Z40)+1,20)*1,IFERROR(SUBSTITUTE(MID(Z40,FIND("/",Z40)+1,20),".",",")*1,IFERROR(SUBSTITUTE(MID(Z40,FIND("/",Z40)+1,20),",",".")*1,0))),Z122))</f>
        <v/>
      </c>
      <c r="AA123">
        <f>IF(AA40="","",IF(ISNUMBER(FIND("/",AA40)),IFERROR(MID(AA40,FIND("/",AA40)+1,20)*1,IFERROR(SUBSTITUTE(MID(AA40,FIND("/",AA40)+1,20),".",",")*1,IFERROR(SUBSTITUTE(MID(AA40,FIND("/",AA40)+1,20),",",".")*1,0))),AA122))</f>
        <v/>
      </c>
      <c r="AB123">
        <f>IF(AB40="","",IF(ISNUMBER(FIND("/",AB40)),IFERROR(MID(AB40,FIND("/",AB40)+1,20)*1,IFERROR(SUBSTITUTE(MID(AB40,FIND("/",AB40)+1,20),".",",")*1,IFERROR(SUBSTITUTE(MID(AB40,FIND("/",AB40)+1,20),",",".")*1,0))),AB122))</f>
        <v/>
      </c>
      <c r="AC123">
        <f>IF(AC40="","",IF(ISNUMBER(FIND("/",AC40)),IFERROR(MID(AC40,FIND("/",AC40)+1,20)*1,IFERROR(SUBSTITUTE(MID(AC40,FIND("/",AC40)+1,20),".",",")*1,IFERROR(SUBSTITUTE(MID(AC40,FIND("/",AC40)+1,20),",",".")*1,0))),AC122))</f>
        <v/>
      </c>
      <c r="AD123">
        <f>IF(AD40="","",IF(ISNUMBER(FIND("/",AD40)),IFERROR(MID(AD40,FIND("/",AD40)+1,20)*1,IFERROR(SUBSTITUTE(MID(AD40,FIND("/",AD40)+1,20),".",",")*1,IFERROR(SUBSTITUTE(MID(AD40,FIND("/",AD40)+1,20),",",".")*1,0))),AD122))</f>
        <v/>
      </c>
      <c r="AE123">
        <f>IF(AE40="","",IF(ISNUMBER(FIND("/",AE40)),IFERROR(MID(AE40,FIND("/",AE40)+1,20)*1,IFERROR(SUBSTITUTE(MID(AE40,FIND("/",AE40)+1,20),".",",")*1,IFERROR(SUBSTITUTE(MID(AE40,FIND("/",AE40)+1,20),",",".")*1,0))),AE122))</f>
        <v/>
      </c>
      <c r="AF123">
        <f>IF(AF40="","",IF(ISNUMBER(FIND("/",AF40)),IFERROR(MID(AF40,FIND("/",AF40)+1,20)*1,IFERROR(SUBSTITUTE(MID(AF40,FIND("/",AF40)+1,20),".",",")*1,IFERROR(SUBSTITUTE(MID(AF40,FIND("/",AF40)+1,20),",",".")*1,0))),AF122))</f>
        <v/>
      </c>
      <c r="AG123">
        <f>IF(AG40="","",IF(ISNUMBER(FIND("/",AG40)),IFERROR(MID(AG40,FIND("/",AG40)+1,20)*1,IFERROR(SUBSTITUTE(MID(AG40,FIND("/",AG40)+1,20),".",",")*1,IFERROR(SUBSTITUTE(MID(AG40,FIND("/",AG40)+1,20),",",".")*1,0))),AG122))</f>
        <v/>
      </c>
    </row>
    <row r="124" hidden="1" outlineLevel="1">
      <c r="A124" s="60" t="inlineStr">
        <is>
          <t>(phụ trợ) BAD</t>
        </is>
      </c>
      <c r="C124">
        <f>((C13&lt;&gt;"")*(C13&lt;&gt;"-")*(C73+C75=0))+((C14&lt;&gt;"")*(C14&lt;&gt;"-")*(C77+C79=0))+((C15&lt;&gt;"")*(C15&lt;&gt;"-")*(C81+C83=0))+((C16&lt;&gt;"")*(C16&lt;&gt;"-")*(C85+C87=0))+((C17&lt;&gt;"")*(C17&lt;&gt;"-")*(C89+C91=0))+((C22&lt;&gt;"")*(C22&lt;&gt;"-")*(C97+C99=0))+((C21&lt;&gt;"")*(C21&lt;&gt;"-")*(C101+C103=0))+((C20&lt;&gt;"")*(C20&lt;&gt;"-")*(C105+C107=0))+((C19&lt;&gt;"")*(C19&lt;&gt;"-")*(C109+C111=0))+((C18&lt;&gt;"")*(C18&lt;&gt;"-")*(C113+C115=0))</f>
        <v/>
      </c>
      <c r="D124">
        <f>((D13&lt;&gt;"")*(D13&lt;&gt;"-")*(D73+D75=0))+((D14&lt;&gt;"")*(D14&lt;&gt;"-")*(D77+D79=0))+((D15&lt;&gt;"")*(D15&lt;&gt;"-")*(D81+D83=0))+((D16&lt;&gt;"")*(D16&lt;&gt;"-")*(D85+D87=0))+((D17&lt;&gt;"")*(D17&lt;&gt;"-")*(D89+D91=0))+((D22&lt;&gt;"")*(D22&lt;&gt;"-")*(D97+D99=0))+((D21&lt;&gt;"")*(D21&lt;&gt;"-")*(D101+D103=0))+((D20&lt;&gt;"")*(D20&lt;&gt;"-")*(D105+D107=0))+((D19&lt;&gt;"")*(D19&lt;&gt;"-")*(D109+D111=0))+((D18&lt;&gt;"")*(D18&lt;&gt;"-")*(D113+D115=0))</f>
        <v/>
      </c>
      <c r="E124">
        <f>((E13&lt;&gt;"")*(E13&lt;&gt;"-")*(E73+E75=0))+((E14&lt;&gt;"")*(E14&lt;&gt;"-")*(E77+E79=0))+((E15&lt;&gt;"")*(E15&lt;&gt;"-")*(E81+E83=0))+((E16&lt;&gt;"")*(E16&lt;&gt;"-")*(E85+E87=0))+((E17&lt;&gt;"")*(E17&lt;&gt;"-")*(E89+E91=0))+((E22&lt;&gt;"")*(E22&lt;&gt;"-")*(E97+E99=0))+((E21&lt;&gt;"")*(E21&lt;&gt;"-")*(E101+E103=0))+((E20&lt;&gt;"")*(E20&lt;&gt;"-")*(E105+E107=0))+((E19&lt;&gt;"")*(E19&lt;&gt;"-")*(E109+E111=0))+((E18&lt;&gt;"")*(E18&lt;&gt;"-")*(E113+E115=0))</f>
        <v/>
      </c>
      <c r="F124">
        <f>((F13&lt;&gt;"")*(F13&lt;&gt;"-")*(F73+F75=0))+((F14&lt;&gt;"")*(F14&lt;&gt;"-")*(F77+F79=0))+((F15&lt;&gt;"")*(F15&lt;&gt;"-")*(F81+F83=0))+((F16&lt;&gt;"")*(F16&lt;&gt;"-")*(F85+F87=0))+((F17&lt;&gt;"")*(F17&lt;&gt;"-")*(F89+F91=0))+((F22&lt;&gt;"")*(F22&lt;&gt;"-")*(F97+F99=0))+((F21&lt;&gt;"")*(F21&lt;&gt;"-")*(F101+F103=0))+((F20&lt;&gt;"")*(F20&lt;&gt;"-")*(F105+F107=0))+((F19&lt;&gt;"")*(F19&lt;&gt;"-")*(F109+F111=0))+((F18&lt;&gt;"")*(F18&lt;&gt;"-")*(F113+F115=0))</f>
        <v/>
      </c>
      <c r="G124">
        <f>((G13&lt;&gt;"")*(G13&lt;&gt;"-")*(G73+G75=0))+((G14&lt;&gt;"")*(G14&lt;&gt;"-")*(G77+G79=0))+((G15&lt;&gt;"")*(G15&lt;&gt;"-")*(G81+G83=0))+((G16&lt;&gt;"")*(G16&lt;&gt;"-")*(G85+G87=0))+((G17&lt;&gt;"")*(G17&lt;&gt;"-")*(G89+G91=0))+((G22&lt;&gt;"")*(G22&lt;&gt;"-")*(G97+G99=0))+((G21&lt;&gt;"")*(G21&lt;&gt;"-")*(G101+G103=0))+((G20&lt;&gt;"")*(G20&lt;&gt;"-")*(G105+G107=0))+((G19&lt;&gt;"")*(G19&lt;&gt;"-")*(G109+G111=0))+((G18&lt;&gt;"")*(G18&lt;&gt;"-")*(G113+G115=0))</f>
        <v/>
      </c>
      <c r="H124">
        <f>((H13&lt;&gt;"")*(H13&lt;&gt;"-")*(H73+H75=0))+((H14&lt;&gt;"")*(H14&lt;&gt;"-")*(H77+H79=0))+((H15&lt;&gt;"")*(H15&lt;&gt;"-")*(H81+H83=0))+((H16&lt;&gt;"")*(H16&lt;&gt;"-")*(H85+H87=0))+((H17&lt;&gt;"")*(H17&lt;&gt;"-")*(H89+H91=0))+((H22&lt;&gt;"")*(H22&lt;&gt;"-")*(H97+H99=0))+((H21&lt;&gt;"")*(H21&lt;&gt;"-")*(H101+H103=0))+((H20&lt;&gt;"")*(H20&lt;&gt;"-")*(H105+H107=0))+((H19&lt;&gt;"")*(H19&lt;&gt;"-")*(H109+H111=0))+((H18&lt;&gt;"")*(H18&lt;&gt;"-")*(H113+H115=0))</f>
        <v/>
      </c>
      <c r="I124">
        <f>((I13&lt;&gt;"")*(I13&lt;&gt;"-")*(I73+I75=0))+((I14&lt;&gt;"")*(I14&lt;&gt;"-")*(I77+I79=0))+((I15&lt;&gt;"")*(I15&lt;&gt;"-")*(I81+I83=0))+((I16&lt;&gt;"")*(I16&lt;&gt;"-")*(I85+I87=0))+((I17&lt;&gt;"")*(I17&lt;&gt;"-")*(I89+I91=0))+((I22&lt;&gt;"")*(I22&lt;&gt;"-")*(I97+I99=0))+((I21&lt;&gt;"")*(I21&lt;&gt;"-")*(I101+I103=0))+((I20&lt;&gt;"")*(I20&lt;&gt;"-")*(I105+I107=0))+((I19&lt;&gt;"")*(I19&lt;&gt;"-")*(I109+I111=0))+((I18&lt;&gt;"")*(I18&lt;&gt;"-")*(I113+I115=0))</f>
        <v/>
      </c>
      <c r="J124">
        <f>((J13&lt;&gt;"")*(J13&lt;&gt;"-")*(J73+J75=0))+((J14&lt;&gt;"")*(J14&lt;&gt;"-")*(J77+J79=0))+((J15&lt;&gt;"")*(J15&lt;&gt;"-")*(J81+J83=0))+((J16&lt;&gt;"")*(J16&lt;&gt;"-")*(J85+J87=0))+((J17&lt;&gt;"")*(J17&lt;&gt;"-")*(J89+J91=0))+((J22&lt;&gt;"")*(J22&lt;&gt;"-")*(J97+J99=0))+((J21&lt;&gt;"")*(J21&lt;&gt;"-")*(J101+J103=0))+((J20&lt;&gt;"")*(J20&lt;&gt;"-")*(J105+J107=0))+((J19&lt;&gt;"")*(J19&lt;&gt;"-")*(J109+J111=0))+((J18&lt;&gt;"")*(J18&lt;&gt;"-")*(J113+J115=0))</f>
        <v/>
      </c>
      <c r="K124">
        <f>((K13&lt;&gt;"")*(K13&lt;&gt;"-")*(K73+K75=0))+((K14&lt;&gt;"")*(K14&lt;&gt;"-")*(K77+K79=0))+((K15&lt;&gt;"")*(K15&lt;&gt;"-")*(K81+K83=0))+((K16&lt;&gt;"")*(K16&lt;&gt;"-")*(K85+K87=0))+((K17&lt;&gt;"")*(K17&lt;&gt;"-")*(K89+K91=0))+((K22&lt;&gt;"")*(K22&lt;&gt;"-")*(K97+K99=0))+((K21&lt;&gt;"")*(K21&lt;&gt;"-")*(K101+K103=0))+((K20&lt;&gt;"")*(K20&lt;&gt;"-")*(K105+K107=0))+((K19&lt;&gt;"")*(K19&lt;&gt;"-")*(K109+K111=0))+((K18&lt;&gt;"")*(K18&lt;&gt;"-")*(K113+K115=0))</f>
        <v/>
      </c>
      <c r="L124">
        <f>((L13&lt;&gt;"")*(L13&lt;&gt;"-")*(L73+L75=0))+((L14&lt;&gt;"")*(L14&lt;&gt;"-")*(L77+L79=0))+((L15&lt;&gt;"")*(L15&lt;&gt;"-")*(L81+L83=0))+((L16&lt;&gt;"")*(L16&lt;&gt;"-")*(L85+L87=0))+((L17&lt;&gt;"")*(L17&lt;&gt;"-")*(L89+L91=0))+((L22&lt;&gt;"")*(L22&lt;&gt;"-")*(L97+L99=0))+((L21&lt;&gt;"")*(L21&lt;&gt;"-")*(L101+L103=0))+((L20&lt;&gt;"")*(L20&lt;&gt;"-")*(L105+L107=0))+((L19&lt;&gt;"")*(L19&lt;&gt;"-")*(L109+L111=0))+((L18&lt;&gt;"")*(L18&lt;&gt;"-")*(L113+L115=0))</f>
        <v/>
      </c>
      <c r="M124">
        <f>((M13&lt;&gt;"")*(M13&lt;&gt;"-")*(M73+M75=0))+((M14&lt;&gt;"")*(M14&lt;&gt;"-")*(M77+M79=0))+((M15&lt;&gt;"")*(M15&lt;&gt;"-")*(M81+M83=0))+((M16&lt;&gt;"")*(M16&lt;&gt;"-")*(M85+M87=0))+((M17&lt;&gt;"")*(M17&lt;&gt;"-")*(M89+M91=0))+((M22&lt;&gt;"")*(M22&lt;&gt;"-")*(M97+M99=0))+((M21&lt;&gt;"")*(M21&lt;&gt;"-")*(M101+M103=0))+((M20&lt;&gt;"")*(M20&lt;&gt;"-")*(M105+M107=0))+((M19&lt;&gt;"")*(M19&lt;&gt;"-")*(M109+M111=0))+((M18&lt;&gt;"")*(M18&lt;&gt;"-")*(M113+M115=0))</f>
        <v/>
      </c>
      <c r="N124">
        <f>((N13&lt;&gt;"")*(N13&lt;&gt;"-")*(N73+N75=0))+((N14&lt;&gt;"")*(N14&lt;&gt;"-")*(N77+N79=0))+((N15&lt;&gt;"")*(N15&lt;&gt;"-")*(N81+N83=0))+((N16&lt;&gt;"")*(N16&lt;&gt;"-")*(N85+N87=0))+((N17&lt;&gt;"")*(N17&lt;&gt;"-")*(N89+N91=0))+((N22&lt;&gt;"")*(N22&lt;&gt;"-")*(N97+N99=0))+((N21&lt;&gt;"")*(N21&lt;&gt;"-")*(N101+N103=0))+((N20&lt;&gt;"")*(N20&lt;&gt;"-")*(N105+N107=0))+((N19&lt;&gt;"")*(N19&lt;&gt;"-")*(N109+N111=0))+((N18&lt;&gt;"")*(N18&lt;&gt;"-")*(N113+N115=0))</f>
        <v/>
      </c>
      <c r="O124">
        <f>((O13&lt;&gt;"")*(O13&lt;&gt;"-")*(O73+O75=0))+((O14&lt;&gt;"")*(O14&lt;&gt;"-")*(O77+O79=0))+((O15&lt;&gt;"")*(O15&lt;&gt;"-")*(O81+O83=0))+((O16&lt;&gt;"")*(O16&lt;&gt;"-")*(O85+O87=0))+((O17&lt;&gt;"")*(O17&lt;&gt;"-")*(O89+O91=0))+((O22&lt;&gt;"")*(O22&lt;&gt;"-")*(O97+O99=0))+((O21&lt;&gt;"")*(O21&lt;&gt;"-")*(O101+O103=0))+((O20&lt;&gt;"")*(O20&lt;&gt;"-")*(O105+O107=0))+((O19&lt;&gt;"")*(O19&lt;&gt;"-")*(O109+O111=0))+((O18&lt;&gt;"")*(O18&lt;&gt;"-")*(O113+O115=0))</f>
        <v/>
      </c>
      <c r="P124">
        <f>((P13&lt;&gt;"")*(P13&lt;&gt;"-")*(P73+P75=0))+((P14&lt;&gt;"")*(P14&lt;&gt;"-")*(P77+P79=0))+((P15&lt;&gt;"")*(P15&lt;&gt;"-")*(P81+P83=0))+((P16&lt;&gt;"")*(P16&lt;&gt;"-")*(P85+P87=0))+((P17&lt;&gt;"")*(P17&lt;&gt;"-")*(P89+P91=0))+((P22&lt;&gt;"")*(P22&lt;&gt;"-")*(P97+P99=0))+((P21&lt;&gt;"")*(P21&lt;&gt;"-")*(P101+P103=0))+((P20&lt;&gt;"")*(P20&lt;&gt;"-")*(P105+P107=0))+((P19&lt;&gt;"")*(P19&lt;&gt;"-")*(P109+P111=0))+((P18&lt;&gt;"")*(P18&lt;&gt;"-")*(P113+P115=0))</f>
        <v/>
      </c>
      <c r="Q124">
        <f>((Q13&lt;&gt;"")*(Q13&lt;&gt;"-")*(Q73+Q75=0))+((Q14&lt;&gt;"")*(Q14&lt;&gt;"-")*(Q77+Q79=0))+((Q15&lt;&gt;"")*(Q15&lt;&gt;"-")*(Q81+Q83=0))+((Q16&lt;&gt;"")*(Q16&lt;&gt;"-")*(Q85+Q87=0))+((Q17&lt;&gt;"")*(Q17&lt;&gt;"-")*(Q89+Q91=0))+((Q22&lt;&gt;"")*(Q22&lt;&gt;"-")*(Q97+Q99=0))+((Q21&lt;&gt;"")*(Q21&lt;&gt;"-")*(Q101+Q103=0))+((Q20&lt;&gt;"")*(Q20&lt;&gt;"-")*(Q105+Q107=0))+((Q19&lt;&gt;"")*(Q19&lt;&gt;"-")*(Q109+Q111=0))+((Q18&lt;&gt;"")*(Q18&lt;&gt;"-")*(Q113+Q115=0))</f>
        <v/>
      </c>
      <c r="R124">
        <f>((R13&lt;&gt;"")*(R13&lt;&gt;"-")*(R73+R75=0))+((R14&lt;&gt;"")*(R14&lt;&gt;"-")*(R77+R79=0))+((R15&lt;&gt;"")*(R15&lt;&gt;"-")*(R81+R83=0))+((R16&lt;&gt;"")*(R16&lt;&gt;"-")*(R85+R87=0))+((R17&lt;&gt;"")*(R17&lt;&gt;"-")*(R89+R91=0))+((R22&lt;&gt;"")*(R22&lt;&gt;"-")*(R97+R99=0))+((R21&lt;&gt;"")*(R21&lt;&gt;"-")*(R101+R103=0))+((R20&lt;&gt;"")*(R20&lt;&gt;"-")*(R105+R107=0))+((R19&lt;&gt;"")*(R19&lt;&gt;"-")*(R109+R111=0))+((R18&lt;&gt;"")*(R18&lt;&gt;"-")*(R113+R115=0))</f>
        <v/>
      </c>
      <c r="S124">
        <f>((S13&lt;&gt;"")*(S13&lt;&gt;"-")*(S73+S75=0))+((S14&lt;&gt;"")*(S14&lt;&gt;"-")*(S77+S79=0))+((S15&lt;&gt;"")*(S15&lt;&gt;"-")*(S81+S83=0))+((S16&lt;&gt;"")*(S16&lt;&gt;"-")*(S85+S87=0))+((S17&lt;&gt;"")*(S17&lt;&gt;"-")*(S89+S91=0))+((S22&lt;&gt;"")*(S22&lt;&gt;"-")*(S97+S99=0))+((S21&lt;&gt;"")*(S21&lt;&gt;"-")*(S101+S103=0))+((S20&lt;&gt;"")*(S20&lt;&gt;"-")*(S105+S107=0))+((S19&lt;&gt;"")*(S19&lt;&gt;"-")*(S109+S111=0))+((S18&lt;&gt;"")*(S18&lt;&gt;"-")*(S113+S115=0))</f>
        <v/>
      </c>
      <c r="T124">
        <f>((T13&lt;&gt;"")*(T13&lt;&gt;"-")*(T73+T75=0))+((T14&lt;&gt;"")*(T14&lt;&gt;"-")*(T77+T79=0))+((T15&lt;&gt;"")*(T15&lt;&gt;"-")*(T81+T83=0))+((T16&lt;&gt;"")*(T16&lt;&gt;"-")*(T85+T87=0))+((T17&lt;&gt;"")*(T17&lt;&gt;"-")*(T89+T91=0))+((T22&lt;&gt;"")*(T22&lt;&gt;"-")*(T97+T99=0))+((T21&lt;&gt;"")*(T21&lt;&gt;"-")*(T101+T103=0))+((T20&lt;&gt;"")*(T20&lt;&gt;"-")*(T105+T107=0))+((T19&lt;&gt;"")*(T19&lt;&gt;"-")*(T109+T111=0))+((T18&lt;&gt;"")*(T18&lt;&gt;"-")*(T113+T115=0))</f>
        <v/>
      </c>
      <c r="U124">
        <f>((U13&lt;&gt;"")*(U13&lt;&gt;"-")*(U73+U75=0))+((U14&lt;&gt;"")*(U14&lt;&gt;"-")*(U77+U79=0))+((U15&lt;&gt;"")*(U15&lt;&gt;"-")*(U81+U83=0))+((U16&lt;&gt;"")*(U16&lt;&gt;"-")*(U85+U87=0))+((U17&lt;&gt;"")*(U17&lt;&gt;"-")*(U89+U91=0))+((U22&lt;&gt;"")*(U22&lt;&gt;"-")*(U97+U99=0))+((U21&lt;&gt;"")*(U21&lt;&gt;"-")*(U101+U103=0))+((U20&lt;&gt;"")*(U20&lt;&gt;"-")*(U105+U107=0))+((U19&lt;&gt;"")*(U19&lt;&gt;"-")*(U109+U111=0))+((U18&lt;&gt;"")*(U18&lt;&gt;"-")*(U113+U115=0))</f>
        <v/>
      </c>
      <c r="V124">
        <f>((V13&lt;&gt;"")*(V13&lt;&gt;"-")*(V73+V75=0))+((V14&lt;&gt;"")*(V14&lt;&gt;"-")*(V77+V79=0))+((V15&lt;&gt;"")*(V15&lt;&gt;"-")*(V81+V83=0))+((V16&lt;&gt;"")*(V16&lt;&gt;"-")*(V85+V87=0))+((V17&lt;&gt;"")*(V17&lt;&gt;"-")*(V89+V91=0))+((V22&lt;&gt;"")*(V22&lt;&gt;"-")*(V97+V99=0))+((V21&lt;&gt;"")*(V21&lt;&gt;"-")*(V101+V103=0))+((V20&lt;&gt;"")*(V20&lt;&gt;"-")*(V105+V107=0))+((V19&lt;&gt;"")*(V19&lt;&gt;"-")*(V109+V111=0))+((V18&lt;&gt;"")*(V18&lt;&gt;"-")*(V113+V115=0))</f>
        <v/>
      </c>
      <c r="W124">
        <f>((W13&lt;&gt;"")*(W13&lt;&gt;"-")*(W73+W75=0))+((W14&lt;&gt;"")*(W14&lt;&gt;"-")*(W77+W79=0))+((W15&lt;&gt;"")*(W15&lt;&gt;"-")*(W81+W83=0))+((W16&lt;&gt;"")*(W16&lt;&gt;"-")*(W85+W87=0))+((W17&lt;&gt;"")*(W17&lt;&gt;"-")*(W89+W91=0))+((W22&lt;&gt;"")*(W22&lt;&gt;"-")*(W97+W99=0))+((W21&lt;&gt;"")*(W21&lt;&gt;"-")*(W101+W103=0))+((W20&lt;&gt;"")*(W20&lt;&gt;"-")*(W105+W107=0))+((W19&lt;&gt;"")*(W19&lt;&gt;"-")*(W109+W111=0))+((W18&lt;&gt;"")*(W18&lt;&gt;"-")*(W113+W115=0))</f>
        <v/>
      </c>
      <c r="X124">
        <f>((X13&lt;&gt;"")*(X13&lt;&gt;"-")*(X73+X75=0))+((X14&lt;&gt;"")*(X14&lt;&gt;"-")*(X77+X79=0))+((X15&lt;&gt;"")*(X15&lt;&gt;"-")*(X81+X83=0))+((X16&lt;&gt;"")*(X16&lt;&gt;"-")*(X85+X87=0))+((X17&lt;&gt;"")*(X17&lt;&gt;"-")*(X89+X91=0))+((X22&lt;&gt;"")*(X22&lt;&gt;"-")*(X97+X99=0))+((X21&lt;&gt;"")*(X21&lt;&gt;"-")*(X101+X103=0))+((X20&lt;&gt;"")*(X20&lt;&gt;"-")*(X105+X107=0))+((X19&lt;&gt;"")*(X19&lt;&gt;"-")*(X109+X111=0))+((X18&lt;&gt;"")*(X18&lt;&gt;"-")*(X113+X115=0))</f>
        <v/>
      </c>
      <c r="Y124">
        <f>((Y13&lt;&gt;"")*(Y13&lt;&gt;"-")*(Y73+Y75=0))+((Y14&lt;&gt;"")*(Y14&lt;&gt;"-")*(Y77+Y79=0))+((Y15&lt;&gt;"")*(Y15&lt;&gt;"-")*(Y81+Y83=0))+((Y16&lt;&gt;"")*(Y16&lt;&gt;"-")*(Y85+Y87=0))+((Y17&lt;&gt;"")*(Y17&lt;&gt;"-")*(Y89+Y91=0))+((Y22&lt;&gt;"")*(Y22&lt;&gt;"-")*(Y97+Y99=0))+((Y21&lt;&gt;"")*(Y21&lt;&gt;"-")*(Y101+Y103=0))+((Y20&lt;&gt;"")*(Y20&lt;&gt;"-")*(Y105+Y107=0))+((Y19&lt;&gt;"")*(Y19&lt;&gt;"-")*(Y109+Y111=0))+((Y18&lt;&gt;"")*(Y18&lt;&gt;"-")*(Y113+Y115=0))</f>
        <v/>
      </c>
      <c r="Z124">
        <f>((Z13&lt;&gt;"")*(Z13&lt;&gt;"-")*(Z73+Z75=0))+((Z14&lt;&gt;"")*(Z14&lt;&gt;"-")*(Z77+Z79=0))+((Z15&lt;&gt;"")*(Z15&lt;&gt;"-")*(Z81+Z83=0))+((Z16&lt;&gt;"")*(Z16&lt;&gt;"-")*(Z85+Z87=0))+((Z17&lt;&gt;"")*(Z17&lt;&gt;"-")*(Z89+Z91=0))+((Z22&lt;&gt;"")*(Z22&lt;&gt;"-")*(Z97+Z99=0))+((Z21&lt;&gt;"")*(Z21&lt;&gt;"-")*(Z101+Z103=0))+((Z20&lt;&gt;"")*(Z20&lt;&gt;"-")*(Z105+Z107=0))+((Z19&lt;&gt;"")*(Z19&lt;&gt;"-")*(Z109+Z111=0))+((Z18&lt;&gt;"")*(Z18&lt;&gt;"-")*(Z113+Z115=0))</f>
        <v/>
      </c>
      <c r="AA124">
        <f>((AA13&lt;&gt;"")*(AA13&lt;&gt;"-")*(AA73+AA75=0))+((AA14&lt;&gt;"")*(AA14&lt;&gt;"-")*(AA77+AA79=0))+((AA15&lt;&gt;"")*(AA15&lt;&gt;"-")*(AA81+AA83=0))+((AA16&lt;&gt;"")*(AA16&lt;&gt;"-")*(AA85+AA87=0))+((AA17&lt;&gt;"")*(AA17&lt;&gt;"-")*(AA89+AA91=0))+((AA22&lt;&gt;"")*(AA22&lt;&gt;"-")*(AA97+AA99=0))+((AA21&lt;&gt;"")*(AA21&lt;&gt;"-")*(AA101+AA103=0))+((AA20&lt;&gt;"")*(AA20&lt;&gt;"-")*(AA105+AA107=0))+((AA19&lt;&gt;"")*(AA19&lt;&gt;"-")*(AA109+AA111=0))+((AA18&lt;&gt;"")*(AA18&lt;&gt;"-")*(AA113+AA115=0))</f>
        <v/>
      </c>
      <c r="AB124">
        <f>((AB13&lt;&gt;"")*(AB13&lt;&gt;"-")*(AB73+AB75=0))+((AB14&lt;&gt;"")*(AB14&lt;&gt;"-")*(AB77+AB79=0))+((AB15&lt;&gt;"")*(AB15&lt;&gt;"-")*(AB81+AB83=0))+((AB16&lt;&gt;"")*(AB16&lt;&gt;"-")*(AB85+AB87=0))+((AB17&lt;&gt;"")*(AB17&lt;&gt;"-")*(AB89+AB91=0))+((AB22&lt;&gt;"")*(AB22&lt;&gt;"-")*(AB97+AB99=0))+((AB21&lt;&gt;"")*(AB21&lt;&gt;"-")*(AB101+AB103=0))+((AB20&lt;&gt;"")*(AB20&lt;&gt;"-")*(AB105+AB107=0))+((AB19&lt;&gt;"")*(AB19&lt;&gt;"-")*(AB109+AB111=0))+((AB18&lt;&gt;"")*(AB18&lt;&gt;"-")*(AB113+AB115=0))</f>
        <v/>
      </c>
      <c r="AC124">
        <f>((AC13&lt;&gt;"")*(AC13&lt;&gt;"-")*(AC73+AC75=0))+((AC14&lt;&gt;"")*(AC14&lt;&gt;"-")*(AC77+AC79=0))+((AC15&lt;&gt;"")*(AC15&lt;&gt;"-")*(AC81+AC83=0))+((AC16&lt;&gt;"")*(AC16&lt;&gt;"-")*(AC85+AC87=0))+((AC17&lt;&gt;"")*(AC17&lt;&gt;"-")*(AC89+AC91=0))+((AC22&lt;&gt;"")*(AC22&lt;&gt;"-")*(AC97+AC99=0))+((AC21&lt;&gt;"")*(AC21&lt;&gt;"-")*(AC101+AC103=0))+((AC20&lt;&gt;"")*(AC20&lt;&gt;"-")*(AC105+AC107=0))+((AC19&lt;&gt;"")*(AC19&lt;&gt;"-")*(AC109+AC111=0))+((AC18&lt;&gt;"")*(AC18&lt;&gt;"-")*(AC113+AC115=0))</f>
        <v/>
      </c>
      <c r="AD124">
        <f>((AD13&lt;&gt;"")*(AD13&lt;&gt;"-")*(AD73+AD75=0))+((AD14&lt;&gt;"")*(AD14&lt;&gt;"-")*(AD77+AD79=0))+((AD15&lt;&gt;"")*(AD15&lt;&gt;"-")*(AD81+AD83=0))+((AD16&lt;&gt;"")*(AD16&lt;&gt;"-")*(AD85+AD87=0))+((AD17&lt;&gt;"")*(AD17&lt;&gt;"-")*(AD89+AD91=0))+((AD22&lt;&gt;"")*(AD22&lt;&gt;"-")*(AD97+AD99=0))+((AD21&lt;&gt;"")*(AD21&lt;&gt;"-")*(AD101+AD103=0))+((AD20&lt;&gt;"")*(AD20&lt;&gt;"-")*(AD105+AD107=0))+((AD19&lt;&gt;"")*(AD19&lt;&gt;"-")*(AD109+AD111=0))+((AD18&lt;&gt;"")*(AD18&lt;&gt;"-")*(AD113+AD115=0))</f>
        <v/>
      </c>
      <c r="AE124">
        <f>((AE13&lt;&gt;"")*(AE13&lt;&gt;"-")*(AE73+AE75=0))+((AE14&lt;&gt;"")*(AE14&lt;&gt;"-")*(AE77+AE79=0))+((AE15&lt;&gt;"")*(AE15&lt;&gt;"-")*(AE81+AE83=0))+((AE16&lt;&gt;"")*(AE16&lt;&gt;"-")*(AE85+AE87=0))+((AE17&lt;&gt;"")*(AE17&lt;&gt;"-")*(AE89+AE91=0))+((AE22&lt;&gt;"")*(AE22&lt;&gt;"-")*(AE97+AE99=0))+((AE21&lt;&gt;"")*(AE21&lt;&gt;"-")*(AE101+AE103=0))+((AE20&lt;&gt;"")*(AE20&lt;&gt;"-")*(AE105+AE107=0))+((AE19&lt;&gt;"")*(AE19&lt;&gt;"-")*(AE109+AE111=0))+((AE18&lt;&gt;"")*(AE18&lt;&gt;"-")*(AE113+AE115=0))</f>
        <v/>
      </c>
      <c r="AF124">
        <f>((AF13&lt;&gt;"")*(AF13&lt;&gt;"-")*(AF73+AF75=0))+((AF14&lt;&gt;"")*(AF14&lt;&gt;"-")*(AF77+AF79=0))+((AF15&lt;&gt;"")*(AF15&lt;&gt;"-")*(AF81+AF83=0))+((AF16&lt;&gt;"")*(AF16&lt;&gt;"-")*(AF85+AF87=0))+((AF17&lt;&gt;"")*(AF17&lt;&gt;"-")*(AF89+AF91=0))+((AF22&lt;&gt;"")*(AF22&lt;&gt;"-")*(AF97+AF99=0))+((AF21&lt;&gt;"")*(AF21&lt;&gt;"-")*(AF101+AF103=0))+((AF20&lt;&gt;"")*(AF20&lt;&gt;"-")*(AF105+AF107=0))+((AF19&lt;&gt;"")*(AF19&lt;&gt;"-")*(AF109+AF111=0))+((AF18&lt;&gt;"")*(AF18&lt;&gt;"-")*(AF113+AF115=0))</f>
        <v/>
      </c>
      <c r="AG124">
        <f>((AG13&lt;&gt;"")*(AG13&lt;&gt;"-")*(AG73+AG75=0))+((AG14&lt;&gt;"")*(AG14&lt;&gt;"-")*(AG77+AG79=0))+((AG15&lt;&gt;"")*(AG15&lt;&gt;"-")*(AG81+AG83=0))+((AG16&lt;&gt;"")*(AG16&lt;&gt;"-")*(AG85+AG87=0))+((AG17&lt;&gt;"")*(AG17&lt;&gt;"-")*(AG89+AG91=0))+((AG22&lt;&gt;"")*(AG22&lt;&gt;"-")*(AG97+AG99=0))+((AG21&lt;&gt;"")*(AG21&lt;&gt;"-")*(AG101+AG103=0))+((AG20&lt;&gt;"")*(AG20&lt;&gt;"-")*(AG105+AG107=0))+((AG19&lt;&gt;"")*(AG19&lt;&gt;"-")*(AG109+AG111=0))+((AG18&lt;&gt;"")*(AG18&lt;&gt;"-")*(AG113+AG115=0))</f>
        <v/>
      </c>
    </row>
    <row r="125" hidden="1" outlineLevel="1">
      <c r="A125" s="60" t="inlineStr">
        <is>
          <t>(phụ trợ) NB11</t>
        </is>
      </c>
      <c r="B125">
        <f>SUBSTITUTE(SUBSTITUTE(SUBSTITUTE(SUBSTITUTE(SUBSTITUTE(SUBSTITUTE(LOWER($B$11)," ",""),"%%c","t"),"ø","t"),"φ","t"),"f","t"),"d","t")</f>
        <v/>
      </c>
    </row>
    <row r="126" hidden="1" outlineLevel="1">
      <c r="A126" s="60" t="inlineStr">
        <is>
          <t>(phụ trợ) NB12</t>
        </is>
      </c>
      <c r="B126">
        <f>SUBSTITUTE(SUBSTITUTE(SUBSTITUTE(SUBSTITUTE(SUBSTITUTE(SUBSTITUTE(LOWER($B$12)," ",""),"%%c","t"),"ø","t"),"φ","t"),"f","t"),"d","t")</f>
        <v/>
      </c>
    </row>
  </sheetData>
  <mergeCells count="60">
    <mergeCell ref="A18:A22"/>
    <mergeCell ref="A24:B24"/>
    <mergeCell ref="A30:B30"/>
    <mergeCell ref="C1:N1"/>
    <mergeCell ref="G6:I6"/>
    <mergeCell ref="P2:R2"/>
    <mergeCell ref="P1:T1"/>
    <mergeCell ref="G3:I3"/>
    <mergeCell ref="A1:B3"/>
    <mergeCell ref="C2:E2"/>
    <mergeCell ref="P7:R7"/>
    <mergeCell ref="K8:M8"/>
    <mergeCell ref="K2:M2"/>
    <mergeCell ref="A25:B25"/>
    <mergeCell ref="G5:I5"/>
    <mergeCell ref="A41:B41"/>
    <mergeCell ref="C8:E8"/>
    <mergeCell ref="A37:B37"/>
    <mergeCell ref="G4:I4"/>
    <mergeCell ref="A13:A17"/>
    <mergeCell ref="C7:E7"/>
    <mergeCell ref="A27:B27"/>
    <mergeCell ref="K7:M7"/>
    <mergeCell ref="P3:R3"/>
    <mergeCell ref="A32:AG32"/>
    <mergeCell ref="A34:B34"/>
    <mergeCell ref="A26:B26"/>
    <mergeCell ref="P5:R5"/>
    <mergeCell ref="K4:M4"/>
    <mergeCell ref="K6:M6"/>
    <mergeCell ref="A33:B33"/>
    <mergeCell ref="A42:B42"/>
    <mergeCell ref="C3:E3"/>
    <mergeCell ref="A43:AG43"/>
    <mergeCell ref="V3:X3"/>
    <mergeCell ref="K3:M3"/>
    <mergeCell ref="V1:Y1"/>
    <mergeCell ref="A23:B23"/>
    <mergeCell ref="A8:B8"/>
    <mergeCell ref="P4:R4"/>
    <mergeCell ref="C6:E6"/>
    <mergeCell ref="V2:X2"/>
    <mergeCell ref="A4:B4"/>
    <mergeCell ref="A35:B35"/>
    <mergeCell ref="G2:I2"/>
    <mergeCell ref="A38:B38"/>
    <mergeCell ref="A29:B29"/>
    <mergeCell ref="C5:E5"/>
    <mergeCell ref="K5:M5"/>
    <mergeCell ref="A5:B7"/>
    <mergeCell ref="A28:B28"/>
    <mergeCell ref="C4:E4"/>
    <mergeCell ref="G8:I8"/>
    <mergeCell ref="A44:B44"/>
    <mergeCell ref="A40:B40"/>
    <mergeCell ref="C9:AG9"/>
    <mergeCell ref="G7:I7"/>
    <mergeCell ref="P6:R6"/>
    <mergeCell ref="A39:B39"/>
    <mergeCell ref="A36:AG36"/>
  </mergeCells>
  <conditionalFormatting sqref="C11:AG30">
    <cfRule type="expression" priority="1" dxfId="0" stopIfTrue="1">
      <formula>C$64=0</formula>
    </cfRule>
  </conditionalFormatting>
  <conditionalFormatting sqref="C33:AG44">
    <cfRule type="expression" priority="2" dxfId="1">
      <formula>C$63=0</formula>
    </cfRule>
  </conditionalFormatting>
  <conditionalFormatting sqref="C13:AG13">
    <cfRule type="expression" priority="3" dxfId="2">
      <formula>AND(C13&lt;&gt;"",C13&lt;&gt;"-",C$73+C$75=0)</formula>
    </cfRule>
  </conditionalFormatting>
  <conditionalFormatting sqref="C14:AG14">
    <cfRule type="expression" priority="4" dxfId="2">
      <formula>AND(C14&lt;&gt;"",C14&lt;&gt;"-",C$77+C$79=0)</formula>
    </cfRule>
  </conditionalFormatting>
  <conditionalFormatting sqref="C15:AG15">
    <cfRule type="expression" priority="5" dxfId="2">
      <formula>AND(C15&lt;&gt;"",C15&lt;&gt;"-",C$81+C$83=0)</formula>
    </cfRule>
  </conditionalFormatting>
  <conditionalFormatting sqref="C16:AG16">
    <cfRule type="expression" priority="6" dxfId="2">
      <formula>AND(C16&lt;&gt;"",C16&lt;&gt;"-",C$85+C$87=0)</formula>
    </cfRule>
  </conditionalFormatting>
  <conditionalFormatting sqref="C17:AG17">
    <cfRule type="expression" priority="7" dxfId="2">
      <formula>AND(C17&lt;&gt;"",C17&lt;&gt;"-",C$89+C$91=0)</formula>
    </cfRule>
  </conditionalFormatting>
  <conditionalFormatting sqref="C18:AG18">
    <cfRule type="expression" priority="8" dxfId="2">
      <formula>AND(C18&lt;&gt;"",C18&lt;&gt;"-",C$113+C$115=0)</formula>
    </cfRule>
  </conditionalFormatting>
  <conditionalFormatting sqref="C19:AG19">
    <cfRule type="expression" priority="9" dxfId="2">
      <formula>AND(C19&lt;&gt;"",C19&lt;&gt;"-",C$109+C$111=0)</formula>
    </cfRule>
  </conditionalFormatting>
  <conditionalFormatting sqref="C20:AG20">
    <cfRule type="expression" priority="10" dxfId="2">
      <formula>AND(C20&lt;&gt;"",C20&lt;&gt;"-",C$105+C$107=0)</formula>
    </cfRule>
  </conditionalFormatting>
  <conditionalFormatting sqref="C21:AG21">
    <cfRule type="expression" priority="11" dxfId="2">
      <formula>AND(C21&lt;&gt;"",C21&lt;&gt;"-",C$101+C$103=0)</formula>
    </cfRule>
  </conditionalFormatting>
  <conditionalFormatting sqref="C22:AG22">
    <cfRule type="expression" priority="12" dxfId="2">
      <formula>AND(C22&lt;&gt;"",C22&lt;&gt;"-",C$97+C$99=0)</formula>
    </cfRule>
  </conditionalFormatting>
  <conditionalFormatting sqref="B11">
    <cfRule type="expression" priority="13" dxfId="3">
      <formula>(IFERROR(LEFT(LEFT($B$125,FIND("+",$B$125&amp;"+")-1),FIND("t",LEFT($B$125,FIND("+",$B$125&amp;"+")-1))-1)*MID(LEFT($B$125,FIND("+",$B$125&amp;"+")-1),FIND("t",LEFT($B$125,FIND("+",$B$125&amp;"+")-1))+1,2)^2*PI()/400,0)+IFERROR(LEFT(MID($B$125,FIND("+",$B$125&amp;"+")+1,99),FIND("t",MID($B$125,FIND("+",$B$125&amp;"+")+1,99))-1)*MID(MID($B$125,FIND("+",$B$125&amp;"+")+1,99),FIND("t",MID($B$125,FIND("+",$B$125&amp;"+")+1,99))+1,2)^2*PI()/400,0))=0</formula>
    </cfRule>
  </conditionalFormatting>
  <conditionalFormatting sqref="B12">
    <cfRule type="expression" priority="14" dxfId="3">
      <formula>(IFERROR(LEFT(LEFT($B$126,FIND("+",$B$126&amp;"+")-1),FIND("t",LEFT($B$126,FIND("+",$B$126&amp;"+")-1))-1)*MID(LEFT($B$126,FIND("+",$B$126&amp;"+")-1),FIND("t",LEFT($B$126,FIND("+",$B$126&amp;"+")-1))+1,2)^2*PI()/400,0)+IFERROR(LEFT(MID($B$126,FIND("+",$B$126&amp;"+")+1,99),FIND("t",MID($B$126,FIND("+",$B$126&amp;"+")+1,99))-1)*MID(MID($B$126,FIND("+",$B$126&amp;"+")+1,99),FIND("t",MID($B$126,FIND("+",$B$126&amp;"+")+1,99))+1,2)^2*PI()/400,0))=0</formula>
    </cfRule>
  </conditionalFormatting>
  <conditionalFormatting sqref="C39:AG39">
    <cfRule type="expression" priority="15" dxfId="4">
      <formula>AND(ISNUMBER(C39),C39&lt;1)</formula>
    </cfRule>
    <cfRule type="expression" priority="16" dxfId="5">
      <formula>AND(ISNUMBER(C39),C39&gt;=1)</formula>
    </cfRule>
  </conditionalFormatting>
  <conditionalFormatting sqref="C42:AG42">
    <cfRule type="expression" priority="17" dxfId="4">
      <formula>AND(ISNUMBER(C42),C42&lt;1)</formula>
    </cfRule>
    <cfRule type="expression" priority="18" dxfId="5">
      <formula>AND(ISNUMBER(C42),C42&gt;=1)</formula>
    </cfRule>
  </conditionalFormatting>
  <conditionalFormatting sqref="C35:AG35">
    <cfRule type="expression" priority="19" dxfId="6">
      <formula>AND(ISNUMBER(C35),ISNUMBER(C11),ABS(C35-C11)&gt;1)</formula>
    </cfRule>
  </conditionalFormatting>
  <conditionalFormatting sqref="C44:AG44">
    <cfRule type="expression" priority="20" dxfId="5">
      <formula>C44="OK"</formula>
    </cfRule>
    <cfRule type="expression" priority="21" dxfId="4">
      <formula>AND(C44&lt;&gt;"",C44&lt;&gt;"OK")</formula>
    </cfRule>
  </conditionalFormatting>
  <conditionalFormatting sqref="C9">
    <cfRule type="expression" priority="22" dxfId="7">
      <formula>LEFT($C$9,1)="✖"</formula>
    </cfRule>
    <cfRule type="expression" priority="23" dxfId="8">
      <formula>LEFT($C$9,1)="✔"</formula>
    </cfRule>
  </conditionalFormatting>
  <dataValidations count="72">
    <dataValidation sqref="F2" showDropDown="0" showInputMessage="1" showErrorMessage="0" allowBlank="1" promptTitle="Tên dầm" prompt="Tên dầm (ghi trên bản vẽ, tên file CSV)."/>
    <dataValidation sqref="F3" showDropDown="0" showInputMessage="1" showErrorMessage="0" allowBlank="1" promptTitle="b dầm (mm)" prompt="Bề rộng dầm (mm), vd 400."/>
    <dataValidation sqref="F4" showDropDown="0" showInputMessage="1" showErrorMessage="0" allowBlank="1" promptTitle="h dầm (mm)" prompt="Chiều cao dầm (mm), vd 1000."/>
    <dataValidation sqref="F5" showDropDown="0" showInputMessage="1" showErrorMessage="0" allowBlank="1" promptTitle="Số cấu kiện" prompt="1 = số cấu kiện giống nhau&#10;1/T = cắt toàn bộ thép chạy TRÊN&#10;1/T/B = cắt cả TRÊN và DƯỚI" type="list">
      <formula1>LIST!$R$2:$R$6</formula1>
    </dataValidation>
    <dataValidation sqref="F6" showDropDown="0" showInputMessage="1" showErrorMessage="0" allowBlank="1" promptTitle="Cao trình dầm (m)" prompt="Cao độ mặt dầm (m), vd -0.100."/>
    <dataValidation sqref="F7" showDropDown="0" showInputMessage="1" showErrorMessage="0" allowBlank="1" promptTitle="h sàn (mm)" prompt="150 = sàn 2 bên (theo Y2:Y3)&#10;Mã DCE: 150/0 không tai · 150/1 tai trái · 150/2 tai phải · _150 sàn lật"/>
    <dataValidation sqref="F8" showDropDown="0" showInputMessage="1" showErrorMessage="0" allowBlank="1" promptTitle="Dầm ngắn L(m) &lt;" prompt="Nhịp có Ltt nhỏ hơn giá trị này (m): đai rải đều 1 bước."/>
    <dataValidation sqref="J2" showDropDown="0" showInputMessage="1" showErrorMessage="0" allowBlank="1" promptTitle="Thép gia cường gối" prompt="a|b|c: a = vươn mũ gối xL, b = vùng đai dày xL (hoặc mm nếu &gt;1), c = TC trên bụng nhịp.&#10;/ = từ mép cột · \ = từ tim cột · | = L tim-tim, đo từ mép.&#10;Trống = QS_DAMSET" type="list">
      <formula1>LIST!$J$2:$J$6</formula1>
    </dataValidation>
    <dataValidation sqref="J3" showDropDown="0" showInputMessage="1" showErrorMessage="0" allowBlank="1" promptTitle="Thép gia cường nhịp" prompt="a\b\c: a = TC dưới bụng nhịp cách mép aL, b = TC dưới tại gối vươn bL, c = nhịp đầu/cuối.&#10;Trống = QS_DAMSET" type="list">
      <formula1>LIST!$K$2:$K$4</formula1>
    </dataValidation>
    <dataValidation sqref="J4" showDropDown="0" showInputMessage="1" showErrorMessage="0" allowBlank="1" promptTitle="Neo thép trên (d)" prompt="40 = 40d · 10;12-30d/40d · 10-500mm/12-600mm/...&#10;Trống = QS_DAMSET" type="list">
      <formula1>LIST!$L$2:$L$4</formula1>
    </dataValidation>
    <dataValidation sqref="J5" showDropDown="0" showInputMessage="1" showErrorMessage="0" allowBlank="1" promptTitle="Neo thép dưới (d)" prompt="40 = 40d · 10;12-30d/40d · 10-350mm/12-420mm/...&#10;Trống = QS_DAMSET" type="list">
      <formula1>LIST!$L$2:$L$4</formula1>
    </dataValidation>
    <dataValidation sqref="J6" showDropDown="0" showInputMessage="1" showErrorMessage="0" allowBlank="1" promptTitle="Neo thép giá (d)" prompt="40 = 40d · 10;12-30d/40d · 10-350mm/...&#10;Trống = QS_DAMSET" type="list">
      <formula1>LIST!$L$2:$L$4</formula1>
    </dataValidation>
    <dataValidation sqref="J7" showDropDown="0" showInputMessage="1" showErrorMessage="0" allowBlank="1" promptTitle="Tên trục MCN dầm" prompt="Tên trục ghi ở mặt cắt ngang (lưu, chưa dùng khi vẽ)."/>
    <dataValidation sqref="J8" showDropDown="0" showInputMessage="1" showErrorMessage="0" allowBlank="1" promptTitle="Lệch trục / Ẩn MC dọc" prompt="Ltt = thêm dim nhịp thông thủy.&#10;(100, Y, 100/Y: lưu theo DCE, chưa dùng.)" type="list">
      <formula1>LIST!$Q$2:$Q$3</formula1>
    </dataValidation>
    <dataValidation sqref="N2" showDropDown="0" showInputMessage="1" showErrorMessage="0" allowBlank="1" promptTitle="ĐK thép C đỡ lớp TC" prompt="Ø thép C đỡ lớp tăng cường (mm). Trống = Ø đai."/>
    <dataValidation sqref="N3" showDropDown="0" showInputMessage="1" showErrorMessage="0" allowBlank="1" promptTitle="KC thép C đỡ lớp TC" prompt="&gt;0: tự vẽ khi có ≥ 2 lớp · &lt;0 (-1500): luôn vẽ khi &gt; 2 thanh · 1500mm: luôn vẽ khi ≥ 2 thanh · 0/trống: không vẽ" type="list">
      <formula1>LIST!$O$2:$O$5</formula1>
    </dataValidation>
    <dataValidation sqref="N4" showDropDown="0" showInputMessage="1" showErrorMessage="1" allowBlank="1" errorTitle="QS_DAM" error="Chọn giá trị trong danh sách." promptTitle="Đai C nối giữa thép giá" prompt="None / So le / So le 2 / Toàn bộ" type="list">
      <formula1>LIST!$M$2:$M$5</formula1>
    </dataValidation>
    <dataValidation sqref="N5" showDropDown="0" showInputMessage="1" showErrorMessage="0" allowBlank="1" promptTitle="ĐK đai C nối 2 thép giá" prompt="Ø đai C nối thép giá (mm). Trống = Ø đai."/>
    <dataValidation sqref="N6" showDropDown="0" showInputMessage="1" showErrorMessage="0" allowBlank="1" promptTitle="KC đai C nối 2 thép giá" prompt="400 = móc đai C quay LÊN · 400mm = quay XUỐNG&#10;Trống = theo bước đai chính." type="list">
      <formula1>LIST!$P$2:$P$4</formula1>
    </dataValidation>
    <dataValidation sqref="N7" showDropDown="0" showInputMessage="1" showErrorMessage="1" allowBlank="1" errorTitle="QS_DAM" error="Chọn giá trị trong danh sách." promptTitle="Giật cao độ dầm" prompt="Mép trên / Mép dưới / Tùy chỉnh (lưu, chưa dùng khi vẽ)." type="list">
      <formula1>LIST!$N$2:$N$4</formula1>
    </dataValidation>
    <dataValidation sqref="N8" showDropDown="0" showInputMessage="1" showErrorMessage="0" allowBlank="1" promptTitle="Dày BT lót dưới dầm" prompt="100 = BT lót dày 100 · 100/50 = dày 100, mở rộng mỗi bên 50 (mm)."/>
    <dataValidation sqref="S3 T3" showDropDown="0" showInputMessage="1" showErrorMessage="1" allowBlank="1" errorTitle="QS_DAM" error="Chọn giá trị trong danh sách." promptTitle="Kiểu thép chờ" prompt="Khong = không chờ&#10;Cho thang = kéo thẳng ra ngoài đầu dầm L chờ, không bẻ ke&#10;Coupler = dừng tại mép, vẽ ký hiệu coupler" type="list">
      <formula1>LIST!$S$2:$S$4</formula1>
    </dataValidation>
    <dataValidation sqref="S4 T4" showDropDown="0" showInputMessage="1" showErrorMessage="0" allowBlank="1" promptTitle="Lớp được chờ" prompt="T = trên · B = dưới · G = giá. Ghép: TBG, TB ..." type="list">
      <formula1>LIST!$T$2:$T$5</formula1>
    </dataValidation>
    <dataValidation sqref="S5 T5" showDropDown="0" showInputMessage="1" showErrorMessage="1" allowBlank="1" errorTitle="QS_DAM" error="Chọn giá trị trong danh sách." promptTitle="Thanh được chờ" prompt="Tat ca = mọi thanh tới đầu dầm&#10;Chay suot = chỉ thép chạy suốt" type="list">
      <formula1>LIST!$U$2:$U$3</formula1>
    </dataValidation>
    <dataValidation sqref="S6 T6" showDropDown="0" showInputMessage="1" showErrorMessage="0" allowBlank="1" promptTitle="L chờ" prompt="Chờ thẳng: AUTO = L nối ngoài vùng · 40d · 1200 (mm)&#10;Coupler: đoạn ra ngoài mép 0 · 100 · 100/300 = so le (½ thanh 100, ½ thanh 300); AUTO = QS_DAMSET" type="list">
      <formula1>LIST!$V$2:$V$8</formula1>
    </dataValidation>
    <dataValidation sqref="S7 T7" showDropDown="0" showInputMessage="1" showErrorMessage="1" allowBlank="1" errorTitle="QS_DAM" error="Chọn giá trị trong danh sách." promptTitle="Chờ so le 50%" prompt="Co = 1/2 số thanh chờ L, 1/2 chờ 2L + KC mối nối" type="list">
      <formula1>LIST!$W$2:$W$3</formula1>
    </dataValidation>
    <dataValidation sqref="Y2" showDropDown="0" showInputMessage="1" showErrorMessage="1" allowBlank="1" errorTitle="QS_DAM" error="Chọn giá trị trong danh sách." promptTitle="Tai sàn (phía có sàn)" prompt="2 ben / Trai / Phai / Khong&#10;Chỉ dùng khi F7 là số." type="list">
      <formula1>LIST!$X$2:$X$5</formula1>
    </dataValidation>
    <dataValidation sqref="Y3" showDropDown="0" showInputMessage="1" showErrorMessage="1" allowBlank="1" errorTitle="QS_DAM" error="Chọn giá trị trong danh sách." promptTitle="Sàn lật (dầm úp)" prompt="Co = sàn nằm ở đáy dầm. Chỉ dùng khi F7 là số." type="list">
      <formula1>LIST!$W$2:$W$3</formula1>
    </dataValidation>
    <dataValidation sqref="C11 E11 G11 I11 K11 M11 O11 Q11 S11 U11 W11 Y11 AA11 AC11 AE11 AG11" showDropDown="0" showInputMessage="1" showErrorMessage="0" allowBlank="1" promptTitle="Gối: bề rộng (mm)" prompt="300 = cột 300&#10;0 = console (đầu tự do)&#10;220x500 = gối là DẦM 220x500&#10;1000/220 = cột dưới 1000, cột trên 220&#10;1000/200/-400 = cột trên 200 lệch tim -400"/>
    <dataValidation sqref="D11 F11 H11 J11 L11 N11 P11 R11 T11 V11 X11 Z11 AB11 AD11 AF11" showDropDown="0" showInputMessage="1" showErrorMessage="0" allowBlank="1" promptTitle="Nhịp: L thông thủy (mm)" prompt="Khoảng cách 2 mép gối (mm).&#10;Để trống = hết dầm (các nhịp phải liền nhau).&#10;Dòng 34-35: suy Ltt từ khoảng cách trục."/>
    <dataValidation sqref="C12 E12 G12 I12 K12 M12 O12 Q12 S12 U12 W12 Y12 AA12 AC12 AE12 AG12" showDropDown="0" showInputMessage="1" showErrorMessage="0" allowBlank="1" promptTitle="Gối: bước đai trong cột" prompt="Bước đai trong vùng cột (mm), vd 200.&#10;+200 = ghi kèm (+).&#10;Để trống = không vẽ đai trong cột."/>
    <dataValidation sqref="D12 F12 H12 J12 L12 N12 P12 R12 T12 V12 X12 Z12 AB12 AD12 AF12" showDropDown="0" showInputMessage="1" showErrorMessage="0" allowBlank="1" promptTitle="Nhịp: bề rộng nhịp (mm)" prompt="Bề rộng dầm tại nhịp nếu KHÁC b dầm (F3).&#10;Để trống = b dầm."/>
    <dataValidation sqref="C13 E13 G13 I13 K13 M13 O13 Q13 S13 U13 W13 Y13 AA13 AC13 AE13 AG13" showDropDown="0" showInputMessage="1" showErrorMessage="0" allowBlank="1" promptTitle="Gối: TC trên lớp 1" prompt="Thép mũ gối: 3t28 (2 bên như nhau)&#10;3t28;5t28 = trái;phải&#10;;2t28 = chỉ bên phải&#10;2t28+1t25 = nhiều loại, - = không có&#10;Vươn theo hệ số 1 ô J2.&#10;Lớp 1 = cùng lớp thép chạy suốt." type="list">
      <formula1>LIST!$A$2:$A$42</formula1>
    </dataValidation>
    <dataValidation sqref="D13 F13 H13 J13 L13 N13 P13 R13 T13 V13 X13 Z13 AB13 AD13 AF13" showDropDown="0" showInputMessage="1" showErrorMessage="0" allowBlank="1" promptTitle="Nhịp: TC trên lớp 1" prompt="Thép tăng cường TRÊN ở bụng nhịp, vd 2t25.&#10;Chiều dài theo hệ số 3 ô J2.&#10;Lớp 1 = cùng lớp thép chạy suốt." type="list">
      <formula1>LIST!$A$2:$A$42</formula1>
    </dataValidation>
    <dataValidation sqref="C14 E14 G14 I14 K14 M14 O14 Q14 S14 U14 W14 Y14 AA14 AC14 AE14 AG14" showDropDown="0" showInputMessage="1" showErrorMessage="0" allowBlank="1" promptTitle="Gối: TC trên lớp 2" prompt="Thép mũ gối: 3t28 (2 bên như nhau)&#10;3t28;5t28 = trái;phải&#10;;2t28 = chỉ bên phải&#10;2t28+1t25 = nhiều loại, - = không có&#10;Vươn theo hệ số 1 ô J2." type="list">
      <formula1>LIST!$A$2:$A$42</formula1>
    </dataValidation>
    <dataValidation sqref="D14 F14 H14 J14 L14 N14 P14 R14 T14 V14 X14 Z14 AB14 AD14 AF14" showDropDown="0" showInputMessage="1" showErrorMessage="0" allowBlank="1" promptTitle="Nhịp: TC trên lớp 2" prompt="Thép tăng cường TRÊN ở bụng nhịp, vd 2t25.&#10;Chiều dài theo hệ số 3 ô J2." type="list">
      <formula1>LIST!$A$2:$A$42</formula1>
    </dataValidation>
    <dataValidation sqref="C15 E15 G15 I15 K15 M15 O15 Q15 S15 U15 W15 Y15 AA15 AC15 AE15 AG15" showDropDown="0" showInputMessage="1" showErrorMessage="0" allowBlank="1" promptTitle="Gối: TC trên lớp 3" prompt="Thép mũ gối: 3t28 (2 bên như nhau)&#10;3t28;5t28 = trái;phải&#10;;2t28 = chỉ bên phải&#10;2t28+1t25 = nhiều loại, - = không có&#10;Vươn theo hệ số 1 ô J2." type="list">
      <formula1>LIST!$A$2:$A$42</formula1>
    </dataValidation>
    <dataValidation sqref="D15 F15 H15 J15 L15 N15 P15 R15 T15 V15 X15 Z15 AB15 AD15 AF15" showDropDown="0" showInputMessage="1" showErrorMessage="0" allowBlank="1" promptTitle="Nhịp: TC trên lớp 3" prompt="Thép tăng cường TRÊN ở bụng nhịp, vd 2t25.&#10;Chiều dài theo hệ số 3 ô J2." type="list">
      <formula1>LIST!$A$2:$A$42</formula1>
    </dataValidation>
    <dataValidation sqref="C16 E16 G16 I16 K16 M16 O16 Q16 S16 U16 W16 Y16 AA16 AC16 AE16 AG16" showDropDown="0" showInputMessage="1" showErrorMessage="0" allowBlank="1" promptTitle="Gối: TC trên lớp 4" prompt="Thép mũ gối: 3t28 (2 bên như nhau)&#10;3t28;5t28 = trái;phải&#10;;2t28 = chỉ bên phải&#10;2t28+1t25 = nhiều loại, - = không có&#10;Vươn theo hệ số 1 ô J2." type="list">
      <formula1>LIST!$A$2:$A$42</formula1>
    </dataValidation>
    <dataValidation sqref="D16 F16 H16 J16 L16 N16 P16 R16 T16 V16 X16 Z16 AB16 AD16 AF16" showDropDown="0" showInputMessage="1" showErrorMessage="0" allowBlank="1" promptTitle="Nhịp: TC trên lớp 4" prompt="Thép tăng cường TRÊN ở bụng nhịp, vd 2t25.&#10;Chiều dài theo hệ số 3 ô J2." type="list">
      <formula1>LIST!$A$2:$A$42</formula1>
    </dataValidation>
    <dataValidation sqref="C17 E17 G17 I17 K17 M17 O17 Q17 S17 U17 W17 Y17 AA17 AC17 AE17 AG17" showDropDown="0" showInputMessage="1" showErrorMessage="0" allowBlank="1" promptTitle="Gối: TC trên lớp 5" prompt="Thép mũ gối: 3t28 (2 bên như nhau)&#10;3t28;5t28 = trái;phải&#10;;2t28 = chỉ bên phải&#10;2t28+1t25 = nhiều loại, - = không có&#10;Vươn theo hệ số 1 ô J2." type="list">
      <formula1>LIST!$A$2:$A$42</formula1>
    </dataValidation>
    <dataValidation sqref="D17 F17 H17 J17 L17 N17 P17 R17 T17 V17 X17 Z17 AB17 AD17 AF17" showDropDown="0" showInputMessage="1" showErrorMessage="0" allowBlank="1" promptTitle="Nhịp: TC trên lớp 5" prompt="Thép tăng cường TRÊN ở bụng nhịp, vd 2t25.&#10;Chiều dài theo hệ số 3 ô J2." type="list">
      <formula1>LIST!$A$2:$A$42</formula1>
    </dataValidation>
    <dataValidation sqref="C18 E18 G18 I18 K18 M18 O18 Q18 S18 U18 W18 Y18 AA18 AC18 AE18 AG18" showDropDown="0" showInputMessage="1" showErrorMessage="0" allowBlank="1" promptTitle="Gối: TC dưới lớp 5" prompt="Thép tăng cường DƯỚI tại gối, vd 2t25.&#10;3t25;2t25 = trái;phải&#10;Vươn theo hệ số 2 ô J3." type="list">
      <formula1>LIST!$A$2:$A$42</formula1>
    </dataValidation>
    <dataValidation sqref="D18 F18 H18 J18 L18 N18 P18 R18 T18 V18 X18 Z18 AB18 AD18 AF18" showDropDown="0" showInputMessage="1" showErrorMessage="0" allowBlank="1" promptTitle="Nhịp: TC dưới lớp 5" prompt="Thép tăng cường DƯỚI ở bụng nhịp, vd 3t28.&#10;Cách mép gối hệ số 1 ô J3 (nhịp đầu/cuối: hệ số 3)." type="list">
      <formula1>LIST!$A$2:$A$42</formula1>
    </dataValidation>
    <dataValidation sqref="C19 E19 G19 I19 K19 M19 O19 Q19 S19 U19 W19 Y19 AA19 AC19 AE19 AG19" showDropDown="0" showInputMessage="1" showErrorMessage="0" allowBlank="1" promptTitle="Gối: TC dưới lớp 4" prompt="Thép tăng cường DƯỚI tại gối, vd 2t25.&#10;3t25;2t25 = trái;phải&#10;Vươn theo hệ số 2 ô J3." type="list">
      <formula1>LIST!$A$2:$A$42</formula1>
    </dataValidation>
    <dataValidation sqref="D19 F19 H19 J19 L19 N19 P19 R19 T19 V19 X19 Z19 AB19 AD19 AF19" showDropDown="0" showInputMessage="1" showErrorMessage="0" allowBlank="1" promptTitle="Nhịp: TC dưới lớp 4" prompt="Thép tăng cường DƯỚI ở bụng nhịp, vd 3t28.&#10;Cách mép gối hệ số 1 ô J3 (nhịp đầu/cuối: hệ số 3)." type="list">
      <formula1>LIST!$A$2:$A$42</formula1>
    </dataValidation>
    <dataValidation sqref="C20 E20 G20 I20 K20 M20 O20 Q20 S20 U20 W20 Y20 AA20 AC20 AE20 AG20" showDropDown="0" showInputMessage="1" showErrorMessage="0" allowBlank="1" promptTitle="Gối: TC dưới lớp 3" prompt="Thép tăng cường DƯỚI tại gối, vd 2t25.&#10;3t25;2t25 = trái;phải&#10;Vươn theo hệ số 2 ô J3." type="list">
      <formula1>LIST!$A$2:$A$42</formula1>
    </dataValidation>
    <dataValidation sqref="D20 F20 H20 J20 L20 N20 P20 R20 T20 V20 X20 Z20 AB20 AD20 AF20" showDropDown="0" showInputMessage="1" showErrorMessage="0" allowBlank="1" promptTitle="Nhịp: TC dưới lớp 3" prompt="Thép tăng cường DƯỚI ở bụng nhịp, vd 3t28.&#10;Cách mép gối hệ số 1 ô J3 (nhịp đầu/cuối: hệ số 3)." type="list">
      <formula1>LIST!$A$2:$A$42</formula1>
    </dataValidation>
    <dataValidation sqref="C21 E21 G21 I21 K21 M21 O21 Q21 S21 U21 W21 Y21 AA21 AC21 AE21 AG21" showDropDown="0" showInputMessage="1" showErrorMessage="0" allowBlank="1" promptTitle="Gối: TC dưới lớp 2" prompt="Thép tăng cường DƯỚI tại gối, vd 2t25.&#10;3t25;2t25 = trái;phải&#10;Vươn theo hệ số 2 ô J3." type="list">
      <formula1>LIST!$A$2:$A$42</formula1>
    </dataValidation>
    <dataValidation sqref="D21 F21 H21 J21 L21 N21 P21 R21 T21 V21 X21 Z21 AB21 AD21 AF21" showDropDown="0" showInputMessage="1" showErrorMessage="0" allowBlank="1" promptTitle="Nhịp: TC dưới lớp 2" prompt="Thép tăng cường DƯỚI ở bụng nhịp, vd 3t28.&#10;Cách mép gối hệ số 1 ô J3 (nhịp đầu/cuối: hệ số 3)." type="list">
      <formula1>LIST!$A$2:$A$42</formula1>
    </dataValidation>
    <dataValidation sqref="C22 E22 G22 I22 K22 M22 O22 Q22 S22 U22 W22 Y22 AA22 AC22 AE22 AG22" showDropDown="0" showInputMessage="1" showErrorMessage="0" allowBlank="1" promptTitle="Gối: TC dưới lớp 1" prompt="Thép tăng cường DƯỚI tại gối, vd 2t25.&#10;3t25;2t25 = trái;phải&#10;Vươn theo hệ số 2 ô J3.&#10;Lớp 1 = cùng lớp thép chạy suốt." type="list">
      <formula1>LIST!$A$2:$A$42</formula1>
    </dataValidation>
    <dataValidation sqref="D22 F22 H22 J22 L22 N22 P22 R22 T22 V22 X22 Z22 AB22 AD22 AF22" showDropDown="0" showInputMessage="1" showErrorMessage="0" allowBlank="1" promptTitle="Nhịp: TC dưới lớp 1" prompt="Thép tăng cường DƯỚI ở bụng nhịp, vd 3t28.&#10;Cách mép gối hệ số 1 ô J3 (nhịp đầu/cuối: hệ số 3).&#10;Lớp 1 = cùng lớp thép chạy suốt." type="list">
      <formula1>LIST!$A$2:$A$42</formula1>
    </dataValidation>
    <dataValidation sqref="C23 E23 G23 I23 K23 M23 O23 Q23 S23 U23 W23 Y23 AA23 AC23 AE23 AG23" showDropDown="0" showInputMessage="1" showErrorMessage="0" allowBlank="1" promptTitle="Gối: ẩn cột khi vẽ" prompt="1 = ẩn cột phía TRÊN&#10;2 = ẩn cột phía DƯỚI&#10;3 = ẩn cả hai&#10;Để trống = vẽ đủ." type="list">
      <formula1>LIST!$H$2:$H$4</formula1>
    </dataValidation>
    <dataValidation sqref="D23 F23 H23 J23 L23 N23 P23 R23 T23 V23 X23 Z23 AB23 AD23 AF23" showDropDown="0" showInputMessage="1" showErrorMessage="0" allowBlank="1" promptTitle="Nhịp: đổi thép chạy TRÊN" prompt="0;5t28 = từ nhịp này thép chạy TRÊN đổi thành 5t28&#10;0;25 = chỉ đổi đường kính&#10;Số đầu ≠ 0 (giật mép trên): QS_DAM chưa vẽ giật cấp, chỉ đổi thép." type="list">
      <formula1>LIST!$I$2:$I$6</formula1>
    </dataValidation>
    <dataValidation sqref="C24 E24 G24 I24 K24 M24 O24 Q24 S24 U24 W24 Y24 AA24 AC24 AE24 AG24" showDropDown="0" showInputMessage="1" showErrorMessage="0" allowBlank="1" promptTitle="Gối: dầm giao tại cột" prompt="KT dầm giao tại cột (vẽ nét khuất), vd 400x600."/>
    <dataValidation sqref="D24 F24 H24 J24 L24 N24 P24 R24 T24 V24 X24 Z24 AB24 AD24 AF24" showDropDown="0" showInputMessage="1" showErrorMessage="0" allowBlank="1" promptTitle="Nhịp: thép giá" prompt="2x2t12 = 2 lớp, mỗi lớp 2t12&#10;4t12 = hiểu 2 lớp x 2t12&#10;Nhịp liền kề cùng thép giá được gộp 1 thanh.&#10;Để trống = không có." type="list">
      <formula1>LIST!$C$2:$C$9</formula1>
    </dataValidation>
    <dataValidation sqref="C25 E25 G25 I25 K25 M25 O25 Q25 S25 U25 W25 Y25 AA25 AC25 AE25 AG25" showDropDown="0" showInputMessage="1" showErrorMessage="0" allowBlank="1" promptTitle="Gối: lệch dầm giao / tim cột" prompt="Độ lệch tim dầm giao tại cột so với tim cột (mm), vd -150."/>
    <dataValidation sqref="D25 F25 H25 J25 L25 N25 P25 R25 T25 V25 X25 Z25 AB25 AD25 AF25" showDropDown="0" showInputMessage="1" showErrorMessage="0" allowBlank="1" promptTitle="Nhịp: đổi thép chạy DƯỚI" prompt="0;5t28 = từ nhịp này thép chạy DƯỚI đổi thành 5t28&#10;0;25 = chỉ đổi đường kính&#10;Số đầu ≠ 0 (giật mép dưới): chưa vẽ giật cấp." type="list">
      <formula1>LIST!$I$2:$I$6</formula1>
    </dataValidation>
    <dataValidation sqref="C26 E26 G26 I26 K26 M26 O26 Q26 S26 U26 W26 Y26 AA26 AC26 AE26 AG26" showDropDown="0" showInputMessage="1" showErrorMessage="0" allowBlank="1" promptTitle="Gối: tên trục" prompt="Tên trục tại gối, vd E hoặc 6.&#10;Nhiều dòng (Alt+Enter): lấy dòng cuối."/>
    <dataValidation sqref="D26 F26 H26 J26 L26 N26 P26 R26 T26 V26 X26 Z26 AB26 AD26 AF26" showDropDown="0" showInputMessage="1" showErrorMessage="0" allowBlank="1" promptTitle="Nhịp: thép đai" prompt="Ø-bước gối/bước giữa nhịp, vd 10-100/150&#10;10-100 = rải đều.&#10;Vùng đai dày = hệ số thứ 2 ô J2.&#10;Nhịp Ltt &lt; F8 (m): rải đều bước gối." type="list">
      <formula1>LIST!$B$2:$B$12</formula1>
    </dataValidation>
    <dataValidation sqref="C27 E27 G27 I27 K27 M27 O27 Q27 S27 U27 W27 Y27 AA27 AC27 AE27 AG27" showDropDown="0" showInputMessage="1" showErrorMessage="0" allowBlank="1" promptTitle="Gối: lệch trục so tim gối" prompt="Độ lệch trục so với tim gối (mm), vd -149.2.&#10;Dương = trục lệch sang phải."/>
    <dataValidation sqref="D27 F27 H27 J27 L27 N27 P27 R27 T27 V27 X27 Z27 AB27 AD27 AF27" showDropDown="0" showInputMessage="1" showErrorMessage="0" allowBlank="1" promptTitle="Nhịp: đai trong / cắt thép" prompt="6-100/200 = đai trong (đai con)&#10;T / B / T/B = mối nối bắt buộc thép chạy TRÊN / DƯỚI&#10;TL TR BL BR = nối phía trái / phải nhịp&#10;Ghép: 6-100/200/B" type="list">
      <formula1>LIST!$D$2:$D$13</formula1>
    </dataValidation>
    <dataValidation sqref="C28 E28 G28 I28 K28 M28 O28 Q28 S28 U28 W28 Y28 AA28 AC28 AE28 AG28" showDropDown="0" showInputMessage="1" showErrorMessage="0" allowBlank="1" promptTitle="Gối: dầm giao ở nhịp phải" prompt="KT dầm giao nằm trong NHỊP BÊN PHẢI gối này, vd 400x600.&#10;Nhiều dầm: 400x600/300x600"/>
    <dataValidation sqref="D28 F28 H28 J28 L28 N28 P28 R28 T28 V28 X28 Z28 AB28 AD28 AF28" showDropDown="0" showInputMessage="1" showErrorMessage="0" allowBlank="1" promptTitle="Nhịp: kiểu đai" prompt="T.LINK = đai xoắn (U bao + C mũ).&#10;Để trống = đai kín." type="list">
      <formula1>LIST!$E$2:$E$2</formula1>
    </dataValidation>
    <dataValidation sqref="C29 E29 G29 I29 K29 M29 O29 Q29 S29 U29 W29 Y29 AA29 AC29 AE29 AG29" showDropDown="0" showInputMessage="1" showErrorMessage="0" allowBlank="1" promptTitle="Gối: vị trí dầm giao (mm)" prompt="Khoảng cách từ TIM gối này tới tim dầm giao trong nhịp phải, vd 3950.&#10;Nhiều dầm: 2000/5000"/>
    <dataValidation sqref="D29 F29 H29 J29 L29 N29 P29 R29 T29 V29 X29 Z29 AB29 AD29 AF29" showDropDown="0" showInputMessage="1" showErrorMessage="0" allowBlank="1" promptTitle="Nhịp: đai gia cường" prompt="10t10a50 = 10 đai Ø10 bước 50, chia 2 bên dầm giao&#10;10t10a50L / R = chỉ bên trái / phải&#10;Nhiều dầm: 10t10a50/8t8a50" type="list">
      <formula1>LIST!$F$2:$F$7</formula1>
    </dataValidation>
    <dataValidation sqref="D30 F30 H30 J30 L30 N30 P30 R30 T30 V30 X30 Z30 AB30 AD30 AF30" showDropDown="0" showInputMessage="1" showErrorMessage="0" allowBlank="1" promptTitle="Nhịp: thép vai bò" prompt="Thép vai bò tại dầm giao trong nhịp, vd 2t18." type="list">
      <formula1>LIST!$G$2:$G$5</formula1>
    </dataValidation>
    <dataValidation sqref="B11" showDropDown="0" showInputMessage="1" showErrorMessage="0" allowBlank="1" promptTitle="Thép chạy suốt TRÊN" prompt="Thép chạy suốt TRÊN, vd 3t28 · 2t28+1t25.&#10;Đổi thép theo nhịp: dòng 23." type="list">
      <formula1>LIST!$A$2:$A$42</formula1>
    </dataValidation>
    <dataValidation sqref="B12" showDropDown="0" showInputMessage="1" showErrorMessage="0" allowBlank="1" promptTitle="Thép chạy suốt DƯỚI" prompt="Thép chạy suốt DƯỚI, vd 3t28 · 2t28+1t25.&#10;Đổi thép theo nhịp: dòng 25." type="list">
      <formula1>LIST!$A$2:$A$42</formula1>
    </dataValidation>
    <dataValidation sqref="C37 D37 E37 F37 G37 H37 I37 J37 K37 L37 M37 N37 O37 P37 Q37 R37 S37 T37 U37 V37 W37 X37 Y37 Z37 AA37 AB37 AC37 AD37 AE37 AF37 AG37" showDropDown="0" showInputMessage="1" showErrorMessage="0" allowBlank="1" promptTitle="As yêu cầu TRÊN (cm²)" prompt="As yêu cầu thép TRÊN (cm²) từ tính toán, vd 2.34.&#10;Gối: trái/phải vd 2.63/1.45.&#10;Để trống = không kiểm tra."/>
    <dataValidation sqref="C40 D40 E40 F40 G40 H40 I40 J40 K40 L40 M40 N40 O40 P40 Q40 R40 S40 T40 U40 V40 W40 X40 Y40 Z40 AA40 AB40 AC40 AD40 AE40 AF40 AG40" showDropDown="0" showInputMessage="1" showErrorMessage="0" allowBlank="1" promptTitle="As yêu cầu DƯỚI (cm²)" prompt="As yêu cầu thép DƯỚI (cm²), vd 2.46. Gối: trái/phải.&#10;Để trống = không kiểm tra."/>
    <dataValidation sqref="D34 F34 H34 J34 L34 N34 P34 R34 T34 V34 X34 Z34 AB34 AD34 AF34" showDropDown="0" showInputMessage="1" showErrorMessage="0" allowBlank="1" promptTitle="KC trục mặt bằng (mm)" prompt="Nhập khoảng cách trục-trục theo mặt bằng để suy ra Ltt (dòng 35).&#10;Không ảnh hưởng bản vẽ."/>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tabColor rgb="0092D050"/>
    <outlinePr summaryBelow="1" summaryRight="1"/>
    <pageSetUpPr fitToPage="1"/>
  </sheetPr>
  <dimension ref="A1:AG126"/>
  <sheetViews>
    <sheetView showGridLines="0" tabSelected="0" zoomScale="90" workbookViewId="0">
      <pane xSplit="2" ySplit="10" topLeftCell="C11" activePane="bottomRight" state="frozen"/>
      <selection pane="topRight"/>
      <selection pane="bottomLeft"/>
      <selection pane="bottomRight" activeCell="A1" sqref="A1"/>
    </sheetView>
  </sheetViews>
  <sheetFormatPr baseColWidth="8" defaultRowHeight="15" outlineLevelRow="1"/>
  <cols>
    <col width="30" customWidth="1" min="1" max="1"/>
    <col width="9" customWidth="1" min="2" max="2"/>
    <col width="9.5" customWidth="1" min="3" max="3"/>
    <col width="10.5" customWidth="1" min="4" max="4"/>
    <col width="9.5" customWidth="1" min="5" max="5"/>
    <col width="10.5" customWidth="1" min="6" max="6"/>
    <col width="9.5" customWidth="1" min="7" max="7"/>
    <col width="10.5" customWidth="1" min="8" max="8"/>
    <col width="9.5" customWidth="1" min="9" max="9"/>
    <col width="10.5" customWidth="1" min="10" max="10"/>
    <col width="9.5" customWidth="1" min="11" max="11"/>
    <col width="10.5" customWidth="1" min="12" max="12"/>
    <col width="9.5" customWidth="1" min="13" max="13"/>
    <col width="10.5" customWidth="1" min="14" max="14"/>
    <col width="9.5" customWidth="1" min="15" max="15"/>
    <col width="10.5" customWidth="1" min="16" max="16"/>
    <col width="9.5" customWidth="1" min="17" max="17"/>
    <col width="10.5" customWidth="1" min="18" max="18"/>
    <col width="10.5" customWidth="1" min="19" max="19"/>
    <col width="10.5" customWidth="1" min="20" max="20"/>
    <col width="9.5" customWidth="1" min="21" max="21"/>
    <col width="10.5" customWidth="1" min="22" max="22"/>
    <col width="9.5" customWidth="1" min="23" max="23"/>
    <col width="10.5" customWidth="1" min="24" max="24"/>
    <col width="10.5" customWidth="1" min="25" max="25"/>
    <col width="10.5" customWidth="1" min="26" max="26"/>
    <col width="9.5" customWidth="1" min="27" max="27"/>
    <col width="10.5" customWidth="1" min="28" max="28"/>
    <col width="9.5" customWidth="1" min="29" max="29"/>
    <col width="10.5" customWidth="1" min="30" max="30"/>
    <col width="9.5" customWidth="1" min="31" max="31"/>
    <col width="10.5" customWidth="1" min="32" max="32"/>
    <col width="9.5" customWidth="1" min="33" max="33"/>
    <col width="3" customWidth="1" min="34" max="34"/>
    <col width="3" customWidth="1" min="35" max="35"/>
    <col width="3" customWidth="1" min="36" max="36"/>
  </cols>
  <sheetData>
    <row r="1" ht="17" customHeight="1">
      <c r="A1" s="4" t="inlineStr">
        <is>
          <t>QS_DAM_V2</t>
        </is>
      </c>
      <c r="C1" s="5" t="inlineStr">
        <is>
          <t>THÔNG TIN CẤU KIỆN</t>
        </is>
      </c>
      <c r="D1" s="6" t="n"/>
      <c r="E1" s="6" t="n"/>
      <c r="F1" s="6" t="n"/>
      <c r="G1" s="6" t="n"/>
      <c r="H1" s="6" t="n"/>
      <c r="I1" s="6" t="n"/>
      <c r="J1" s="6" t="n"/>
      <c r="K1" s="6" t="n"/>
      <c r="L1" s="6" t="n"/>
      <c r="M1" s="6" t="n"/>
      <c r="N1" s="6" t="n"/>
      <c r="P1" s="7" t="inlineStr">
        <is>
          <t>THÉP CHỜ 2 ĐẦU DẦM</t>
        </is>
      </c>
      <c r="Q1" s="6" t="n"/>
      <c r="R1" s="6" t="n"/>
      <c r="S1" s="6" t="n"/>
      <c r="T1" s="6" t="n"/>
      <c r="V1" s="7" t="inlineStr">
        <is>
          <t>TÙY CHỌN SÀN</t>
        </is>
      </c>
      <c r="W1" s="6" t="n"/>
      <c r="X1" s="6" t="n"/>
      <c r="Y1" s="6" t="n"/>
    </row>
    <row r="2" ht="17" customHeight="1">
      <c r="C2" s="8" t="inlineStr">
        <is>
          <t>Tên dầm:</t>
        </is>
      </c>
      <c r="D2" s="9" t="n"/>
      <c r="E2" s="9" t="n"/>
      <c r="F2" s="10" t="n"/>
      <c r="G2" s="8" t="inlineStr">
        <is>
          <t>Thép gia cường gối:</t>
        </is>
      </c>
      <c r="H2" s="9" t="n"/>
      <c r="I2" s="9" t="n"/>
      <c r="J2" s="10" t="n"/>
      <c r="K2" s="8" t="inlineStr">
        <is>
          <t>ĐK thép C đỡ lớp TC:</t>
        </is>
      </c>
      <c r="L2" s="9" t="n"/>
      <c r="M2" s="9" t="n"/>
      <c r="N2" s="10" t="n"/>
      <c r="P2" s="11" t="inlineStr">
        <is>
          <t>Mạch ngừng / zone sau</t>
        </is>
      </c>
      <c r="Q2" s="6" t="n"/>
      <c r="R2" s="6" t="n"/>
      <c r="S2" s="12" t="inlineStr">
        <is>
          <t>TRÁI</t>
        </is>
      </c>
      <c r="T2" s="12" t="inlineStr">
        <is>
          <t>PHẢI</t>
        </is>
      </c>
      <c r="V2" s="13" t="inlineStr">
        <is>
          <t>Tai sàn (phía có sàn)</t>
        </is>
      </c>
      <c r="W2" s="6" t="n"/>
      <c r="X2" s="6" t="n"/>
      <c r="Y2" s="14" t="n"/>
    </row>
    <row r="3" ht="17" customHeight="1">
      <c r="C3" s="8" t="inlineStr">
        <is>
          <t>b dầm (mm):</t>
        </is>
      </c>
      <c r="D3" s="9" t="n"/>
      <c r="E3" s="9" t="n"/>
      <c r="F3" s="10" t="n"/>
      <c r="G3" s="8" t="inlineStr">
        <is>
          <t>Thép gia cường nhịp:</t>
        </is>
      </c>
      <c r="H3" s="9" t="n"/>
      <c r="I3" s="9" t="n"/>
      <c r="J3" s="10" t="n"/>
      <c r="K3" s="8" t="inlineStr">
        <is>
          <t>KC thép C đỡ lớp TC:</t>
        </is>
      </c>
      <c r="L3" s="9" t="n"/>
      <c r="M3" s="9" t="n"/>
      <c r="N3" s="10" t="n"/>
      <c r="P3" s="13" t="inlineStr">
        <is>
          <t>Kiểu thép chờ</t>
        </is>
      </c>
      <c r="Q3" s="6" t="n"/>
      <c r="R3" s="6" t="n"/>
      <c r="S3" s="14" t="n"/>
      <c r="T3" s="14" t="n"/>
      <c r="V3" s="13" t="inlineStr">
        <is>
          <t>Sàn lật (dầm úp)</t>
        </is>
      </c>
      <c r="W3" s="6" t="n"/>
      <c r="X3" s="6" t="n"/>
      <c r="Y3" s="14" t="n"/>
    </row>
    <row r="4" ht="17" customHeight="1">
      <c r="A4" s="15" t="inlineStr">
        <is>
          <t>NHẬP LIỆU DẦM – QS_VEDAM / QS_SHOPDAM</t>
        </is>
      </c>
      <c r="C4" s="8" t="inlineStr">
        <is>
          <t>h dầm (mm):</t>
        </is>
      </c>
      <c r="D4" s="9" t="n"/>
      <c r="E4" s="9" t="n"/>
      <c r="F4" s="10" t="n"/>
      <c r="G4" s="8" t="inlineStr">
        <is>
          <t>Neo thép trên (d):</t>
        </is>
      </c>
      <c r="H4" s="9" t="n"/>
      <c r="I4" s="9" t="n"/>
      <c r="J4" s="10" t="n"/>
      <c r="K4" s="8" t="inlineStr">
        <is>
          <t>Đai C nối giữa thép giá:</t>
        </is>
      </c>
      <c r="L4" s="9" t="n"/>
      <c r="M4" s="9" t="n"/>
      <c r="N4" s="10" t="n"/>
      <c r="P4" s="13" t="inlineStr">
        <is>
          <t>Lớp được chờ</t>
        </is>
      </c>
      <c r="Q4" s="6" t="n"/>
      <c r="R4" s="6" t="n"/>
      <c r="S4" s="14" t="n"/>
      <c r="T4" s="14" t="n"/>
    </row>
    <row r="5" ht="17" customHeight="1">
      <c r="A5" s="16" t="inlineStr">
        <is>
          <t>Nguyễn Xuân Phát
banhbaonxp@gmail.com
QS_DAM v3.1</t>
        </is>
      </c>
      <c r="C5" s="8" t="inlineStr">
        <is>
          <t>Số cấu kiện:</t>
        </is>
      </c>
      <c r="D5" s="9" t="n"/>
      <c r="E5" s="9" t="n"/>
      <c r="F5" s="10" t="n"/>
      <c r="G5" s="8" t="inlineStr">
        <is>
          <t>Neo thép dưới (d):</t>
        </is>
      </c>
      <c r="H5" s="9" t="n"/>
      <c r="I5" s="9" t="n"/>
      <c r="J5" s="10" t="n"/>
      <c r="K5" s="8" t="inlineStr">
        <is>
          <t>ĐK đai C nối 2 thép giá:</t>
        </is>
      </c>
      <c r="L5" s="9" t="n"/>
      <c r="M5" s="9" t="n"/>
      <c r="N5" s="10" t="n"/>
      <c r="P5" s="13" t="inlineStr">
        <is>
          <t>Thanh được chờ</t>
        </is>
      </c>
      <c r="Q5" s="6" t="n"/>
      <c r="R5" s="6" t="n"/>
      <c r="S5" s="14" t="n"/>
      <c r="T5" s="14" t="n"/>
    </row>
    <row r="6" ht="17" customHeight="1">
      <c r="C6" s="8" t="inlineStr">
        <is>
          <t>Cao trình dầm (m):</t>
        </is>
      </c>
      <c r="D6" s="9" t="n"/>
      <c r="E6" s="9" t="n"/>
      <c r="F6" s="17" t="n"/>
      <c r="G6" s="8" t="inlineStr">
        <is>
          <t>Neo thép giá (d):</t>
        </is>
      </c>
      <c r="H6" s="9" t="n"/>
      <c r="I6" s="9" t="n"/>
      <c r="J6" s="10" t="n"/>
      <c r="K6" s="8" t="inlineStr">
        <is>
          <t>KC đai C nối 2 thép giá:</t>
        </is>
      </c>
      <c r="L6" s="9" t="n"/>
      <c r="M6" s="9" t="n"/>
      <c r="N6" s="10" t="n"/>
      <c r="P6" s="13" t="inlineStr">
        <is>
          <t>L chờ</t>
        </is>
      </c>
      <c r="Q6" s="6" t="n"/>
      <c r="R6" s="6" t="n"/>
      <c r="S6" s="14" t="n"/>
      <c r="T6" s="14" t="n"/>
    </row>
    <row r="7" ht="17" customHeight="1">
      <c r="C7" s="8" t="inlineStr">
        <is>
          <t>h sàn (mm):</t>
        </is>
      </c>
      <c r="D7" s="9" t="n"/>
      <c r="E7" s="9" t="n"/>
      <c r="F7" s="10" t="n"/>
      <c r="G7" s="8" t="inlineStr">
        <is>
          <t>Tên trục MCN dầm:</t>
        </is>
      </c>
      <c r="H7" s="9" t="n"/>
      <c r="I7" s="9" t="n"/>
      <c r="J7" s="10" t="n"/>
      <c r="K7" s="8" t="inlineStr">
        <is>
          <t>Giật cao độ dầm:</t>
        </is>
      </c>
      <c r="L7" s="9" t="n"/>
      <c r="M7" s="9" t="n"/>
      <c r="N7" s="10" t="n"/>
      <c r="P7" s="13" t="inlineStr">
        <is>
          <t>Chờ so le 50%</t>
        </is>
      </c>
      <c r="Q7" s="6" t="n"/>
      <c r="R7" s="6" t="n"/>
      <c r="S7" s="14" t="n"/>
      <c r="T7" s="14" t="n"/>
    </row>
    <row r="8" ht="17" customHeight="1">
      <c r="A8" s="18" t="inlineStr">
        <is>
          <t>Ô trắng = nhập · ▼ = có danh sách</t>
        </is>
      </c>
      <c r="C8" s="8" t="inlineStr">
        <is>
          <t>Dầm ngắn L(m) &lt;</t>
        </is>
      </c>
      <c r="D8" s="9" t="n"/>
      <c r="E8" s="9" t="n"/>
      <c r="F8" s="10" t="n"/>
      <c r="G8" s="8" t="inlineStr">
        <is>
          <t>Lệch trục / Ẩn MC dọc:</t>
        </is>
      </c>
      <c r="H8" s="9" t="n"/>
      <c r="I8" s="9" t="n"/>
      <c r="J8" s="10" t="n"/>
      <c r="K8" s="8" t="inlineStr">
        <is>
          <t>Dày BT lót dưới dầm:</t>
        </is>
      </c>
      <c r="L8" s="9" t="n"/>
      <c r="M8" s="9" t="n"/>
      <c r="N8" s="10" t="n"/>
    </row>
    <row r="9">
      <c r="A9" s="19" t="inlineStr">
        <is>
          <t>TÌNH TRẠNG SỐ LIỆU:</t>
        </is>
      </c>
      <c r="B9" s="20" t="n"/>
      <c r="C9" s="21">
        <f>IF(SUMPRODUCT((MOD(COLUMN(C63:AG63),2)=0)*C63:AG63)=0,"Chưa có nhịp: nhập bề rộng gối + L thông thủy ở dòng 11",IF(SUMPRODUCT((C44:AG44&lt;&gt;"")*(C44:AG44&lt;&gt;"OK"))+((IFERROR(LEFT(LEFT($B$125,FIND("+",$B$125&amp;"+")-1),FIND("t",LEFT($B$125,FIND("+",$B$125&amp;"+")-1))-1)*MID(LEFT($B$125,FIND("+",$B$125&amp;"+")-1),FIND("t",LEFT($B$125,FIND("+",$B$125&amp;"+")-1))+1,2)^2*PI()/400,0)+IFERROR(LEFT(MID($B$125,FIND("+",$B$125&amp;"+")+1,99),FIND("t",MID($B$125,FIND("+",$B$125&amp;"+")+1,99))-1)*MID(MID($B$125,FIND("+",$B$125&amp;"+")+1,99),FIND("t",MID($B$125,FIND("+",$B$125&amp;"+")+1,99))+1,2)^2*PI()/400,0))=0)+((IFERROR(LEFT(LEFT($B$126,FIND("+",$B$126&amp;"+")-1),FIND("t",LEFT($B$126,FIND("+",$B$126&amp;"+")-1))-1)*MID(LEFT($B$126,FIND("+",$B$126&amp;"+")-1),FIND("t",LEFT($B$126,FIND("+",$B$126&amp;"+")-1))+1,2)^2*PI()/400,0)+IFERROR(LEFT(MID($B$126,FIND("+",$B$126&amp;"+")+1,99),FIND("t",MID($B$126,FIND("+",$B$126&amp;"+")+1,99))-1)*MID(MID($B$126,FIND("+",$B$126&amp;"+")+1,99),FIND("t",MID($B$126,FIND("+",$B$126&amp;"+")+1,99))+1,2)^2*PI()/400,0))=0)=0,"✔  Số liệu hợp lệ – "&amp;SUMPRODUCT((MOD(COLUMN(C63:AG63),2)=0)*C63:AG63)&amp;" nhịp, tổng chiều dài dầm L = "&amp;FIXED(SUMIF(C63:AG63,1,C60:AG60),0)&amp;" mm","✖  Có "&amp;(SUMPRODUCT((C44:AG44&lt;&gt;"")*(C44:AG44&lt;&gt;"OK"))+((IFERROR(LEFT(LEFT($B$125,FIND("+",$B$125&amp;"+")-1),FIND("t",LEFT($B$125,FIND("+",$B$125&amp;"+")-1))-1)*MID(LEFT($B$125,FIND("+",$B$125&amp;"+")-1),FIND("t",LEFT($B$125,FIND("+",$B$125&amp;"+")-1))+1,2)^2*PI()/400,0)+IFERROR(LEFT(MID($B$125,FIND("+",$B$125&amp;"+")+1,99),FIND("t",MID($B$125,FIND("+",$B$125&amp;"+")+1,99))-1)*MID(MID($B$125,FIND("+",$B$125&amp;"+")+1,99),FIND("t",MID($B$125,FIND("+",$B$125&amp;"+")+1,99))+1,2)^2*PI()/400,0))=0)+((IFERROR(LEFT(LEFT($B$126,FIND("+",$B$126&amp;"+")-1),FIND("t",LEFT($B$126,FIND("+",$B$126&amp;"+")-1))-1)*MID(LEFT($B$126,FIND("+",$B$126&amp;"+")-1),FIND("t",LEFT($B$126,FIND("+",$B$126&amp;"+")-1))+1,2)^2*PI()/400,0)+IFERROR(LEFT(MID($B$126,FIND("+",$B$126&amp;"+")+1,99),FIND("t",MID($B$126,FIND("+",$B$126&amp;"+")+1,99))-1)*MID(MID($B$126,FIND("+",$B$126&amp;"+")+1,99),FIND("t",MID($B$126,FIND("+",$B$126&amp;"+")+1,99))+1,2)^2*PI()/400,0))=0))&amp;" lỗi – xem dòng 44 (KIỂM TRA SỐ LIỆU) và ô B11 / B12"))</f>
        <v/>
      </c>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row>
    <row r="10" ht="18" customHeight="1">
      <c r="A10" s="23" t="inlineStr">
        <is>
          <t>HẠNG MỤC</t>
        </is>
      </c>
      <c r="B10" s="24" t="inlineStr">
        <is>
          <t>Chạy suốt</t>
        </is>
      </c>
      <c r="C10" s="25" t="inlineStr">
        <is>
          <t>Gối 1</t>
        </is>
      </c>
      <c r="D10" s="26" t="inlineStr">
        <is>
          <t>Nhịp 1</t>
        </is>
      </c>
      <c r="E10" s="25" t="inlineStr">
        <is>
          <t>Gối 2</t>
        </is>
      </c>
      <c r="F10" s="26" t="inlineStr">
        <is>
          <t>Nhịp 2</t>
        </is>
      </c>
      <c r="G10" s="25" t="inlineStr">
        <is>
          <t>Gối 3</t>
        </is>
      </c>
      <c r="H10" s="26" t="inlineStr">
        <is>
          <t>Nhịp 3</t>
        </is>
      </c>
      <c r="I10" s="25" t="inlineStr">
        <is>
          <t>Gối 4</t>
        </is>
      </c>
      <c r="J10" s="26" t="inlineStr">
        <is>
          <t>Nhịp 4</t>
        </is>
      </c>
      <c r="K10" s="25" t="inlineStr">
        <is>
          <t>Gối 5</t>
        </is>
      </c>
      <c r="L10" s="26" t="inlineStr">
        <is>
          <t>Nhịp 5</t>
        </is>
      </c>
      <c r="M10" s="25" t="inlineStr">
        <is>
          <t>Gối 6</t>
        </is>
      </c>
      <c r="N10" s="26" t="inlineStr">
        <is>
          <t>Nhịp 6</t>
        </is>
      </c>
      <c r="O10" s="25" t="inlineStr">
        <is>
          <t>Gối 7</t>
        </is>
      </c>
      <c r="P10" s="26" t="inlineStr">
        <is>
          <t>Nhịp 7</t>
        </is>
      </c>
      <c r="Q10" s="25" t="inlineStr">
        <is>
          <t>Gối 8</t>
        </is>
      </c>
      <c r="R10" s="26" t="inlineStr">
        <is>
          <t>Nhịp 8</t>
        </is>
      </c>
      <c r="S10" s="25" t="inlineStr">
        <is>
          <t>Gối 9</t>
        </is>
      </c>
      <c r="T10" s="26" t="inlineStr">
        <is>
          <t>Nhịp 9</t>
        </is>
      </c>
      <c r="U10" s="25" t="inlineStr">
        <is>
          <t>Gối 10</t>
        </is>
      </c>
      <c r="V10" s="26" t="inlineStr">
        <is>
          <t>Nhịp 10</t>
        </is>
      </c>
      <c r="W10" s="25" t="inlineStr">
        <is>
          <t>Gối 11</t>
        </is>
      </c>
      <c r="X10" s="26" t="inlineStr">
        <is>
          <t>Nhịp 11</t>
        </is>
      </c>
      <c r="Y10" s="25" t="inlineStr">
        <is>
          <t>Gối 12</t>
        </is>
      </c>
      <c r="Z10" s="26" t="inlineStr">
        <is>
          <t>Nhịp 12</t>
        </is>
      </c>
      <c r="AA10" s="25" t="inlineStr">
        <is>
          <t>Gối 13</t>
        </is>
      </c>
      <c r="AB10" s="26" t="inlineStr">
        <is>
          <t>Nhịp 13</t>
        </is>
      </c>
      <c r="AC10" s="25" t="inlineStr">
        <is>
          <t>Gối 14</t>
        </is>
      </c>
      <c r="AD10" s="26" t="inlineStr">
        <is>
          <t>Nhịp 14</t>
        </is>
      </c>
      <c r="AE10" s="25" t="inlineStr">
        <is>
          <t>Gối 15</t>
        </is>
      </c>
      <c r="AF10" s="26" t="inlineStr">
        <is>
          <t>Nhịp 15</t>
        </is>
      </c>
      <c r="AG10" s="27" t="inlineStr">
        <is>
          <t>Gối 16</t>
        </is>
      </c>
    </row>
    <row r="11" ht="27" customHeight="1">
      <c r="A11" s="28" t="inlineStr">
        <is>
          <t>Thép chạy suốt TRÊN  |  Gối: bề rộng  ·  Nhịp: L thông thủy</t>
        </is>
      </c>
      <c r="B11" s="29" t="n"/>
      <c r="C11" s="30" t="n"/>
      <c r="D11" s="31" t="n"/>
      <c r="E11" s="30" t="n"/>
      <c r="F11" s="31" t="n"/>
      <c r="G11" s="30" t="n"/>
      <c r="H11" s="31" t="n"/>
      <c r="I11" s="30" t="n"/>
      <c r="J11" s="31" t="n"/>
      <c r="K11" s="30" t="n"/>
      <c r="L11" s="31" t="n"/>
      <c r="M11" s="30" t="n"/>
      <c r="N11" s="31" t="n"/>
      <c r="O11" s="30" t="n"/>
      <c r="P11" s="31" t="n"/>
      <c r="Q11" s="30" t="n"/>
      <c r="R11" s="31" t="n"/>
      <c r="S11" s="30" t="n"/>
      <c r="T11" s="31" t="n"/>
      <c r="U11" s="30" t="n"/>
      <c r="V11" s="31" t="n"/>
      <c r="W11" s="30" t="n"/>
      <c r="X11" s="31" t="n"/>
      <c r="Y11" s="30" t="n"/>
      <c r="Z11" s="31" t="n"/>
      <c r="AA11" s="30" t="n"/>
      <c r="AB11" s="31" t="n"/>
      <c r="AC11" s="30" t="n"/>
      <c r="AD11" s="31" t="n"/>
      <c r="AE11" s="30" t="n"/>
      <c r="AF11" s="31" t="n"/>
      <c r="AG11" s="32" t="n"/>
    </row>
    <row r="12" ht="27" customHeight="1">
      <c r="A12" s="28" t="inlineStr">
        <is>
          <t>Thép chạy suốt DƯỚI  |  Gối: đai trong cột  ·  Nhịp: b nhịp</t>
        </is>
      </c>
      <c r="B12" s="29" t="n"/>
      <c r="C12" s="33" t="n"/>
      <c r="D12" s="34" t="n"/>
      <c r="E12" s="33" t="n"/>
      <c r="F12" s="34" t="n"/>
      <c r="G12" s="33" t="n"/>
      <c r="H12" s="34" t="n"/>
      <c r="I12" s="33" t="n"/>
      <c r="J12" s="34" t="n"/>
      <c r="K12" s="33" t="n"/>
      <c r="L12" s="34" t="n"/>
      <c r="M12" s="33" t="n"/>
      <c r="N12" s="34" t="n"/>
      <c r="O12" s="33" t="n"/>
      <c r="P12" s="34" t="n"/>
      <c r="Q12" s="33" t="n"/>
      <c r="R12" s="34" t="n"/>
      <c r="S12" s="33" t="n"/>
      <c r="T12" s="34" t="n"/>
      <c r="U12" s="33" t="n"/>
      <c r="V12" s="34" t="n"/>
      <c r="W12" s="33" t="n"/>
      <c r="X12" s="34" t="n"/>
      <c r="Y12" s="33" t="n"/>
      <c r="Z12" s="34" t="n"/>
      <c r="AA12" s="33" t="n"/>
      <c r="AB12" s="34" t="n"/>
      <c r="AC12" s="33" t="n"/>
      <c r="AD12" s="34" t="n"/>
      <c r="AE12" s="33" t="n"/>
      <c r="AF12" s="34" t="n"/>
      <c r="AG12" s="35" t="n"/>
    </row>
    <row r="13" ht="16" customHeight="1">
      <c r="A13" s="36" t="inlineStr">
        <is>
          <t>THÉP TĂNG CƯỜNG
LỚP TRÊN</t>
        </is>
      </c>
      <c r="B13" s="11" t="inlineStr">
        <is>
          <t>Lớp 1</t>
        </is>
      </c>
      <c r="C13" s="37" t="n"/>
      <c r="D13" s="38" t="n"/>
      <c r="E13" s="37" t="n"/>
      <c r="F13" s="38" t="n"/>
      <c r="G13" s="37" t="n"/>
      <c r="H13" s="38" t="n"/>
      <c r="I13" s="37" t="n"/>
      <c r="J13" s="38" t="n"/>
      <c r="K13" s="37" t="n"/>
      <c r="L13" s="38" t="n"/>
      <c r="M13" s="37" t="n"/>
      <c r="N13" s="38" t="n"/>
      <c r="O13" s="37" t="n"/>
      <c r="P13" s="38" t="n"/>
      <c r="Q13" s="37" t="n"/>
      <c r="R13" s="38" t="n"/>
      <c r="S13" s="37" t="n"/>
      <c r="T13" s="38" t="n"/>
      <c r="U13" s="37" t="n"/>
      <c r="V13" s="38" t="n"/>
      <c r="W13" s="37" t="n"/>
      <c r="X13" s="38" t="n"/>
      <c r="Y13" s="37" t="n"/>
      <c r="Z13" s="38" t="n"/>
      <c r="AA13" s="37" t="n"/>
      <c r="AB13" s="38" t="n"/>
      <c r="AC13" s="37" t="n"/>
      <c r="AD13" s="38" t="n"/>
      <c r="AE13" s="37" t="n"/>
      <c r="AF13" s="38" t="n"/>
      <c r="AG13" s="39" t="n"/>
    </row>
    <row r="14" ht="16" customHeight="1">
      <c r="A14" s="40" t="n"/>
      <c r="B14" s="11" t="inlineStr">
        <is>
          <t>Lớp 2</t>
        </is>
      </c>
      <c r="C14" s="37" t="n"/>
      <c r="D14" s="38" t="n"/>
      <c r="E14" s="37" t="n"/>
      <c r="F14" s="38" t="n"/>
      <c r="G14" s="37" t="n"/>
      <c r="H14" s="38" t="n"/>
      <c r="I14" s="37" t="n"/>
      <c r="J14" s="38" t="n"/>
      <c r="K14" s="37" t="n"/>
      <c r="L14" s="38" t="n"/>
      <c r="M14" s="37" t="n"/>
      <c r="N14" s="38" t="n"/>
      <c r="O14" s="37" t="n"/>
      <c r="P14" s="38" t="n"/>
      <c r="Q14" s="37" t="n"/>
      <c r="R14" s="38" t="n"/>
      <c r="S14" s="37" t="n"/>
      <c r="T14" s="38" t="n"/>
      <c r="U14" s="37" t="n"/>
      <c r="V14" s="38" t="n"/>
      <c r="W14" s="37" t="n"/>
      <c r="X14" s="38" t="n"/>
      <c r="Y14" s="37" t="n"/>
      <c r="Z14" s="38" t="n"/>
      <c r="AA14" s="37" t="n"/>
      <c r="AB14" s="38" t="n"/>
      <c r="AC14" s="37" t="n"/>
      <c r="AD14" s="38" t="n"/>
      <c r="AE14" s="37" t="n"/>
      <c r="AF14" s="38" t="n"/>
      <c r="AG14" s="39" t="n"/>
    </row>
    <row r="15" ht="16" customHeight="1">
      <c r="A15" s="40" t="n"/>
      <c r="B15" s="11" t="inlineStr">
        <is>
          <t>Lớp 3</t>
        </is>
      </c>
      <c r="C15" s="37" t="n"/>
      <c r="D15" s="38" t="n"/>
      <c r="E15" s="37" t="n"/>
      <c r="F15" s="38" t="n"/>
      <c r="G15" s="37" t="n"/>
      <c r="H15" s="38" t="n"/>
      <c r="I15" s="37" t="n"/>
      <c r="J15" s="38" t="n"/>
      <c r="K15" s="37" t="n"/>
      <c r="L15" s="38" t="n"/>
      <c r="M15" s="37" t="n"/>
      <c r="N15" s="38" t="n"/>
      <c r="O15" s="37" t="n"/>
      <c r="P15" s="38" t="n"/>
      <c r="Q15" s="37" t="n"/>
      <c r="R15" s="38" t="n"/>
      <c r="S15" s="37" t="n"/>
      <c r="T15" s="38" t="n"/>
      <c r="U15" s="37" t="n"/>
      <c r="V15" s="38" t="n"/>
      <c r="W15" s="37" t="n"/>
      <c r="X15" s="38" t="n"/>
      <c r="Y15" s="37" t="n"/>
      <c r="Z15" s="38" t="n"/>
      <c r="AA15" s="37" t="n"/>
      <c r="AB15" s="38" t="n"/>
      <c r="AC15" s="37" t="n"/>
      <c r="AD15" s="38" t="n"/>
      <c r="AE15" s="37" t="n"/>
      <c r="AF15" s="38" t="n"/>
      <c r="AG15" s="39" t="n"/>
    </row>
    <row r="16" ht="16" customHeight="1">
      <c r="A16" s="40" t="n"/>
      <c r="B16" s="11" t="inlineStr">
        <is>
          <t>Lớp 4</t>
        </is>
      </c>
      <c r="C16" s="37" t="n"/>
      <c r="D16" s="38" t="n"/>
      <c r="E16" s="37" t="n"/>
      <c r="F16" s="38" t="n"/>
      <c r="G16" s="37" t="n"/>
      <c r="H16" s="38" t="n"/>
      <c r="I16" s="37" t="n"/>
      <c r="J16" s="38" t="n"/>
      <c r="K16" s="37" t="n"/>
      <c r="L16" s="38" t="n"/>
      <c r="M16" s="37" t="n"/>
      <c r="N16" s="38" t="n"/>
      <c r="O16" s="37" t="n"/>
      <c r="P16" s="38" t="n"/>
      <c r="Q16" s="37" t="n"/>
      <c r="R16" s="38" t="n"/>
      <c r="S16" s="37" t="n"/>
      <c r="T16" s="38" t="n"/>
      <c r="U16" s="37" t="n"/>
      <c r="V16" s="38" t="n"/>
      <c r="W16" s="37" t="n"/>
      <c r="X16" s="38" t="n"/>
      <c r="Y16" s="37" t="n"/>
      <c r="Z16" s="38" t="n"/>
      <c r="AA16" s="37" t="n"/>
      <c r="AB16" s="38" t="n"/>
      <c r="AC16" s="37" t="n"/>
      <c r="AD16" s="38" t="n"/>
      <c r="AE16" s="37" t="n"/>
      <c r="AF16" s="38" t="n"/>
      <c r="AG16" s="39" t="n"/>
    </row>
    <row r="17" ht="16" customHeight="1">
      <c r="A17" s="40" t="n"/>
      <c r="B17" s="11" t="inlineStr">
        <is>
          <t>Lớp 5</t>
        </is>
      </c>
      <c r="C17" s="37" t="n"/>
      <c r="D17" s="38" t="n"/>
      <c r="E17" s="37" t="n"/>
      <c r="F17" s="38" t="n"/>
      <c r="G17" s="37" t="n"/>
      <c r="H17" s="38" t="n"/>
      <c r="I17" s="37" t="n"/>
      <c r="J17" s="38" t="n"/>
      <c r="K17" s="37" t="n"/>
      <c r="L17" s="38" t="n"/>
      <c r="M17" s="37" t="n"/>
      <c r="N17" s="38" t="n"/>
      <c r="O17" s="37" t="n"/>
      <c r="P17" s="38" t="n"/>
      <c r="Q17" s="37" t="n"/>
      <c r="R17" s="38" t="n"/>
      <c r="S17" s="37" t="n"/>
      <c r="T17" s="38" t="n"/>
      <c r="U17" s="37" t="n"/>
      <c r="V17" s="38" t="n"/>
      <c r="W17" s="37" t="n"/>
      <c r="X17" s="38" t="n"/>
      <c r="Y17" s="37" t="n"/>
      <c r="Z17" s="38" t="n"/>
      <c r="AA17" s="37" t="n"/>
      <c r="AB17" s="38" t="n"/>
      <c r="AC17" s="37" t="n"/>
      <c r="AD17" s="38" t="n"/>
      <c r="AE17" s="37" t="n"/>
      <c r="AF17" s="38" t="n"/>
      <c r="AG17" s="39" t="n"/>
    </row>
    <row r="18" ht="16" customHeight="1">
      <c r="A18" s="36" t="inlineStr">
        <is>
          <t>THÉP TĂNG CƯỜNG
LỚP DƯỚI</t>
        </is>
      </c>
      <c r="B18" s="11" t="inlineStr">
        <is>
          <t>Lớp 5</t>
        </is>
      </c>
      <c r="C18" s="37" t="n"/>
      <c r="D18" s="38" t="n"/>
      <c r="E18" s="37" t="n"/>
      <c r="F18" s="38" t="n"/>
      <c r="G18" s="37" t="n"/>
      <c r="H18" s="38" t="n"/>
      <c r="I18" s="37" t="n"/>
      <c r="J18" s="38" t="n"/>
      <c r="K18" s="37" t="n"/>
      <c r="L18" s="38" t="n"/>
      <c r="M18" s="37" t="n"/>
      <c r="N18" s="38" t="n"/>
      <c r="O18" s="37" t="n"/>
      <c r="P18" s="38" t="n"/>
      <c r="Q18" s="37" t="n"/>
      <c r="R18" s="38" t="n"/>
      <c r="S18" s="37" t="n"/>
      <c r="T18" s="38" t="n"/>
      <c r="U18" s="37" t="n"/>
      <c r="V18" s="38" t="n"/>
      <c r="W18" s="37" t="n"/>
      <c r="X18" s="38" t="n"/>
      <c r="Y18" s="37" t="n"/>
      <c r="Z18" s="38" t="n"/>
      <c r="AA18" s="37" t="n"/>
      <c r="AB18" s="38" t="n"/>
      <c r="AC18" s="37" t="n"/>
      <c r="AD18" s="38" t="n"/>
      <c r="AE18" s="37" t="n"/>
      <c r="AF18" s="38" t="n"/>
      <c r="AG18" s="39" t="n"/>
    </row>
    <row r="19" ht="16" customHeight="1">
      <c r="A19" s="40" t="n"/>
      <c r="B19" s="11" t="inlineStr">
        <is>
          <t>Lớp 4</t>
        </is>
      </c>
      <c r="C19" s="37" t="n"/>
      <c r="D19" s="38" t="n"/>
      <c r="E19" s="37" t="n"/>
      <c r="F19" s="38" t="n"/>
      <c r="G19" s="37" t="n"/>
      <c r="H19" s="38" t="n"/>
      <c r="I19" s="37" t="n"/>
      <c r="J19" s="38" t="n"/>
      <c r="K19" s="37" t="n"/>
      <c r="L19" s="38" t="n"/>
      <c r="M19" s="37" t="n"/>
      <c r="N19" s="38" t="n"/>
      <c r="O19" s="37" t="n"/>
      <c r="P19" s="38" t="n"/>
      <c r="Q19" s="37" t="n"/>
      <c r="R19" s="38" t="n"/>
      <c r="S19" s="37" t="n"/>
      <c r="T19" s="38" t="n"/>
      <c r="U19" s="37" t="n"/>
      <c r="V19" s="38" t="n"/>
      <c r="W19" s="37" t="n"/>
      <c r="X19" s="38" t="n"/>
      <c r="Y19" s="37" t="n"/>
      <c r="Z19" s="38" t="n"/>
      <c r="AA19" s="37" t="n"/>
      <c r="AB19" s="38" t="n"/>
      <c r="AC19" s="37" t="n"/>
      <c r="AD19" s="38" t="n"/>
      <c r="AE19" s="37" t="n"/>
      <c r="AF19" s="38" t="n"/>
      <c r="AG19" s="39" t="n"/>
    </row>
    <row r="20" ht="16" customHeight="1">
      <c r="A20" s="40" t="n"/>
      <c r="B20" s="11" t="inlineStr">
        <is>
          <t>Lớp 3</t>
        </is>
      </c>
      <c r="C20" s="37" t="n"/>
      <c r="D20" s="38" t="n"/>
      <c r="E20" s="37" t="n"/>
      <c r="F20" s="38" t="n"/>
      <c r="G20" s="37" t="n"/>
      <c r="H20" s="38" t="n"/>
      <c r="I20" s="37" t="n"/>
      <c r="J20" s="38" t="n"/>
      <c r="K20" s="37" t="n"/>
      <c r="L20" s="38" t="n"/>
      <c r="M20" s="37" t="n"/>
      <c r="N20" s="38" t="n"/>
      <c r="O20" s="37" t="n"/>
      <c r="P20" s="38" t="n"/>
      <c r="Q20" s="37" t="n"/>
      <c r="R20" s="38" t="n"/>
      <c r="S20" s="37" t="n"/>
      <c r="T20" s="38" t="n"/>
      <c r="U20" s="37" t="n"/>
      <c r="V20" s="38" t="n"/>
      <c r="W20" s="37" t="n"/>
      <c r="X20" s="38" t="n"/>
      <c r="Y20" s="37" t="n"/>
      <c r="Z20" s="38" t="n"/>
      <c r="AA20" s="37" t="n"/>
      <c r="AB20" s="38" t="n"/>
      <c r="AC20" s="37" t="n"/>
      <c r="AD20" s="38" t="n"/>
      <c r="AE20" s="37" t="n"/>
      <c r="AF20" s="38" t="n"/>
      <c r="AG20" s="39" t="n"/>
    </row>
    <row r="21" ht="16" customHeight="1">
      <c r="A21" s="40" t="n"/>
      <c r="B21" s="11" t="inlineStr">
        <is>
          <t>Lớp 2</t>
        </is>
      </c>
      <c r="C21" s="37" t="n"/>
      <c r="D21" s="38" t="n"/>
      <c r="E21" s="37" t="n"/>
      <c r="F21" s="38" t="n"/>
      <c r="G21" s="37" t="n"/>
      <c r="H21" s="38" t="n"/>
      <c r="I21" s="37" t="n"/>
      <c r="J21" s="38" t="n"/>
      <c r="K21" s="37" t="n"/>
      <c r="L21" s="38" t="n"/>
      <c r="M21" s="37" t="n"/>
      <c r="N21" s="38" t="n"/>
      <c r="O21" s="37" t="n"/>
      <c r="P21" s="38" t="n"/>
      <c r="Q21" s="37" t="n"/>
      <c r="R21" s="38" t="n"/>
      <c r="S21" s="37" t="n"/>
      <c r="T21" s="38" t="n"/>
      <c r="U21" s="37" t="n"/>
      <c r="V21" s="38" t="n"/>
      <c r="W21" s="37" t="n"/>
      <c r="X21" s="38" t="n"/>
      <c r="Y21" s="37" t="n"/>
      <c r="Z21" s="38" t="n"/>
      <c r="AA21" s="37" t="n"/>
      <c r="AB21" s="38" t="n"/>
      <c r="AC21" s="37" t="n"/>
      <c r="AD21" s="38" t="n"/>
      <c r="AE21" s="37" t="n"/>
      <c r="AF21" s="38" t="n"/>
      <c r="AG21" s="39" t="n"/>
    </row>
    <row r="22" ht="16" customHeight="1">
      <c r="A22" s="40" t="n"/>
      <c r="B22" s="11" t="inlineStr">
        <is>
          <t>Lớp 1</t>
        </is>
      </c>
      <c r="C22" s="37" t="n"/>
      <c r="D22" s="38" t="n"/>
      <c r="E22" s="37" t="n"/>
      <c r="F22" s="38" t="n"/>
      <c r="G22" s="37" t="n"/>
      <c r="H22" s="38" t="n"/>
      <c r="I22" s="37" t="n"/>
      <c r="J22" s="38" t="n"/>
      <c r="K22" s="37" t="n"/>
      <c r="L22" s="38" t="n"/>
      <c r="M22" s="37" t="n"/>
      <c r="N22" s="38" t="n"/>
      <c r="O22" s="37" t="n"/>
      <c r="P22" s="38" t="n"/>
      <c r="Q22" s="37" t="n"/>
      <c r="R22" s="38" t="n"/>
      <c r="S22" s="37" t="n"/>
      <c r="T22" s="38" t="n"/>
      <c r="U22" s="37" t="n"/>
      <c r="V22" s="38" t="n"/>
      <c r="W22" s="37" t="n"/>
      <c r="X22" s="38" t="n"/>
      <c r="Y22" s="37" t="n"/>
      <c r="Z22" s="38" t="n"/>
      <c r="AA22" s="37" t="n"/>
      <c r="AB22" s="38" t="n"/>
      <c r="AC22" s="37" t="n"/>
      <c r="AD22" s="38" t="n"/>
      <c r="AE22" s="37" t="n"/>
      <c r="AF22" s="38" t="n"/>
      <c r="AG22" s="39" t="n"/>
    </row>
    <row r="23" ht="21" customHeight="1">
      <c r="A23" s="28" t="inlineStr">
        <is>
          <t>Gối: ẩn cột  ·  Nhịp: đổi thép chạy TRÊN</t>
        </is>
      </c>
      <c r="B23" s="6" t="n"/>
      <c r="C23" s="41" t="n"/>
      <c r="D23" s="34" t="n"/>
      <c r="E23" s="41" t="n"/>
      <c r="F23" s="34" t="n"/>
      <c r="G23" s="41" t="n"/>
      <c r="H23" s="34" t="n"/>
      <c r="I23" s="41" t="n"/>
      <c r="J23" s="34" t="n"/>
      <c r="K23" s="41" t="n"/>
      <c r="L23" s="34" t="n"/>
      <c r="M23" s="41" t="n"/>
      <c r="N23" s="34" t="n"/>
      <c r="O23" s="41" t="n"/>
      <c r="P23" s="34" t="n"/>
      <c r="Q23" s="41" t="n"/>
      <c r="R23" s="34" t="n"/>
      <c r="S23" s="41" t="n"/>
      <c r="T23" s="34" t="n"/>
      <c r="U23" s="41" t="n"/>
      <c r="V23" s="34" t="n"/>
      <c r="W23" s="41" t="n"/>
      <c r="X23" s="34" t="n"/>
      <c r="Y23" s="41" t="n"/>
      <c r="Z23" s="34" t="n"/>
      <c r="AA23" s="41" t="n"/>
      <c r="AB23" s="34" t="n"/>
      <c r="AC23" s="41" t="n"/>
      <c r="AD23" s="34" t="n"/>
      <c r="AE23" s="41" t="n"/>
      <c r="AF23" s="34" t="n"/>
      <c r="AG23" s="42" t="n"/>
    </row>
    <row r="24" ht="21" customHeight="1">
      <c r="A24" s="28" t="inlineStr">
        <is>
          <t>Gối: dầm giao tại cột  ·  Nhịp: thép giá</t>
        </is>
      </c>
      <c r="B24" s="6" t="n"/>
      <c r="C24" s="41" t="n"/>
      <c r="D24" s="34" t="n"/>
      <c r="E24" s="41" t="n"/>
      <c r="F24" s="34" t="n"/>
      <c r="G24" s="41" t="n"/>
      <c r="H24" s="34" t="n"/>
      <c r="I24" s="41" t="n"/>
      <c r="J24" s="34" t="n"/>
      <c r="K24" s="41" t="n"/>
      <c r="L24" s="34" t="n"/>
      <c r="M24" s="41" t="n"/>
      <c r="N24" s="34" t="n"/>
      <c r="O24" s="41" t="n"/>
      <c r="P24" s="34" t="n"/>
      <c r="Q24" s="41" t="n"/>
      <c r="R24" s="34" t="n"/>
      <c r="S24" s="41" t="n"/>
      <c r="T24" s="34" t="n"/>
      <c r="U24" s="41" t="n"/>
      <c r="V24" s="34" t="n"/>
      <c r="W24" s="41" t="n"/>
      <c r="X24" s="34" t="n"/>
      <c r="Y24" s="41" t="n"/>
      <c r="Z24" s="34" t="n"/>
      <c r="AA24" s="41" t="n"/>
      <c r="AB24" s="34" t="n"/>
      <c r="AC24" s="41" t="n"/>
      <c r="AD24" s="34" t="n"/>
      <c r="AE24" s="41" t="n"/>
      <c r="AF24" s="34" t="n"/>
      <c r="AG24" s="42" t="n"/>
    </row>
    <row r="25" ht="21" customHeight="1">
      <c r="A25" s="28" t="inlineStr">
        <is>
          <t>Gối: lệch dầm giao  ·  Nhịp: đổi thép chạy DƯỚI</t>
        </is>
      </c>
      <c r="B25" s="6" t="n"/>
      <c r="C25" s="41" t="n"/>
      <c r="D25" s="34" t="n"/>
      <c r="E25" s="41" t="n"/>
      <c r="F25" s="34" t="n"/>
      <c r="G25" s="41" t="n"/>
      <c r="H25" s="34" t="n"/>
      <c r="I25" s="41" t="n"/>
      <c r="J25" s="34" t="n"/>
      <c r="K25" s="41" t="n"/>
      <c r="L25" s="34" t="n"/>
      <c r="M25" s="41" t="n"/>
      <c r="N25" s="34" t="n"/>
      <c r="O25" s="41" t="n"/>
      <c r="P25" s="34" t="n"/>
      <c r="Q25" s="41" t="n"/>
      <c r="R25" s="34" t="n"/>
      <c r="S25" s="41" t="n"/>
      <c r="T25" s="34" t="n"/>
      <c r="U25" s="41" t="n"/>
      <c r="V25" s="34" t="n"/>
      <c r="W25" s="41" t="n"/>
      <c r="X25" s="34" t="n"/>
      <c r="Y25" s="41" t="n"/>
      <c r="Z25" s="34" t="n"/>
      <c r="AA25" s="41" t="n"/>
      <c r="AB25" s="34" t="n"/>
      <c r="AC25" s="41" t="n"/>
      <c r="AD25" s="34" t="n"/>
      <c r="AE25" s="41" t="n"/>
      <c r="AF25" s="34" t="n"/>
      <c r="AG25" s="42" t="n"/>
    </row>
    <row r="26" ht="21" customHeight="1">
      <c r="A26" s="28" t="inlineStr">
        <is>
          <t>Gối: tên trục  ·  Nhịp: thép đai</t>
        </is>
      </c>
      <c r="B26" s="6" t="n"/>
      <c r="C26" s="41" t="n"/>
      <c r="D26" s="34" t="n"/>
      <c r="E26" s="41" t="n"/>
      <c r="F26" s="34" t="n"/>
      <c r="G26" s="41" t="n"/>
      <c r="H26" s="34" t="n"/>
      <c r="I26" s="41" t="n"/>
      <c r="J26" s="34" t="n"/>
      <c r="K26" s="41" t="n"/>
      <c r="L26" s="34" t="n"/>
      <c r="M26" s="41" t="n"/>
      <c r="N26" s="34" t="n"/>
      <c r="O26" s="41" t="n"/>
      <c r="P26" s="34" t="n"/>
      <c r="Q26" s="41" t="n"/>
      <c r="R26" s="34" t="n"/>
      <c r="S26" s="41" t="n"/>
      <c r="T26" s="34" t="n"/>
      <c r="U26" s="41" t="n"/>
      <c r="V26" s="34" t="n"/>
      <c r="W26" s="41" t="n"/>
      <c r="X26" s="34" t="n"/>
      <c r="Y26" s="41" t="n"/>
      <c r="Z26" s="34" t="n"/>
      <c r="AA26" s="41" t="n"/>
      <c r="AB26" s="34" t="n"/>
      <c r="AC26" s="41" t="n"/>
      <c r="AD26" s="34" t="n"/>
      <c r="AE26" s="41" t="n"/>
      <c r="AF26" s="34" t="n"/>
      <c r="AG26" s="42" t="n"/>
    </row>
    <row r="27" ht="21" customHeight="1">
      <c r="A27" s="28" t="inlineStr">
        <is>
          <t>Gối: lệch trục  ·  Nhịp: đai trong / cắt thép</t>
        </is>
      </c>
      <c r="B27" s="6" t="n"/>
      <c r="C27" s="41" t="n"/>
      <c r="D27" s="34" t="n"/>
      <c r="E27" s="41" t="n"/>
      <c r="F27" s="34" t="n"/>
      <c r="G27" s="41" t="n"/>
      <c r="H27" s="34" t="n"/>
      <c r="I27" s="41" t="n"/>
      <c r="J27" s="34" t="n"/>
      <c r="K27" s="41" t="n"/>
      <c r="L27" s="34" t="n"/>
      <c r="M27" s="41" t="n"/>
      <c r="N27" s="34" t="n"/>
      <c r="O27" s="41" t="n"/>
      <c r="P27" s="34" t="n"/>
      <c r="Q27" s="41" t="n"/>
      <c r="R27" s="34" t="n"/>
      <c r="S27" s="41" t="n"/>
      <c r="T27" s="34" t="n"/>
      <c r="U27" s="41" t="n"/>
      <c r="V27" s="34" t="n"/>
      <c r="W27" s="41" t="n"/>
      <c r="X27" s="34" t="n"/>
      <c r="Y27" s="41" t="n"/>
      <c r="Z27" s="34" t="n"/>
      <c r="AA27" s="41" t="n"/>
      <c r="AB27" s="34" t="n"/>
      <c r="AC27" s="41" t="n"/>
      <c r="AD27" s="34" t="n"/>
      <c r="AE27" s="41" t="n"/>
      <c r="AF27" s="34" t="n"/>
      <c r="AG27" s="42" t="n"/>
    </row>
    <row r="28" ht="21" customHeight="1">
      <c r="A28" s="28" t="inlineStr">
        <is>
          <t>Gối: dầm giao trong nhịp phải  ·  Nhịp: kiểu đai</t>
        </is>
      </c>
      <c r="B28" s="6" t="n"/>
      <c r="C28" s="41" t="n"/>
      <c r="D28" s="34" t="n"/>
      <c r="E28" s="41" t="n"/>
      <c r="F28" s="34" t="n"/>
      <c r="G28" s="41" t="n"/>
      <c r="H28" s="34" t="n"/>
      <c r="I28" s="41" t="n"/>
      <c r="J28" s="34" t="n"/>
      <c r="K28" s="41" t="n"/>
      <c r="L28" s="34" t="n"/>
      <c r="M28" s="41" t="n"/>
      <c r="N28" s="34" t="n"/>
      <c r="O28" s="41" t="n"/>
      <c r="P28" s="34" t="n"/>
      <c r="Q28" s="41" t="n"/>
      <c r="R28" s="34" t="n"/>
      <c r="S28" s="41" t="n"/>
      <c r="T28" s="34" t="n"/>
      <c r="U28" s="41" t="n"/>
      <c r="V28" s="34" t="n"/>
      <c r="W28" s="41" t="n"/>
      <c r="X28" s="34" t="n"/>
      <c r="Y28" s="41" t="n"/>
      <c r="Z28" s="34" t="n"/>
      <c r="AA28" s="41" t="n"/>
      <c r="AB28" s="34" t="n"/>
      <c r="AC28" s="41" t="n"/>
      <c r="AD28" s="34" t="n"/>
      <c r="AE28" s="41" t="n"/>
      <c r="AF28" s="34" t="n"/>
      <c r="AG28" s="42" t="n"/>
    </row>
    <row r="29" ht="21" customHeight="1">
      <c r="A29" s="28" t="inlineStr">
        <is>
          <t>Gối: vị trí dầm giao  ·  Nhịp: đai gia cường</t>
        </is>
      </c>
      <c r="B29" s="6" t="n"/>
      <c r="C29" s="41" t="n"/>
      <c r="D29" s="34" t="n"/>
      <c r="E29" s="41" t="n"/>
      <c r="F29" s="34" t="n"/>
      <c r="G29" s="41" t="n"/>
      <c r="H29" s="34" t="n"/>
      <c r="I29" s="41" t="n"/>
      <c r="J29" s="34" t="n"/>
      <c r="K29" s="41" t="n"/>
      <c r="L29" s="34" t="n"/>
      <c r="M29" s="41" t="n"/>
      <c r="N29" s="34" t="n"/>
      <c r="O29" s="41" t="n"/>
      <c r="P29" s="34" t="n"/>
      <c r="Q29" s="41" t="n"/>
      <c r="R29" s="34" t="n"/>
      <c r="S29" s="41" t="n"/>
      <c r="T29" s="34" t="n"/>
      <c r="U29" s="41" t="n"/>
      <c r="V29" s="34" t="n"/>
      <c r="W29" s="41" t="n"/>
      <c r="X29" s="34" t="n"/>
      <c r="Y29" s="41" t="n"/>
      <c r="Z29" s="34" t="n"/>
      <c r="AA29" s="41" t="n"/>
      <c r="AB29" s="34" t="n"/>
      <c r="AC29" s="41" t="n"/>
      <c r="AD29" s="34" t="n"/>
      <c r="AE29" s="41" t="n"/>
      <c r="AF29" s="34" t="n"/>
      <c r="AG29" s="42" t="n"/>
    </row>
    <row r="30" ht="21" customHeight="1">
      <c r="A30" s="43" t="inlineStr">
        <is>
          <t>Nhịp: thép vai bò tại dầm giao</t>
        </is>
      </c>
      <c r="B30" s="44" t="n"/>
      <c r="C30" s="45" t="inlineStr"/>
      <c r="D30" s="46" t="n"/>
      <c r="E30" s="45" t="inlineStr"/>
      <c r="F30" s="46" t="n"/>
      <c r="G30" s="45" t="inlineStr"/>
      <c r="H30" s="46" t="n"/>
      <c r="I30" s="45" t="inlineStr"/>
      <c r="J30" s="46" t="n"/>
      <c r="K30" s="45" t="inlineStr"/>
      <c r="L30" s="46" t="n"/>
      <c r="M30" s="45" t="inlineStr"/>
      <c r="N30" s="46" t="n"/>
      <c r="O30" s="45" t="inlineStr"/>
      <c r="P30" s="46" t="n"/>
      <c r="Q30" s="45" t="inlineStr"/>
      <c r="R30" s="46" t="n"/>
      <c r="S30" s="45" t="inlineStr"/>
      <c r="T30" s="46" t="n"/>
      <c r="U30" s="45" t="inlineStr"/>
      <c r="V30" s="46" t="n"/>
      <c r="W30" s="45" t="inlineStr"/>
      <c r="X30" s="46" t="n"/>
      <c r="Y30" s="45" t="inlineStr"/>
      <c r="Z30" s="46" t="n"/>
      <c r="AA30" s="45" t="inlineStr"/>
      <c r="AB30" s="46" t="n"/>
      <c r="AC30" s="45" t="inlineStr"/>
      <c r="AD30" s="46" t="n"/>
      <c r="AE30" s="45" t="inlineStr"/>
      <c r="AF30" s="46" t="n"/>
      <c r="AG30" s="47" t="inlineStr"/>
    </row>
    <row r="32" ht="18" customHeight="1">
      <c r="A32" s="48" t="inlineStr">
        <is>
          <t>KIỂM TRA HÌNH HỌC (tự tính – đối chiếu mặt bằng kết cấu)</t>
        </is>
      </c>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c r="AA32" s="49" t="n"/>
      <c r="AB32" s="49" t="n"/>
      <c r="AC32" s="49" t="n"/>
      <c r="AD32" s="49" t="n"/>
      <c r="AE32" s="49" t="n"/>
      <c r="AF32" s="49" t="n"/>
      <c r="AG32" s="49" t="n"/>
    </row>
    <row r="33" ht="27" customHeight="1">
      <c r="A33" s="50" t="inlineStr">
        <is>
          <t>Gối: tọa độ trục (gốc = trục gối 1)  ·  Nhịp: KC trục-trục (mm)</t>
        </is>
      </c>
      <c r="B33" s="6" t="n"/>
      <c r="C33" s="51">
        <f>IF(C63=1,C62-$C$62,"")</f>
        <v/>
      </c>
      <c r="D33" s="51">
        <f>IF(D63=1,IFERROR(E62-C62,""),"")</f>
        <v/>
      </c>
      <c r="E33" s="51">
        <f>IF(E63=1,E62-$C$62,"")</f>
        <v/>
      </c>
      <c r="F33" s="51">
        <f>IF(F63=1,IFERROR(G62-E62,""),"")</f>
        <v/>
      </c>
      <c r="G33" s="51">
        <f>IF(G63=1,G62-$C$62,"")</f>
        <v/>
      </c>
      <c r="H33" s="51">
        <f>IF(H63=1,IFERROR(I62-G62,""),"")</f>
        <v/>
      </c>
      <c r="I33" s="51">
        <f>IF(I63=1,I62-$C$62,"")</f>
        <v/>
      </c>
      <c r="J33" s="51">
        <f>IF(J63=1,IFERROR(K62-I62,""),"")</f>
        <v/>
      </c>
      <c r="K33" s="51">
        <f>IF(K63=1,K62-$C$62,"")</f>
        <v/>
      </c>
      <c r="L33" s="51">
        <f>IF(L63=1,IFERROR(M62-K62,""),"")</f>
        <v/>
      </c>
      <c r="M33" s="51">
        <f>IF(M63=1,M62-$C$62,"")</f>
        <v/>
      </c>
      <c r="N33" s="51">
        <f>IF(N63=1,IFERROR(O62-M62,""),"")</f>
        <v/>
      </c>
      <c r="O33" s="51">
        <f>IF(O63=1,O62-$C$62,"")</f>
        <v/>
      </c>
      <c r="P33" s="51">
        <f>IF(P63=1,IFERROR(Q62-O62,""),"")</f>
        <v/>
      </c>
      <c r="Q33" s="51">
        <f>IF(Q63=1,Q62-$C$62,"")</f>
        <v/>
      </c>
      <c r="R33" s="51">
        <f>IF(R63=1,IFERROR(S62-Q62,""),"")</f>
        <v/>
      </c>
      <c r="S33" s="51">
        <f>IF(S63=1,S62-$C$62,"")</f>
        <v/>
      </c>
      <c r="T33" s="51">
        <f>IF(T63=1,IFERROR(U62-S62,""),"")</f>
        <v/>
      </c>
      <c r="U33" s="51">
        <f>IF(U63=1,U62-$C$62,"")</f>
        <v/>
      </c>
      <c r="V33" s="51">
        <f>IF(V63=1,IFERROR(W62-U62,""),"")</f>
        <v/>
      </c>
      <c r="W33" s="51">
        <f>IF(W63=1,W62-$C$62,"")</f>
        <v/>
      </c>
      <c r="X33" s="51">
        <f>IF(X63=1,IFERROR(Y62-W62,""),"")</f>
        <v/>
      </c>
      <c r="Y33" s="51">
        <f>IF(Y63=1,Y62-$C$62,"")</f>
        <v/>
      </c>
      <c r="Z33" s="51">
        <f>IF(Z63=1,IFERROR(AA62-Y62,""),"")</f>
        <v/>
      </c>
      <c r="AA33" s="51">
        <f>IF(AA63=1,AA62-$C$62,"")</f>
        <v/>
      </c>
      <c r="AB33" s="51">
        <f>IF(AB63=1,IFERROR(AC62-AA62,""),"")</f>
        <v/>
      </c>
      <c r="AC33" s="51">
        <f>IF(AC63=1,AC62-$C$62,"")</f>
        <v/>
      </c>
      <c r="AD33" s="51">
        <f>IF(AD63=1,IFERROR(AE62-AC62,""),"")</f>
        <v/>
      </c>
      <c r="AE33" s="51">
        <f>IF(AE63=1,AE62-$C$62,"")</f>
        <v/>
      </c>
      <c r="AF33" s="51">
        <f>IF(AF63=1,IFERROR(AG62-AE62,""),"")</f>
        <v/>
      </c>
      <c r="AG33" s="51">
        <f>IF(AG63=1,AG62-$C$62,"")</f>
        <v/>
      </c>
    </row>
    <row r="34" ht="27" customHeight="1">
      <c r="A34" s="52" t="inlineStr">
        <is>
          <t>Nhịp: KC trục theo mặt bằng (nhập để đối chiếu)</t>
        </is>
      </c>
      <c r="B34" s="6" t="n"/>
      <c r="C34" s="53" t="n"/>
      <c r="D34" s="54" t="n"/>
      <c r="E34" s="53" t="n"/>
      <c r="F34" s="54" t="n"/>
      <c r="G34" s="53" t="n"/>
      <c r="H34" s="54" t="n"/>
      <c r="I34" s="53" t="n"/>
      <c r="J34" s="54" t="n"/>
      <c r="K34" s="53" t="n"/>
      <c r="L34" s="54" t="n"/>
      <c r="M34" s="53" t="n"/>
      <c r="N34" s="54" t="n"/>
      <c r="O34" s="53" t="n"/>
      <c r="P34" s="54" t="n"/>
      <c r="Q34" s="53" t="n"/>
      <c r="R34" s="54" t="n"/>
      <c r="S34" s="53" t="n"/>
      <c r="T34" s="54" t="n"/>
      <c r="U34" s="53" t="n"/>
      <c r="V34" s="54" t="n"/>
      <c r="W34" s="53" t="n"/>
      <c r="X34" s="54" t="n"/>
      <c r="Y34" s="53" t="n"/>
      <c r="Z34" s="54" t="n"/>
      <c r="AA34" s="53" t="n"/>
      <c r="AB34" s="54" t="n"/>
      <c r="AC34" s="53" t="n"/>
      <c r="AD34" s="54" t="n"/>
      <c r="AE34" s="53" t="n"/>
      <c r="AF34" s="54" t="n"/>
      <c r="AG34" s="53" t="n"/>
    </row>
    <row r="35" ht="27" customHeight="1">
      <c r="A35" s="50" t="inlineStr">
        <is>
          <t>Nhịp: Ltt suy ra từ KC trục ở dòng 34 (mm)</t>
        </is>
      </c>
      <c r="B35" s="6" t="n"/>
      <c r="C35" s="51" t="n"/>
      <c r="D35" s="51">
        <f>IF(D34="","",D34-(N(C60)/2-C67)-(N(E60)/2+E67))</f>
        <v/>
      </c>
      <c r="E35" s="51" t="n"/>
      <c r="F35" s="51">
        <f>IF(F34="","",F34-(N(E60)/2-E67)-(N(G60)/2+G67))</f>
        <v/>
      </c>
      <c r="G35" s="51" t="n"/>
      <c r="H35" s="51">
        <f>IF(H34="","",H34-(N(G60)/2-G67)-(N(I60)/2+I67))</f>
        <v/>
      </c>
      <c r="I35" s="51" t="n"/>
      <c r="J35" s="51">
        <f>IF(J34="","",J34-(N(I60)/2-I67)-(N(K60)/2+K67))</f>
        <v/>
      </c>
      <c r="K35" s="51" t="n"/>
      <c r="L35" s="51">
        <f>IF(L34="","",L34-(N(K60)/2-K67)-(N(M60)/2+M67))</f>
        <v/>
      </c>
      <c r="M35" s="51" t="n"/>
      <c r="N35" s="51">
        <f>IF(N34="","",N34-(N(M60)/2-M67)-(N(O60)/2+O67))</f>
        <v/>
      </c>
      <c r="O35" s="51" t="n"/>
      <c r="P35" s="51">
        <f>IF(P34="","",P34-(N(O60)/2-O67)-(N(Q60)/2+Q67))</f>
        <v/>
      </c>
      <c r="Q35" s="51" t="n"/>
      <c r="R35" s="51">
        <f>IF(R34="","",R34-(N(Q60)/2-Q67)-(N(S60)/2+S67))</f>
        <v/>
      </c>
      <c r="S35" s="51" t="n"/>
      <c r="T35" s="51">
        <f>IF(T34="","",T34-(N(S60)/2-S67)-(N(U60)/2+U67))</f>
        <v/>
      </c>
      <c r="U35" s="51" t="n"/>
      <c r="V35" s="51">
        <f>IF(V34="","",V34-(N(U60)/2-U67)-(N(W60)/2+W67))</f>
        <v/>
      </c>
      <c r="W35" s="51" t="n"/>
      <c r="X35" s="51">
        <f>IF(X34="","",X34-(N(W60)/2-W67)-(N(Y60)/2+Y67))</f>
        <v/>
      </c>
      <c r="Y35" s="51" t="n"/>
      <c r="Z35" s="51">
        <f>IF(Z34="","",Z34-(N(Y60)/2-Y67)-(N(AA60)/2+AA67))</f>
        <v/>
      </c>
      <c r="AA35" s="51" t="n"/>
      <c r="AB35" s="51">
        <f>IF(AB34="","",AB34-(N(AA60)/2-AA67)-(N(AC60)/2+AC67))</f>
        <v/>
      </c>
      <c r="AC35" s="51" t="n"/>
      <c r="AD35" s="51">
        <f>IF(AD34="","",AD34-(N(AC60)/2-AC67)-(N(AE60)/2+AE67))</f>
        <v/>
      </c>
      <c r="AE35" s="51" t="n"/>
      <c r="AF35" s="51">
        <f>IF(AF34="","",AF34-(N(AE60)/2-AE67)-(N(AG60)/2+AG67))</f>
        <v/>
      </c>
      <c r="AG35" s="51" t="n"/>
    </row>
    <row r="36" ht="18" customHeight="1">
      <c r="A36" s="48" t="inlineStr">
        <is>
          <t>KIỂM TRA DIỆN TÍCH THÉP (cm²) – thép chạy suốt hiệu dụng + tăng cường lớp 1..5 (gối: trái/phải)</t>
        </is>
      </c>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c r="AA36" s="49" t="n"/>
      <c r="AB36" s="49" t="n"/>
      <c r="AC36" s="49" t="n"/>
      <c r="AD36" s="49" t="n"/>
      <c r="AE36" s="49" t="n"/>
      <c r="AF36" s="49" t="n"/>
      <c r="AG36" s="49" t="n"/>
    </row>
    <row r="37" ht="27" customHeight="1">
      <c r="A37" s="52" t="inlineStr">
        <is>
          <t>As yêu cầu TRÊN (nhập; gối: trái/phải vd 2.63/1.45)</t>
        </is>
      </c>
      <c r="B37" s="6" t="n"/>
      <c r="C37" s="55" t="n"/>
      <c r="D37" s="55" t="n"/>
      <c r="E37" s="55" t="n"/>
      <c r="F37" s="55" t="n"/>
      <c r="G37" s="55" t="n"/>
      <c r="H37" s="55" t="n"/>
      <c r="I37" s="55" t="n"/>
      <c r="J37" s="55" t="n"/>
      <c r="K37" s="55" t="n"/>
      <c r="L37" s="55" t="n"/>
      <c r="M37" s="55" t="n"/>
      <c r="N37" s="55" t="n"/>
      <c r="O37" s="55" t="n"/>
      <c r="P37" s="55" t="n"/>
      <c r="Q37" s="55" t="n"/>
      <c r="R37" s="55" t="n"/>
      <c r="S37" s="55" t="n"/>
      <c r="T37" s="55" t="n"/>
      <c r="U37" s="55" t="n"/>
      <c r="V37" s="55" t="n"/>
      <c r="W37" s="55" t="n"/>
      <c r="X37" s="55" t="n"/>
      <c r="Y37" s="55" t="n"/>
      <c r="Z37" s="55" t="n"/>
      <c r="AA37" s="55" t="n"/>
      <c r="AB37" s="55" t="n"/>
      <c r="AC37" s="55" t="n"/>
      <c r="AD37" s="55" t="n"/>
      <c r="AE37" s="55" t="n"/>
      <c r="AF37" s="55" t="n"/>
      <c r="AG37" s="55" t="n"/>
    </row>
    <row r="38" ht="27" customHeight="1">
      <c r="A38" s="50" t="inlineStr">
        <is>
          <t>As bố trí TRÊN</t>
        </is>
      </c>
      <c r="B38" s="6" t="n"/>
      <c r="C38" s="56">
        <f>IF(C63=1,IF(C65*C66=1,FIXED(C116,2,TRUE)&amp;"/"&amp;FIXED(C117,2,TRUE),IF(C65=1,FIXED(C116,2,TRUE),FIXED(C117,2,TRUE))),"")</f>
        <v/>
      </c>
      <c r="D38" s="57">
        <f>IF(D63=1,ROUND(D116,2),"")</f>
        <v/>
      </c>
      <c r="E38" s="56">
        <f>IF(E63=1,IF(E65*E66=1,FIXED(E116,2,TRUE)&amp;"/"&amp;FIXED(E117,2,TRUE),IF(E65=1,FIXED(E116,2,TRUE),FIXED(E117,2,TRUE))),"")</f>
        <v/>
      </c>
      <c r="F38" s="57">
        <f>IF(F63=1,ROUND(F116,2),"")</f>
        <v/>
      </c>
      <c r="G38" s="56">
        <f>IF(G63=1,IF(G65*G66=1,FIXED(G116,2,TRUE)&amp;"/"&amp;FIXED(G117,2,TRUE),IF(G65=1,FIXED(G116,2,TRUE),FIXED(G117,2,TRUE))),"")</f>
        <v/>
      </c>
      <c r="H38" s="57">
        <f>IF(H63=1,ROUND(H116,2),"")</f>
        <v/>
      </c>
      <c r="I38" s="56">
        <f>IF(I63=1,IF(I65*I66=1,FIXED(I116,2,TRUE)&amp;"/"&amp;FIXED(I117,2,TRUE),IF(I65=1,FIXED(I116,2,TRUE),FIXED(I117,2,TRUE))),"")</f>
        <v/>
      </c>
      <c r="J38" s="57">
        <f>IF(J63=1,ROUND(J116,2),"")</f>
        <v/>
      </c>
      <c r="K38" s="56">
        <f>IF(K63=1,IF(K65*K66=1,FIXED(K116,2,TRUE)&amp;"/"&amp;FIXED(K117,2,TRUE),IF(K65=1,FIXED(K116,2,TRUE),FIXED(K117,2,TRUE))),"")</f>
        <v/>
      </c>
      <c r="L38" s="57">
        <f>IF(L63=1,ROUND(L116,2),"")</f>
        <v/>
      </c>
      <c r="M38" s="56">
        <f>IF(M63=1,IF(M65*M66=1,FIXED(M116,2,TRUE)&amp;"/"&amp;FIXED(M117,2,TRUE),IF(M65=1,FIXED(M116,2,TRUE),FIXED(M117,2,TRUE))),"")</f>
        <v/>
      </c>
      <c r="N38" s="57">
        <f>IF(N63=1,ROUND(N116,2),"")</f>
        <v/>
      </c>
      <c r="O38" s="56">
        <f>IF(O63=1,IF(O65*O66=1,FIXED(O116,2,TRUE)&amp;"/"&amp;FIXED(O117,2,TRUE),IF(O65=1,FIXED(O116,2,TRUE),FIXED(O117,2,TRUE))),"")</f>
        <v/>
      </c>
      <c r="P38" s="57">
        <f>IF(P63=1,ROUND(P116,2),"")</f>
        <v/>
      </c>
      <c r="Q38" s="56">
        <f>IF(Q63=1,IF(Q65*Q66=1,FIXED(Q116,2,TRUE)&amp;"/"&amp;FIXED(Q117,2,TRUE),IF(Q65=1,FIXED(Q116,2,TRUE),FIXED(Q117,2,TRUE))),"")</f>
        <v/>
      </c>
      <c r="R38" s="57">
        <f>IF(R63=1,ROUND(R116,2),"")</f>
        <v/>
      </c>
      <c r="S38" s="56">
        <f>IF(S63=1,IF(S65*S66=1,FIXED(S116,2,TRUE)&amp;"/"&amp;FIXED(S117,2,TRUE),IF(S65=1,FIXED(S116,2,TRUE),FIXED(S117,2,TRUE))),"")</f>
        <v/>
      </c>
      <c r="T38" s="57">
        <f>IF(T63=1,ROUND(T116,2),"")</f>
        <v/>
      </c>
      <c r="U38" s="56">
        <f>IF(U63=1,IF(U65*U66=1,FIXED(U116,2,TRUE)&amp;"/"&amp;FIXED(U117,2,TRUE),IF(U65=1,FIXED(U116,2,TRUE),FIXED(U117,2,TRUE))),"")</f>
        <v/>
      </c>
      <c r="V38" s="57">
        <f>IF(V63=1,ROUND(V116,2),"")</f>
        <v/>
      </c>
      <c r="W38" s="56">
        <f>IF(W63=1,IF(W65*W66=1,FIXED(W116,2,TRUE)&amp;"/"&amp;FIXED(W117,2,TRUE),IF(W65=1,FIXED(W116,2,TRUE),FIXED(W117,2,TRUE))),"")</f>
        <v/>
      </c>
      <c r="X38" s="57">
        <f>IF(X63=1,ROUND(X116,2),"")</f>
        <v/>
      </c>
      <c r="Y38" s="56">
        <f>IF(Y63=1,IF(Y65*Y66=1,FIXED(Y116,2,TRUE)&amp;"/"&amp;FIXED(Y117,2,TRUE),IF(Y65=1,FIXED(Y116,2,TRUE),FIXED(Y117,2,TRUE))),"")</f>
        <v/>
      </c>
      <c r="Z38" s="57">
        <f>IF(Z63=1,ROUND(Z116,2),"")</f>
        <v/>
      </c>
      <c r="AA38" s="56">
        <f>IF(AA63=1,IF(AA65*AA66=1,FIXED(AA116,2,TRUE)&amp;"/"&amp;FIXED(AA117,2,TRUE),IF(AA65=1,FIXED(AA116,2,TRUE),FIXED(AA117,2,TRUE))),"")</f>
        <v/>
      </c>
      <c r="AB38" s="57">
        <f>IF(AB63=1,ROUND(AB116,2),"")</f>
        <v/>
      </c>
      <c r="AC38" s="56">
        <f>IF(AC63=1,IF(AC65*AC66=1,FIXED(AC116,2,TRUE)&amp;"/"&amp;FIXED(AC117,2,TRUE),IF(AC65=1,FIXED(AC116,2,TRUE),FIXED(AC117,2,TRUE))),"")</f>
        <v/>
      </c>
      <c r="AD38" s="57">
        <f>IF(AD63=1,ROUND(AD116,2),"")</f>
        <v/>
      </c>
      <c r="AE38" s="56">
        <f>IF(AE63=1,IF(AE65*AE66=1,FIXED(AE116,2,TRUE)&amp;"/"&amp;FIXED(AE117,2,TRUE),IF(AE65=1,FIXED(AE116,2,TRUE),FIXED(AE117,2,TRUE))),"")</f>
        <v/>
      </c>
      <c r="AF38" s="57">
        <f>IF(AF63=1,ROUND(AF116,2),"")</f>
        <v/>
      </c>
      <c r="AG38" s="56">
        <f>IF(AG63=1,IF(AG65*AG66=1,FIXED(AG116,2,TRUE)&amp;"/"&amp;FIXED(AG117,2,TRUE),IF(AG65=1,FIXED(AG116,2,TRUE),FIXED(AG117,2,TRUE))),"")</f>
        <v/>
      </c>
    </row>
    <row r="39" ht="27" customHeight="1">
      <c r="A39" s="50" t="inlineStr">
        <is>
          <t>Hệ số As bố trí / yêu cầu TRÊN</t>
        </is>
      </c>
      <c r="B39" s="6" t="n"/>
      <c r="C39" s="57">
        <f>IF(OR(C63=0,C120=""),"",IF(MIN(IF(AND(C65=1,N(C120)&gt;0),C116/C120,99),IF(AND(C66=1,N(C121)&gt;0),C117/C121,99))=99,"",ROUND(MIN(IF(AND(C65=1,N(C120)&gt;0),C116/C120,99),IF(AND(C66=1,N(C121)&gt;0),C117/C121,99)),2)))</f>
        <v/>
      </c>
      <c r="D39" s="57">
        <f>IF(OR(D63=0,D120=""),"",IF(MIN(IF(AND(D65=1,N(D120)&gt;0),D116/D120,99),IF(AND(D66=1,N(D121)&gt;0),D117/D121,99))=99,"",ROUND(MIN(IF(AND(D65=1,N(D120)&gt;0),D116/D120,99),IF(AND(D66=1,N(D121)&gt;0),D117/D121,99)),2)))</f>
        <v/>
      </c>
      <c r="E39" s="57">
        <f>IF(OR(E63=0,E120=""),"",IF(MIN(IF(AND(E65=1,N(E120)&gt;0),E116/E120,99),IF(AND(E66=1,N(E121)&gt;0),E117/E121,99))=99,"",ROUND(MIN(IF(AND(E65=1,N(E120)&gt;0),E116/E120,99),IF(AND(E66=1,N(E121)&gt;0),E117/E121,99)),2)))</f>
        <v/>
      </c>
      <c r="F39" s="57">
        <f>IF(OR(F63=0,F120=""),"",IF(MIN(IF(AND(F65=1,N(F120)&gt;0),F116/F120,99),IF(AND(F66=1,N(F121)&gt;0),F117/F121,99))=99,"",ROUND(MIN(IF(AND(F65=1,N(F120)&gt;0),F116/F120,99),IF(AND(F66=1,N(F121)&gt;0),F117/F121,99)),2)))</f>
        <v/>
      </c>
      <c r="G39" s="57">
        <f>IF(OR(G63=0,G120=""),"",IF(MIN(IF(AND(G65=1,N(G120)&gt;0),G116/G120,99),IF(AND(G66=1,N(G121)&gt;0),G117/G121,99))=99,"",ROUND(MIN(IF(AND(G65=1,N(G120)&gt;0),G116/G120,99),IF(AND(G66=1,N(G121)&gt;0),G117/G121,99)),2)))</f>
        <v/>
      </c>
      <c r="H39" s="57">
        <f>IF(OR(H63=0,H120=""),"",IF(MIN(IF(AND(H65=1,N(H120)&gt;0),H116/H120,99),IF(AND(H66=1,N(H121)&gt;0),H117/H121,99))=99,"",ROUND(MIN(IF(AND(H65=1,N(H120)&gt;0),H116/H120,99),IF(AND(H66=1,N(H121)&gt;0),H117/H121,99)),2)))</f>
        <v/>
      </c>
      <c r="I39" s="57">
        <f>IF(OR(I63=0,I120=""),"",IF(MIN(IF(AND(I65=1,N(I120)&gt;0),I116/I120,99),IF(AND(I66=1,N(I121)&gt;0),I117/I121,99))=99,"",ROUND(MIN(IF(AND(I65=1,N(I120)&gt;0),I116/I120,99),IF(AND(I66=1,N(I121)&gt;0),I117/I121,99)),2)))</f>
        <v/>
      </c>
      <c r="J39" s="57">
        <f>IF(OR(J63=0,J120=""),"",IF(MIN(IF(AND(J65=1,N(J120)&gt;0),J116/J120,99),IF(AND(J66=1,N(J121)&gt;0),J117/J121,99))=99,"",ROUND(MIN(IF(AND(J65=1,N(J120)&gt;0),J116/J120,99),IF(AND(J66=1,N(J121)&gt;0),J117/J121,99)),2)))</f>
        <v/>
      </c>
      <c r="K39" s="57">
        <f>IF(OR(K63=0,K120=""),"",IF(MIN(IF(AND(K65=1,N(K120)&gt;0),K116/K120,99),IF(AND(K66=1,N(K121)&gt;0),K117/K121,99))=99,"",ROUND(MIN(IF(AND(K65=1,N(K120)&gt;0),K116/K120,99),IF(AND(K66=1,N(K121)&gt;0),K117/K121,99)),2)))</f>
        <v/>
      </c>
      <c r="L39" s="57">
        <f>IF(OR(L63=0,L120=""),"",IF(MIN(IF(AND(L65=1,N(L120)&gt;0),L116/L120,99),IF(AND(L66=1,N(L121)&gt;0),L117/L121,99))=99,"",ROUND(MIN(IF(AND(L65=1,N(L120)&gt;0),L116/L120,99),IF(AND(L66=1,N(L121)&gt;0),L117/L121,99)),2)))</f>
        <v/>
      </c>
      <c r="M39" s="57">
        <f>IF(OR(M63=0,M120=""),"",IF(MIN(IF(AND(M65=1,N(M120)&gt;0),M116/M120,99),IF(AND(M66=1,N(M121)&gt;0),M117/M121,99))=99,"",ROUND(MIN(IF(AND(M65=1,N(M120)&gt;0),M116/M120,99),IF(AND(M66=1,N(M121)&gt;0),M117/M121,99)),2)))</f>
        <v/>
      </c>
      <c r="N39" s="57">
        <f>IF(OR(N63=0,N120=""),"",IF(MIN(IF(AND(N65=1,N(N120)&gt;0),N116/N120,99),IF(AND(N66=1,N(N121)&gt;0),N117/N121,99))=99,"",ROUND(MIN(IF(AND(N65=1,N(N120)&gt;0),N116/N120,99),IF(AND(N66=1,N(N121)&gt;0),N117/N121,99)),2)))</f>
        <v/>
      </c>
      <c r="O39" s="57">
        <f>IF(OR(O63=0,O120=""),"",IF(MIN(IF(AND(O65=1,N(O120)&gt;0),O116/O120,99),IF(AND(O66=1,N(O121)&gt;0),O117/O121,99))=99,"",ROUND(MIN(IF(AND(O65=1,N(O120)&gt;0),O116/O120,99),IF(AND(O66=1,N(O121)&gt;0),O117/O121,99)),2)))</f>
        <v/>
      </c>
      <c r="P39" s="57">
        <f>IF(OR(P63=0,P120=""),"",IF(MIN(IF(AND(P65=1,N(P120)&gt;0),P116/P120,99),IF(AND(P66=1,N(P121)&gt;0),P117/P121,99))=99,"",ROUND(MIN(IF(AND(P65=1,N(P120)&gt;0),P116/P120,99),IF(AND(P66=1,N(P121)&gt;0),P117/P121,99)),2)))</f>
        <v/>
      </c>
      <c r="Q39" s="57">
        <f>IF(OR(Q63=0,Q120=""),"",IF(MIN(IF(AND(Q65=1,N(Q120)&gt;0),Q116/Q120,99),IF(AND(Q66=1,N(Q121)&gt;0),Q117/Q121,99))=99,"",ROUND(MIN(IF(AND(Q65=1,N(Q120)&gt;0),Q116/Q120,99),IF(AND(Q66=1,N(Q121)&gt;0),Q117/Q121,99)),2)))</f>
        <v/>
      </c>
      <c r="R39" s="57">
        <f>IF(OR(R63=0,R120=""),"",IF(MIN(IF(AND(R65=1,N(R120)&gt;0),R116/R120,99),IF(AND(R66=1,N(R121)&gt;0),R117/R121,99))=99,"",ROUND(MIN(IF(AND(R65=1,N(R120)&gt;0),R116/R120,99),IF(AND(R66=1,N(R121)&gt;0),R117/R121,99)),2)))</f>
        <v/>
      </c>
      <c r="S39" s="57">
        <f>IF(OR(S63=0,S120=""),"",IF(MIN(IF(AND(S65=1,N(S120)&gt;0),S116/S120,99),IF(AND(S66=1,N(S121)&gt;0),S117/S121,99))=99,"",ROUND(MIN(IF(AND(S65=1,N(S120)&gt;0),S116/S120,99),IF(AND(S66=1,N(S121)&gt;0),S117/S121,99)),2)))</f>
        <v/>
      </c>
      <c r="T39" s="57">
        <f>IF(OR(T63=0,T120=""),"",IF(MIN(IF(AND(T65=1,N(T120)&gt;0),T116/T120,99),IF(AND(T66=1,N(T121)&gt;0),T117/T121,99))=99,"",ROUND(MIN(IF(AND(T65=1,N(T120)&gt;0),T116/T120,99),IF(AND(T66=1,N(T121)&gt;0),T117/T121,99)),2)))</f>
        <v/>
      </c>
      <c r="U39" s="57">
        <f>IF(OR(U63=0,U120=""),"",IF(MIN(IF(AND(U65=1,N(U120)&gt;0),U116/U120,99),IF(AND(U66=1,N(U121)&gt;0),U117/U121,99))=99,"",ROUND(MIN(IF(AND(U65=1,N(U120)&gt;0),U116/U120,99),IF(AND(U66=1,N(U121)&gt;0),U117/U121,99)),2)))</f>
        <v/>
      </c>
      <c r="V39" s="57">
        <f>IF(OR(V63=0,V120=""),"",IF(MIN(IF(AND(V65=1,N(V120)&gt;0),V116/V120,99),IF(AND(V66=1,N(V121)&gt;0),V117/V121,99))=99,"",ROUND(MIN(IF(AND(V65=1,N(V120)&gt;0),V116/V120,99),IF(AND(V66=1,N(V121)&gt;0),V117/V121,99)),2)))</f>
        <v/>
      </c>
      <c r="W39" s="57">
        <f>IF(OR(W63=0,W120=""),"",IF(MIN(IF(AND(W65=1,N(W120)&gt;0),W116/W120,99),IF(AND(W66=1,N(W121)&gt;0),W117/W121,99))=99,"",ROUND(MIN(IF(AND(W65=1,N(W120)&gt;0),W116/W120,99),IF(AND(W66=1,N(W121)&gt;0),W117/W121,99)),2)))</f>
        <v/>
      </c>
      <c r="X39" s="57">
        <f>IF(OR(X63=0,X120=""),"",IF(MIN(IF(AND(X65=1,N(X120)&gt;0),X116/X120,99),IF(AND(X66=1,N(X121)&gt;0),X117/X121,99))=99,"",ROUND(MIN(IF(AND(X65=1,N(X120)&gt;0),X116/X120,99),IF(AND(X66=1,N(X121)&gt;0),X117/X121,99)),2)))</f>
        <v/>
      </c>
      <c r="Y39" s="57">
        <f>IF(OR(Y63=0,Y120=""),"",IF(MIN(IF(AND(Y65=1,N(Y120)&gt;0),Y116/Y120,99),IF(AND(Y66=1,N(Y121)&gt;0),Y117/Y121,99))=99,"",ROUND(MIN(IF(AND(Y65=1,N(Y120)&gt;0),Y116/Y120,99),IF(AND(Y66=1,N(Y121)&gt;0),Y117/Y121,99)),2)))</f>
        <v/>
      </c>
      <c r="Z39" s="57">
        <f>IF(OR(Z63=0,Z120=""),"",IF(MIN(IF(AND(Z65=1,N(Z120)&gt;0),Z116/Z120,99),IF(AND(Z66=1,N(Z121)&gt;0),Z117/Z121,99))=99,"",ROUND(MIN(IF(AND(Z65=1,N(Z120)&gt;0),Z116/Z120,99),IF(AND(Z66=1,N(Z121)&gt;0),Z117/Z121,99)),2)))</f>
        <v/>
      </c>
      <c r="AA39" s="57">
        <f>IF(OR(AA63=0,AA120=""),"",IF(MIN(IF(AND(AA65=1,N(AA120)&gt;0),AA116/AA120,99),IF(AND(AA66=1,N(AA121)&gt;0),AA117/AA121,99))=99,"",ROUND(MIN(IF(AND(AA65=1,N(AA120)&gt;0),AA116/AA120,99),IF(AND(AA66=1,N(AA121)&gt;0),AA117/AA121,99)),2)))</f>
        <v/>
      </c>
      <c r="AB39" s="57">
        <f>IF(OR(AB63=0,AB120=""),"",IF(MIN(IF(AND(AB65=1,N(AB120)&gt;0),AB116/AB120,99),IF(AND(AB66=1,N(AB121)&gt;0),AB117/AB121,99))=99,"",ROUND(MIN(IF(AND(AB65=1,N(AB120)&gt;0),AB116/AB120,99),IF(AND(AB66=1,N(AB121)&gt;0),AB117/AB121,99)),2)))</f>
        <v/>
      </c>
      <c r="AC39" s="57">
        <f>IF(OR(AC63=0,AC120=""),"",IF(MIN(IF(AND(AC65=1,N(AC120)&gt;0),AC116/AC120,99),IF(AND(AC66=1,N(AC121)&gt;0),AC117/AC121,99))=99,"",ROUND(MIN(IF(AND(AC65=1,N(AC120)&gt;0),AC116/AC120,99),IF(AND(AC66=1,N(AC121)&gt;0),AC117/AC121,99)),2)))</f>
        <v/>
      </c>
      <c r="AD39" s="57">
        <f>IF(OR(AD63=0,AD120=""),"",IF(MIN(IF(AND(AD65=1,N(AD120)&gt;0),AD116/AD120,99),IF(AND(AD66=1,N(AD121)&gt;0),AD117/AD121,99))=99,"",ROUND(MIN(IF(AND(AD65=1,N(AD120)&gt;0),AD116/AD120,99),IF(AND(AD66=1,N(AD121)&gt;0),AD117/AD121,99)),2)))</f>
        <v/>
      </c>
      <c r="AE39" s="57">
        <f>IF(OR(AE63=0,AE120=""),"",IF(MIN(IF(AND(AE65=1,N(AE120)&gt;0),AE116/AE120,99),IF(AND(AE66=1,N(AE121)&gt;0),AE117/AE121,99))=99,"",ROUND(MIN(IF(AND(AE65=1,N(AE120)&gt;0),AE116/AE120,99),IF(AND(AE66=1,N(AE121)&gt;0),AE117/AE121,99)),2)))</f>
        <v/>
      </c>
      <c r="AF39" s="57">
        <f>IF(OR(AF63=0,AF120=""),"",IF(MIN(IF(AND(AF65=1,N(AF120)&gt;0),AF116/AF120,99),IF(AND(AF66=1,N(AF121)&gt;0),AF117/AF121,99))=99,"",ROUND(MIN(IF(AND(AF65=1,N(AF120)&gt;0),AF116/AF120,99),IF(AND(AF66=1,N(AF121)&gt;0),AF117/AF121,99)),2)))</f>
        <v/>
      </c>
      <c r="AG39" s="57">
        <f>IF(OR(AG63=0,AG120=""),"",IF(MIN(IF(AND(AG65=1,N(AG120)&gt;0),AG116/AG120,99),IF(AND(AG66=1,N(AG121)&gt;0),AG117/AG121,99))=99,"",ROUND(MIN(IF(AND(AG65=1,N(AG120)&gt;0),AG116/AG120,99),IF(AND(AG66=1,N(AG121)&gt;0),AG117/AG121,99)),2)))</f>
        <v/>
      </c>
    </row>
    <row r="40" ht="27" customHeight="1">
      <c r="A40" s="52" t="inlineStr">
        <is>
          <t>As yêu cầu DƯỚI (nhập)</t>
        </is>
      </c>
      <c r="B40" s="6" t="n"/>
      <c r="C40" s="55" t="n"/>
      <c r="D40" s="55" t="n"/>
      <c r="E40" s="55" t="n"/>
      <c r="F40" s="55" t="n"/>
      <c r="G40" s="55" t="n"/>
      <c r="H40" s="55" t="n"/>
      <c r="I40" s="55" t="n"/>
      <c r="J40" s="55" t="n"/>
      <c r="K40" s="55" t="n"/>
      <c r="L40" s="55" t="n"/>
      <c r="M40" s="55" t="n"/>
      <c r="N40" s="55" t="n"/>
      <c r="O40" s="55" t="n"/>
      <c r="P40" s="55" t="n"/>
      <c r="Q40" s="55" t="n"/>
      <c r="R40" s="55" t="n"/>
      <c r="S40" s="55" t="n"/>
      <c r="T40" s="55" t="n"/>
      <c r="U40" s="55" t="n"/>
      <c r="V40" s="55" t="n"/>
      <c r="W40" s="55" t="n"/>
      <c r="X40" s="55" t="n"/>
      <c r="Y40" s="55" t="n"/>
      <c r="Z40" s="55" t="n"/>
      <c r="AA40" s="55" t="n"/>
      <c r="AB40" s="55" t="n"/>
      <c r="AC40" s="55" t="n"/>
      <c r="AD40" s="55" t="n"/>
      <c r="AE40" s="55" t="n"/>
      <c r="AF40" s="55" t="n"/>
      <c r="AG40" s="55" t="n"/>
    </row>
    <row r="41" ht="27" customHeight="1">
      <c r="A41" s="50" t="inlineStr">
        <is>
          <t>As bố trí DƯỚI</t>
        </is>
      </c>
      <c r="B41" s="6" t="n"/>
      <c r="C41" s="56">
        <f>IF(C63=1,IF(C65*C66=1,FIXED(C118,2,TRUE)&amp;"/"&amp;FIXED(C119,2,TRUE),IF(C65=1,FIXED(C118,2,TRUE),FIXED(C119,2,TRUE))),"")</f>
        <v/>
      </c>
      <c r="D41" s="57">
        <f>IF(D63=1,ROUND(D118,2),"")</f>
        <v/>
      </c>
      <c r="E41" s="56">
        <f>IF(E63=1,IF(E65*E66=1,FIXED(E118,2,TRUE)&amp;"/"&amp;FIXED(E119,2,TRUE),IF(E65=1,FIXED(E118,2,TRUE),FIXED(E119,2,TRUE))),"")</f>
        <v/>
      </c>
      <c r="F41" s="57">
        <f>IF(F63=1,ROUND(F118,2),"")</f>
        <v/>
      </c>
      <c r="G41" s="56">
        <f>IF(G63=1,IF(G65*G66=1,FIXED(G118,2,TRUE)&amp;"/"&amp;FIXED(G119,2,TRUE),IF(G65=1,FIXED(G118,2,TRUE),FIXED(G119,2,TRUE))),"")</f>
        <v/>
      </c>
      <c r="H41" s="57">
        <f>IF(H63=1,ROUND(H118,2),"")</f>
        <v/>
      </c>
      <c r="I41" s="56">
        <f>IF(I63=1,IF(I65*I66=1,FIXED(I118,2,TRUE)&amp;"/"&amp;FIXED(I119,2,TRUE),IF(I65=1,FIXED(I118,2,TRUE),FIXED(I119,2,TRUE))),"")</f>
        <v/>
      </c>
      <c r="J41" s="57">
        <f>IF(J63=1,ROUND(J118,2),"")</f>
        <v/>
      </c>
      <c r="K41" s="56">
        <f>IF(K63=1,IF(K65*K66=1,FIXED(K118,2,TRUE)&amp;"/"&amp;FIXED(K119,2,TRUE),IF(K65=1,FIXED(K118,2,TRUE),FIXED(K119,2,TRUE))),"")</f>
        <v/>
      </c>
      <c r="L41" s="57">
        <f>IF(L63=1,ROUND(L118,2),"")</f>
        <v/>
      </c>
      <c r="M41" s="56">
        <f>IF(M63=1,IF(M65*M66=1,FIXED(M118,2,TRUE)&amp;"/"&amp;FIXED(M119,2,TRUE),IF(M65=1,FIXED(M118,2,TRUE),FIXED(M119,2,TRUE))),"")</f>
        <v/>
      </c>
      <c r="N41" s="57">
        <f>IF(N63=1,ROUND(N118,2),"")</f>
        <v/>
      </c>
      <c r="O41" s="56">
        <f>IF(O63=1,IF(O65*O66=1,FIXED(O118,2,TRUE)&amp;"/"&amp;FIXED(O119,2,TRUE),IF(O65=1,FIXED(O118,2,TRUE),FIXED(O119,2,TRUE))),"")</f>
        <v/>
      </c>
      <c r="P41" s="57">
        <f>IF(P63=1,ROUND(P118,2),"")</f>
        <v/>
      </c>
      <c r="Q41" s="56">
        <f>IF(Q63=1,IF(Q65*Q66=1,FIXED(Q118,2,TRUE)&amp;"/"&amp;FIXED(Q119,2,TRUE),IF(Q65=1,FIXED(Q118,2,TRUE),FIXED(Q119,2,TRUE))),"")</f>
        <v/>
      </c>
      <c r="R41" s="57">
        <f>IF(R63=1,ROUND(R118,2),"")</f>
        <v/>
      </c>
      <c r="S41" s="56">
        <f>IF(S63=1,IF(S65*S66=1,FIXED(S118,2,TRUE)&amp;"/"&amp;FIXED(S119,2,TRUE),IF(S65=1,FIXED(S118,2,TRUE),FIXED(S119,2,TRUE))),"")</f>
        <v/>
      </c>
      <c r="T41" s="57">
        <f>IF(T63=1,ROUND(T118,2),"")</f>
        <v/>
      </c>
      <c r="U41" s="56">
        <f>IF(U63=1,IF(U65*U66=1,FIXED(U118,2,TRUE)&amp;"/"&amp;FIXED(U119,2,TRUE),IF(U65=1,FIXED(U118,2,TRUE),FIXED(U119,2,TRUE))),"")</f>
        <v/>
      </c>
      <c r="V41" s="57">
        <f>IF(V63=1,ROUND(V118,2),"")</f>
        <v/>
      </c>
      <c r="W41" s="56">
        <f>IF(W63=1,IF(W65*W66=1,FIXED(W118,2,TRUE)&amp;"/"&amp;FIXED(W119,2,TRUE),IF(W65=1,FIXED(W118,2,TRUE),FIXED(W119,2,TRUE))),"")</f>
        <v/>
      </c>
      <c r="X41" s="57">
        <f>IF(X63=1,ROUND(X118,2),"")</f>
        <v/>
      </c>
      <c r="Y41" s="56">
        <f>IF(Y63=1,IF(Y65*Y66=1,FIXED(Y118,2,TRUE)&amp;"/"&amp;FIXED(Y119,2,TRUE),IF(Y65=1,FIXED(Y118,2,TRUE),FIXED(Y119,2,TRUE))),"")</f>
        <v/>
      </c>
      <c r="Z41" s="57">
        <f>IF(Z63=1,ROUND(Z118,2),"")</f>
        <v/>
      </c>
      <c r="AA41" s="56">
        <f>IF(AA63=1,IF(AA65*AA66=1,FIXED(AA118,2,TRUE)&amp;"/"&amp;FIXED(AA119,2,TRUE),IF(AA65=1,FIXED(AA118,2,TRUE),FIXED(AA119,2,TRUE))),"")</f>
        <v/>
      </c>
      <c r="AB41" s="57">
        <f>IF(AB63=1,ROUND(AB118,2),"")</f>
        <v/>
      </c>
      <c r="AC41" s="56">
        <f>IF(AC63=1,IF(AC65*AC66=1,FIXED(AC118,2,TRUE)&amp;"/"&amp;FIXED(AC119,2,TRUE),IF(AC65=1,FIXED(AC118,2,TRUE),FIXED(AC119,2,TRUE))),"")</f>
        <v/>
      </c>
      <c r="AD41" s="57">
        <f>IF(AD63=1,ROUND(AD118,2),"")</f>
        <v/>
      </c>
      <c r="AE41" s="56">
        <f>IF(AE63=1,IF(AE65*AE66=1,FIXED(AE118,2,TRUE)&amp;"/"&amp;FIXED(AE119,2,TRUE),IF(AE65=1,FIXED(AE118,2,TRUE),FIXED(AE119,2,TRUE))),"")</f>
        <v/>
      </c>
      <c r="AF41" s="57">
        <f>IF(AF63=1,ROUND(AF118,2),"")</f>
        <v/>
      </c>
      <c r="AG41" s="56">
        <f>IF(AG63=1,IF(AG65*AG66=1,FIXED(AG118,2,TRUE)&amp;"/"&amp;FIXED(AG119,2,TRUE),IF(AG65=1,FIXED(AG118,2,TRUE),FIXED(AG119,2,TRUE))),"")</f>
        <v/>
      </c>
    </row>
    <row r="42" ht="27" customHeight="1">
      <c r="A42" s="50" t="inlineStr">
        <is>
          <t>Hệ số As bố trí / yêu cầu DƯỚI</t>
        </is>
      </c>
      <c r="B42" s="6" t="n"/>
      <c r="C42" s="57">
        <f>IF(OR(C63=0,C122=""),"",IF(MIN(IF(AND(C65=1,N(C122)&gt;0),C118/C122,99),IF(AND(C66=1,N(C123)&gt;0),C119/C123,99))=99,"",ROUND(MIN(IF(AND(C65=1,N(C122)&gt;0),C118/C122,99),IF(AND(C66=1,N(C123)&gt;0),C119/C123,99)),2)))</f>
        <v/>
      </c>
      <c r="D42" s="57">
        <f>IF(OR(D63=0,D122=""),"",IF(MIN(IF(AND(D65=1,N(D122)&gt;0),D118/D122,99),IF(AND(D66=1,N(D123)&gt;0),D119/D123,99))=99,"",ROUND(MIN(IF(AND(D65=1,N(D122)&gt;0),D118/D122,99),IF(AND(D66=1,N(D123)&gt;0),D119/D123,99)),2)))</f>
        <v/>
      </c>
      <c r="E42" s="57">
        <f>IF(OR(E63=0,E122=""),"",IF(MIN(IF(AND(E65=1,N(E122)&gt;0),E118/E122,99),IF(AND(E66=1,N(E123)&gt;0),E119/E123,99))=99,"",ROUND(MIN(IF(AND(E65=1,N(E122)&gt;0),E118/E122,99),IF(AND(E66=1,N(E123)&gt;0),E119/E123,99)),2)))</f>
        <v/>
      </c>
      <c r="F42" s="57">
        <f>IF(OR(F63=0,F122=""),"",IF(MIN(IF(AND(F65=1,N(F122)&gt;0),F118/F122,99),IF(AND(F66=1,N(F123)&gt;0),F119/F123,99))=99,"",ROUND(MIN(IF(AND(F65=1,N(F122)&gt;0),F118/F122,99),IF(AND(F66=1,N(F123)&gt;0),F119/F123,99)),2)))</f>
        <v/>
      </c>
      <c r="G42" s="57">
        <f>IF(OR(G63=0,G122=""),"",IF(MIN(IF(AND(G65=1,N(G122)&gt;0),G118/G122,99),IF(AND(G66=1,N(G123)&gt;0),G119/G123,99))=99,"",ROUND(MIN(IF(AND(G65=1,N(G122)&gt;0),G118/G122,99),IF(AND(G66=1,N(G123)&gt;0),G119/G123,99)),2)))</f>
        <v/>
      </c>
      <c r="H42" s="57">
        <f>IF(OR(H63=0,H122=""),"",IF(MIN(IF(AND(H65=1,N(H122)&gt;0),H118/H122,99),IF(AND(H66=1,N(H123)&gt;0),H119/H123,99))=99,"",ROUND(MIN(IF(AND(H65=1,N(H122)&gt;0),H118/H122,99),IF(AND(H66=1,N(H123)&gt;0),H119/H123,99)),2)))</f>
        <v/>
      </c>
      <c r="I42" s="57">
        <f>IF(OR(I63=0,I122=""),"",IF(MIN(IF(AND(I65=1,N(I122)&gt;0),I118/I122,99),IF(AND(I66=1,N(I123)&gt;0),I119/I123,99))=99,"",ROUND(MIN(IF(AND(I65=1,N(I122)&gt;0),I118/I122,99),IF(AND(I66=1,N(I123)&gt;0),I119/I123,99)),2)))</f>
        <v/>
      </c>
      <c r="J42" s="57">
        <f>IF(OR(J63=0,J122=""),"",IF(MIN(IF(AND(J65=1,N(J122)&gt;0),J118/J122,99),IF(AND(J66=1,N(J123)&gt;0),J119/J123,99))=99,"",ROUND(MIN(IF(AND(J65=1,N(J122)&gt;0),J118/J122,99),IF(AND(J66=1,N(J123)&gt;0),J119/J123,99)),2)))</f>
        <v/>
      </c>
      <c r="K42" s="57">
        <f>IF(OR(K63=0,K122=""),"",IF(MIN(IF(AND(K65=1,N(K122)&gt;0),K118/K122,99),IF(AND(K66=1,N(K123)&gt;0),K119/K123,99))=99,"",ROUND(MIN(IF(AND(K65=1,N(K122)&gt;0),K118/K122,99),IF(AND(K66=1,N(K123)&gt;0),K119/K123,99)),2)))</f>
        <v/>
      </c>
      <c r="L42" s="57">
        <f>IF(OR(L63=0,L122=""),"",IF(MIN(IF(AND(L65=1,N(L122)&gt;0),L118/L122,99),IF(AND(L66=1,N(L123)&gt;0),L119/L123,99))=99,"",ROUND(MIN(IF(AND(L65=1,N(L122)&gt;0),L118/L122,99),IF(AND(L66=1,N(L123)&gt;0),L119/L123,99)),2)))</f>
        <v/>
      </c>
      <c r="M42" s="57">
        <f>IF(OR(M63=0,M122=""),"",IF(MIN(IF(AND(M65=1,N(M122)&gt;0),M118/M122,99),IF(AND(M66=1,N(M123)&gt;0),M119/M123,99))=99,"",ROUND(MIN(IF(AND(M65=1,N(M122)&gt;0),M118/M122,99),IF(AND(M66=1,N(M123)&gt;0),M119/M123,99)),2)))</f>
        <v/>
      </c>
      <c r="N42" s="57">
        <f>IF(OR(N63=0,N122=""),"",IF(MIN(IF(AND(N65=1,N(N122)&gt;0),N118/N122,99),IF(AND(N66=1,N(N123)&gt;0),N119/N123,99))=99,"",ROUND(MIN(IF(AND(N65=1,N(N122)&gt;0),N118/N122,99),IF(AND(N66=1,N(N123)&gt;0),N119/N123,99)),2)))</f>
        <v/>
      </c>
      <c r="O42" s="57">
        <f>IF(OR(O63=0,O122=""),"",IF(MIN(IF(AND(O65=1,N(O122)&gt;0),O118/O122,99),IF(AND(O66=1,N(O123)&gt;0),O119/O123,99))=99,"",ROUND(MIN(IF(AND(O65=1,N(O122)&gt;0),O118/O122,99),IF(AND(O66=1,N(O123)&gt;0),O119/O123,99)),2)))</f>
        <v/>
      </c>
      <c r="P42" s="57">
        <f>IF(OR(P63=0,P122=""),"",IF(MIN(IF(AND(P65=1,N(P122)&gt;0),P118/P122,99),IF(AND(P66=1,N(P123)&gt;0),P119/P123,99))=99,"",ROUND(MIN(IF(AND(P65=1,N(P122)&gt;0),P118/P122,99),IF(AND(P66=1,N(P123)&gt;0),P119/P123,99)),2)))</f>
        <v/>
      </c>
      <c r="Q42" s="57">
        <f>IF(OR(Q63=0,Q122=""),"",IF(MIN(IF(AND(Q65=1,N(Q122)&gt;0),Q118/Q122,99),IF(AND(Q66=1,N(Q123)&gt;0),Q119/Q123,99))=99,"",ROUND(MIN(IF(AND(Q65=1,N(Q122)&gt;0),Q118/Q122,99),IF(AND(Q66=1,N(Q123)&gt;0),Q119/Q123,99)),2)))</f>
        <v/>
      </c>
      <c r="R42" s="57">
        <f>IF(OR(R63=0,R122=""),"",IF(MIN(IF(AND(R65=1,N(R122)&gt;0),R118/R122,99),IF(AND(R66=1,N(R123)&gt;0),R119/R123,99))=99,"",ROUND(MIN(IF(AND(R65=1,N(R122)&gt;0),R118/R122,99),IF(AND(R66=1,N(R123)&gt;0),R119/R123,99)),2)))</f>
        <v/>
      </c>
      <c r="S42" s="57">
        <f>IF(OR(S63=0,S122=""),"",IF(MIN(IF(AND(S65=1,N(S122)&gt;0),S118/S122,99),IF(AND(S66=1,N(S123)&gt;0),S119/S123,99))=99,"",ROUND(MIN(IF(AND(S65=1,N(S122)&gt;0),S118/S122,99),IF(AND(S66=1,N(S123)&gt;0),S119/S123,99)),2)))</f>
        <v/>
      </c>
      <c r="T42" s="57">
        <f>IF(OR(T63=0,T122=""),"",IF(MIN(IF(AND(T65=1,N(T122)&gt;0),T118/T122,99),IF(AND(T66=1,N(T123)&gt;0),T119/T123,99))=99,"",ROUND(MIN(IF(AND(T65=1,N(T122)&gt;0),T118/T122,99),IF(AND(T66=1,N(T123)&gt;0),T119/T123,99)),2)))</f>
        <v/>
      </c>
      <c r="U42" s="57">
        <f>IF(OR(U63=0,U122=""),"",IF(MIN(IF(AND(U65=1,N(U122)&gt;0),U118/U122,99),IF(AND(U66=1,N(U123)&gt;0),U119/U123,99))=99,"",ROUND(MIN(IF(AND(U65=1,N(U122)&gt;0),U118/U122,99),IF(AND(U66=1,N(U123)&gt;0),U119/U123,99)),2)))</f>
        <v/>
      </c>
      <c r="V42" s="57">
        <f>IF(OR(V63=0,V122=""),"",IF(MIN(IF(AND(V65=1,N(V122)&gt;0),V118/V122,99),IF(AND(V66=1,N(V123)&gt;0),V119/V123,99))=99,"",ROUND(MIN(IF(AND(V65=1,N(V122)&gt;0),V118/V122,99),IF(AND(V66=1,N(V123)&gt;0),V119/V123,99)),2)))</f>
        <v/>
      </c>
      <c r="W42" s="57">
        <f>IF(OR(W63=0,W122=""),"",IF(MIN(IF(AND(W65=1,N(W122)&gt;0),W118/W122,99),IF(AND(W66=1,N(W123)&gt;0),W119/W123,99))=99,"",ROUND(MIN(IF(AND(W65=1,N(W122)&gt;0),W118/W122,99),IF(AND(W66=1,N(W123)&gt;0),W119/W123,99)),2)))</f>
        <v/>
      </c>
      <c r="X42" s="57">
        <f>IF(OR(X63=0,X122=""),"",IF(MIN(IF(AND(X65=1,N(X122)&gt;0),X118/X122,99),IF(AND(X66=1,N(X123)&gt;0),X119/X123,99))=99,"",ROUND(MIN(IF(AND(X65=1,N(X122)&gt;0),X118/X122,99),IF(AND(X66=1,N(X123)&gt;0),X119/X123,99)),2)))</f>
        <v/>
      </c>
      <c r="Y42" s="57">
        <f>IF(OR(Y63=0,Y122=""),"",IF(MIN(IF(AND(Y65=1,N(Y122)&gt;0),Y118/Y122,99),IF(AND(Y66=1,N(Y123)&gt;0),Y119/Y123,99))=99,"",ROUND(MIN(IF(AND(Y65=1,N(Y122)&gt;0),Y118/Y122,99),IF(AND(Y66=1,N(Y123)&gt;0),Y119/Y123,99)),2)))</f>
        <v/>
      </c>
      <c r="Z42" s="57">
        <f>IF(OR(Z63=0,Z122=""),"",IF(MIN(IF(AND(Z65=1,N(Z122)&gt;0),Z118/Z122,99),IF(AND(Z66=1,N(Z123)&gt;0),Z119/Z123,99))=99,"",ROUND(MIN(IF(AND(Z65=1,N(Z122)&gt;0),Z118/Z122,99),IF(AND(Z66=1,N(Z123)&gt;0),Z119/Z123,99)),2)))</f>
        <v/>
      </c>
      <c r="AA42" s="57">
        <f>IF(OR(AA63=0,AA122=""),"",IF(MIN(IF(AND(AA65=1,N(AA122)&gt;0),AA118/AA122,99),IF(AND(AA66=1,N(AA123)&gt;0),AA119/AA123,99))=99,"",ROUND(MIN(IF(AND(AA65=1,N(AA122)&gt;0),AA118/AA122,99),IF(AND(AA66=1,N(AA123)&gt;0),AA119/AA123,99)),2)))</f>
        <v/>
      </c>
      <c r="AB42" s="57">
        <f>IF(OR(AB63=0,AB122=""),"",IF(MIN(IF(AND(AB65=1,N(AB122)&gt;0),AB118/AB122,99),IF(AND(AB66=1,N(AB123)&gt;0),AB119/AB123,99))=99,"",ROUND(MIN(IF(AND(AB65=1,N(AB122)&gt;0),AB118/AB122,99),IF(AND(AB66=1,N(AB123)&gt;0),AB119/AB123,99)),2)))</f>
        <v/>
      </c>
      <c r="AC42" s="57">
        <f>IF(OR(AC63=0,AC122=""),"",IF(MIN(IF(AND(AC65=1,N(AC122)&gt;0),AC118/AC122,99),IF(AND(AC66=1,N(AC123)&gt;0),AC119/AC123,99))=99,"",ROUND(MIN(IF(AND(AC65=1,N(AC122)&gt;0),AC118/AC122,99),IF(AND(AC66=1,N(AC123)&gt;0),AC119/AC123,99)),2)))</f>
        <v/>
      </c>
      <c r="AD42" s="57">
        <f>IF(OR(AD63=0,AD122=""),"",IF(MIN(IF(AND(AD65=1,N(AD122)&gt;0),AD118/AD122,99),IF(AND(AD66=1,N(AD123)&gt;0),AD119/AD123,99))=99,"",ROUND(MIN(IF(AND(AD65=1,N(AD122)&gt;0),AD118/AD122,99),IF(AND(AD66=1,N(AD123)&gt;0),AD119/AD123,99)),2)))</f>
        <v/>
      </c>
      <c r="AE42" s="57">
        <f>IF(OR(AE63=0,AE122=""),"",IF(MIN(IF(AND(AE65=1,N(AE122)&gt;0),AE118/AE122,99),IF(AND(AE66=1,N(AE123)&gt;0),AE119/AE123,99))=99,"",ROUND(MIN(IF(AND(AE65=1,N(AE122)&gt;0),AE118/AE122,99),IF(AND(AE66=1,N(AE123)&gt;0),AE119/AE123,99)),2)))</f>
        <v/>
      </c>
      <c r="AF42" s="57">
        <f>IF(OR(AF63=0,AF122=""),"",IF(MIN(IF(AND(AF65=1,N(AF122)&gt;0),AF118/AF122,99),IF(AND(AF66=1,N(AF123)&gt;0),AF119/AF123,99))=99,"",ROUND(MIN(IF(AND(AF65=1,N(AF122)&gt;0),AF118/AF122,99),IF(AND(AF66=1,N(AF123)&gt;0),AF119/AF123,99)),2)))</f>
        <v/>
      </c>
      <c r="AG42" s="57">
        <f>IF(OR(AG63=0,AG122=""),"",IF(MIN(IF(AND(AG65=1,N(AG122)&gt;0),AG118/AG122,99),IF(AND(AG66=1,N(AG123)&gt;0),AG119/AG123,99))=99,"",ROUND(MIN(IF(AND(AG65=1,N(AG122)&gt;0),AG118/AG122,99),IF(AND(AG66=1,N(AG123)&gt;0),AG119/AG123,99)),2)))</f>
        <v/>
      </c>
    </row>
    <row r="43" ht="18" customHeight="1">
      <c r="A43" s="48" t="inlineStr">
        <is>
          <t>KIỂM TRA SỐ LIỆU</t>
        </is>
      </c>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c r="AA43" s="49" t="n"/>
      <c r="AB43" s="49" t="n"/>
      <c r="AC43" s="49" t="n"/>
      <c r="AD43" s="49" t="n"/>
      <c r="AE43" s="49" t="n"/>
      <c r="AF43" s="49" t="n"/>
      <c r="AG43" s="49" t="n"/>
    </row>
    <row r="44" ht="27" customHeight="1">
      <c r="A44" s="50" t="inlineStr">
        <is>
          <t>Kết quả kiểm tra từng cột</t>
        </is>
      </c>
      <c r="B44" s="6" t="n"/>
      <c r="C44" s="58">
        <f>IF(C63=0,"",IF(C60="","Thiếu KT gối",IF(C26="","Thiếu tên trục",IF(C124&gt;0,"Sai KH thép","OK"))))</f>
        <v/>
      </c>
      <c r="D44" s="58">
        <f>IF(D63=0,IF(D11="","","Sai Ltt"),IF(FALSE,"Nhịp đứt quãng",IF(D26="","Thiếu đai",IF(D124&gt;0,"Sai KH thép","OK"))))</f>
        <v/>
      </c>
      <c r="E44" s="58">
        <f>IF(E63=0,"",IF(E60="","Thiếu KT gối",IF(E26="","Thiếu tên trục",IF(E124&gt;0,"Sai KH thép","OK"))))</f>
        <v/>
      </c>
      <c r="F44" s="58">
        <f>IF(F63=0,IF(F11="","","Sai Ltt"),IF(AND(D$63=0,F63=1),"Nhịp đứt quãng",IF(F26="","Thiếu đai",IF(F124&gt;0,"Sai KH thép","OK"))))</f>
        <v/>
      </c>
      <c r="G44" s="58">
        <f>IF(G63=0,"",IF(G60="","Thiếu KT gối",IF(G26="","Thiếu tên trục",IF(G124&gt;0,"Sai KH thép","OK"))))</f>
        <v/>
      </c>
      <c r="H44" s="58">
        <f>IF(H63=0,IF(H11="","","Sai Ltt"),IF(AND(F$63=0,H63=1),"Nhịp đứt quãng",IF(H26="","Thiếu đai",IF(H124&gt;0,"Sai KH thép","OK"))))</f>
        <v/>
      </c>
      <c r="I44" s="58">
        <f>IF(I63=0,"",IF(I60="","Thiếu KT gối",IF(I26="","Thiếu tên trục",IF(I124&gt;0,"Sai KH thép","OK"))))</f>
        <v/>
      </c>
      <c r="J44" s="58">
        <f>IF(J63=0,IF(J11="","","Sai Ltt"),IF(AND(H$63=0,J63=1),"Nhịp đứt quãng",IF(J26="","Thiếu đai",IF(J124&gt;0,"Sai KH thép","OK"))))</f>
        <v/>
      </c>
      <c r="K44" s="58">
        <f>IF(K63=0,"",IF(K60="","Thiếu KT gối",IF(K26="","Thiếu tên trục",IF(K124&gt;0,"Sai KH thép","OK"))))</f>
        <v/>
      </c>
      <c r="L44" s="58">
        <f>IF(L63=0,IF(L11="","","Sai Ltt"),IF(AND(J$63=0,L63=1),"Nhịp đứt quãng",IF(L26="","Thiếu đai",IF(L124&gt;0,"Sai KH thép","OK"))))</f>
        <v/>
      </c>
      <c r="M44" s="58">
        <f>IF(M63=0,"",IF(M60="","Thiếu KT gối",IF(M26="","Thiếu tên trục",IF(M124&gt;0,"Sai KH thép","OK"))))</f>
        <v/>
      </c>
      <c r="N44" s="58">
        <f>IF(N63=0,IF(N11="","","Sai Ltt"),IF(AND(L$63=0,N63=1),"Nhịp đứt quãng",IF(N26="","Thiếu đai",IF(N124&gt;0,"Sai KH thép","OK"))))</f>
        <v/>
      </c>
      <c r="O44" s="58">
        <f>IF(O63=0,"",IF(O60="","Thiếu KT gối",IF(O26="","Thiếu tên trục",IF(O124&gt;0,"Sai KH thép","OK"))))</f>
        <v/>
      </c>
      <c r="P44" s="58">
        <f>IF(P63=0,IF(P11="","","Sai Ltt"),IF(AND(N$63=0,P63=1),"Nhịp đứt quãng",IF(P26="","Thiếu đai",IF(P124&gt;0,"Sai KH thép","OK"))))</f>
        <v/>
      </c>
      <c r="Q44" s="58">
        <f>IF(Q63=0,"",IF(Q60="","Thiếu KT gối",IF(Q26="","Thiếu tên trục",IF(Q124&gt;0,"Sai KH thép","OK"))))</f>
        <v/>
      </c>
      <c r="R44" s="58">
        <f>IF(R63=0,IF(R11="","","Sai Ltt"),IF(AND(P$63=0,R63=1),"Nhịp đứt quãng",IF(R26="","Thiếu đai",IF(R124&gt;0,"Sai KH thép","OK"))))</f>
        <v/>
      </c>
      <c r="S44" s="58">
        <f>IF(S63=0,"",IF(S60="","Thiếu KT gối",IF(S26="","Thiếu tên trục",IF(S124&gt;0,"Sai KH thép","OK"))))</f>
        <v/>
      </c>
      <c r="T44" s="58">
        <f>IF(T63=0,IF(T11="","","Sai Ltt"),IF(AND(R$63=0,T63=1),"Nhịp đứt quãng",IF(T26="","Thiếu đai",IF(T124&gt;0,"Sai KH thép","OK"))))</f>
        <v/>
      </c>
      <c r="U44" s="58">
        <f>IF(U63=0,"",IF(U60="","Thiếu KT gối",IF(U26="","Thiếu tên trục",IF(U124&gt;0,"Sai KH thép","OK"))))</f>
        <v/>
      </c>
      <c r="V44" s="58">
        <f>IF(V63=0,IF(V11="","","Sai Ltt"),IF(AND(T$63=0,V63=1),"Nhịp đứt quãng",IF(V26="","Thiếu đai",IF(V124&gt;0,"Sai KH thép","OK"))))</f>
        <v/>
      </c>
      <c r="W44" s="58">
        <f>IF(W63=0,"",IF(W60="","Thiếu KT gối",IF(W26="","Thiếu tên trục",IF(W124&gt;0,"Sai KH thép","OK"))))</f>
        <v/>
      </c>
      <c r="X44" s="58">
        <f>IF(X63=0,IF(X11="","","Sai Ltt"),IF(AND(V$63=0,X63=1),"Nhịp đứt quãng",IF(X26="","Thiếu đai",IF(X124&gt;0,"Sai KH thép","OK"))))</f>
        <v/>
      </c>
      <c r="Y44" s="58">
        <f>IF(Y63=0,"",IF(Y60="","Thiếu KT gối",IF(Y26="","Thiếu tên trục",IF(Y124&gt;0,"Sai KH thép","OK"))))</f>
        <v/>
      </c>
      <c r="Z44" s="58">
        <f>IF(Z63=0,IF(Z11="","","Sai Ltt"),IF(AND(X$63=0,Z63=1),"Nhịp đứt quãng",IF(Z26="","Thiếu đai",IF(Z124&gt;0,"Sai KH thép","OK"))))</f>
        <v/>
      </c>
      <c r="AA44" s="58">
        <f>IF(AA63=0,"",IF(AA60="","Thiếu KT gối",IF(AA26="","Thiếu tên trục",IF(AA124&gt;0,"Sai KH thép","OK"))))</f>
        <v/>
      </c>
      <c r="AB44" s="58">
        <f>IF(AB63=0,IF(AB11="","","Sai Ltt"),IF(AND(Z$63=0,AB63=1),"Nhịp đứt quãng",IF(AB26="","Thiếu đai",IF(AB124&gt;0,"Sai KH thép","OK"))))</f>
        <v/>
      </c>
      <c r="AC44" s="58">
        <f>IF(AC63=0,"",IF(AC60="","Thiếu KT gối",IF(AC26="","Thiếu tên trục",IF(AC124&gt;0,"Sai KH thép","OK"))))</f>
        <v/>
      </c>
      <c r="AD44" s="58">
        <f>IF(AD63=0,IF(AD11="","","Sai Ltt"),IF(AND(AB$63=0,AD63=1),"Nhịp đứt quãng",IF(AD26="","Thiếu đai",IF(AD124&gt;0,"Sai KH thép","OK"))))</f>
        <v/>
      </c>
      <c r="AE44" s="58">
        <f>IF(AE63=0,"",IF(AE60="","Thiếu KT gối",IF(AE26="","Thiếu tên trục",IF(AE124&gt;0,"Sai KH thép","OK"))))</f>
        <v/>
      </c>
      <c r="AF44" s="58">
        <f>IF(AF63=0,IF(AF11="","","Sai Ltt"),IF(AND(AD$63=0,AF63=1),"Nhịp đứt quãng",IF(AF26="","Thiếu đai",IF(AF124&gt;0,"Sai KH thép","OK"))))</f>
        <v/>
      </c>
      <c r="AG44" s="58">
        <f>IF(AG63=0,"",IF(AG60="","Thiếu KT gối",IF(AG26="","Thiếu tên trục",IF(AG124&gt;0,"Sai KH thép","OK"))))</f>
        <v/>
      </c>
    </row>
    <row r="59">
      <c r="A59" s="59" t="inlineStr">
        <is>
          <t>▼ Hàng ẩn phụ trợ (dòng 60+) – dùng cho kiểm tra, không nhập.</t>
        </is>
      </c>
    </row>
    <row r="60" hidden="1" outlineLevel="1">
      <c r="A60" s="60" t="inlineStr">
        <is>
          <t>(phụ trợ) W</t>
        </is>
      </c>
      <c r="C60">
        <f>IF(C11="","",IFERROR(LEFT(C11,MIN(FIND({"x","/"},C11&amp;"x/"))-1)*1,0))</f>
        <v/>
      </c>
      <c r="D60">
        <f>IF(ISNUMBER(D11),D11,IFERROR(D11*1,""))</f>
        <v/>
      </c>
      <c r="E60">
        <f>IF(E11="","",IFERROR(LEFT(E11,MIN(FIND({"x","/"},E11&amp;"x/"))-1)*1,0))</f>
        <v/>
      </c>
      <c r="F60">
        <f>IF(ISNUMBER(F11),F11,IFERROR(F11*1,""))</f>
        <v/>
      </c>
      <c r="G60">
        <f>IF(G11="","",IFERROR(LEFT(G11,MIN(FIND({"x","/"},G11&amp;"x/"))-1)*1,0))</f>
        <v/>
      </c>
      <c r="H60">
        <f>IF(ISNUMBER(H11),H11,IFERROR(H11*1,""))</f>
        <v/>
      </c>
      <c r="I60">
        <f>IF(I11="","",IFERROR(LEFT(I11,MIN(FIND({"x","/"},I11&amp;"x/"))-1)*1,0))</f>
        <v/>
      </c>
      <c r="J60">
        <f>IF(ISNUMBER(J11),J11,IFERROR(J11*1,""))</f>
        <v/>
      </c>
      <c r="K60">
        <f>IF(K11="","",IFERROR(LEFT(K11,MIN(FIND({"x","/"},K11&amp;"x/"))-1)*1,0))</f>
        <v/>
      </c>
      <c r="L60">
        <f>IF(ISNUMBER(L11),L11,IFERROR(L11*1,""))</f>
        <v/>
      </c>
      <c r="M60">
        <f>IF(M11="","",IFERROR(LEFT(M11,MIN(FIND({"x","/"},M11&amp;"x/"))-1)*1,0))</f>
        <v/>
      </c>
      <c r="N60">
        <f>IF(ISNUMBER(N11),N11,IFERROR(N11*1,""))</f>
        <v/>
      </c>
      <c r="O60">
        <f>IF(O11="","",IFERROR(LEFT(O11,MIN(FIND({"x","/"},O11&amp;"x/"))-1)*1,0))</f>
        <v/>
      </c>
      <c r="P60">
        <f>IF(ISNUMBER(P11),P11,IFERROR(P11*1,""))</f>
        <v/>
      </c>
      <c r="Q60">
        <f>IF(Q11="","",IFERROR(LEFT(Q11,MIN(FIND({"x","/"},Q11&amp;"x/"))-1)*1,0))</f>
        <v/>
      </c>
      <c r="R60">
        <f>IF(ISNUMBER(R11),R11,IFERROR(R11*1,""))</f>
        <v/>
      </c>
      <c r="S60">
        <f>IF(S11="","",IFERROR(LEFT(S11,MIN(FIND({"x","/"},S11&amp;"x/"))-1)*1,0))</f>
        <v/>
      </c>
      <c r="T60">
        <f>IF(ISNUMBER(T11),T11,IFERROR(T11*1,""))</f>
        <v/>
      </c>
      <c r="U60">
        <f>IF(U11="","",IFERROR(LEFT(U11,MIN(FIND({"x","/"},U11&amp;"x/"))-1)*1,0))</f>
        <v/>
      </c>
      <c r="V60">
        <f>IF(ISNUMBER(V11),V11,IFERROR(V11*1,""))</f>
        <v/>
      </c>
      <c r="W60">
        <f>IF(W11="","",IFERROR(LEFT(W11,MIN(FIND({"x","/"},W11&amp;"x/"))-1)*1,0))</f>
        <v/>
      </c>
      <c r="X60">
        <f>IF(ISNUMBER(X11),X11,IFERROR(X11*1,""))</f>
        <v/>
      </c>
      <c r="Y60">
        <f>IF(Y11="","",IFERROR(LEFT(Y11,MIN(FIND({"x","/"},Y11&amp;"x/"))-1)*1,0))</f>
        <v/>
      </c>
      <c r="Z60">
        <f>IF(ISNUMBER(Z11),Z11,IFERROR(Z11*1,""))</f>
        <v/>
      </c>
      <c r="AA60">
        <f>IF(AA11="","",IFERROR(LEFT(AA11,MIN(FIND({"x","/"},AA11&amp;"x/"))-1)*1,0))</f>
        <v/>
      </c>
      <c r="AB60">
        <f>IF(ISNUMBER(AB11),AB11,IFERROR(AB11*1,""))</f>
        <v/>
      </c>
      <c r="AC60">
        <f>IF(AC11="","",IFERROR(LEFT(AC11,MIN(FIND({"x","/"},AC11&amp;"x/"))-1)*1,0))</f>
        <v/>
      </c>
      <c r="AD60">
        <f>IF(ISNUMBER(AD11),AD11,IFERROR(AD11*1,""))</f>
        <v/>
      </c>
      <c r="AE60">
        <f>IF(AE11="","",IFERROR(LEFT(AE11,MIN(FIND({"x","/"},AE11&amp;"x/"))-1)*1,0))</f>
        <v/>
      </c>
      <c r="AF60">
        <f>IF(ISNUMBER(AF11),AF11,IFERROR(AF11*1,""))</f>
        <v/>
      </c>
      <c r="AG60">
        <f>IF(AG11="","",IFERROR(LEFT(AG11,MIN(FIND({"x","/"},AG11&amp;"x/"))-1)*1,0))</f>
        <v/>
      </c>
    </row>
    <row r="61" hidden="1" outlineLevel="1">
      <c r="A61" s="60" t="inlineStr">
        <is>
          <t>(phụ trợ) X</t>
        </is>
      </c>
      <c r="C61">
        <f>0</f>
        <v/>
      </c>
      <c r="D61">
        <f>C61+N(C60)</f>
        <v/>
      </c>
      <c r="E61">
        <f>D61+N(D60)</f>
        <v/>
      </c>
      <c r="F61">
        <f>E61+N(E60)</f>
        <v/>
      </c>
      <c r="G61">
        <f>F61+N(F60)</f>
        <v/>
      </c>
      <c r="H61">
        <f>G61+N(G60)</f>
        <v/>
      </c>
      <c r="I61">
        <f>H61+N(H60)</f>
        <v/>
      </c>
      <c r="J61">
        <f>I61+N(I60)</f>
        <v/>
      </c>
      <c r="K61">
        <f>J61+N(J60)</f>
        <v/>
      </c>
      <c r="L61">
        <f>K61+N(K60)</f>
        <v/>
      </c>
      <c r="M61">
        <f>L61+N(L60)</f>
        <v/>
      </c>
      <c r="N61">
        <f>M61+N(M60)</f>
        <v/>
      </c>
      <c r="O61">
        <f>N61+N(N60)</f>
        <v/>
      </c>
      <c r="P61">
        <f>O61+N(O60)</f>
        <v/>
      </c>
      <c r="Q61">
        <f>P61+N(P60)</f>
        <v/>
      </c>
      <c r="R61">
        <f>Q61+N(Q60)</f>
        <v/>
      </c>
      <c r="S61">
        <f>R61+N(R60)</f>
        <v/>
      </c>
      <c r="T61">
        <f>S61+N(S60)</f>
        <v/>
      </c>
      <c r="U61">
        <f>T61+N(T60)</f>
        <v/>
      </c>
      <c r="V61">
        <f>U61+N(U60)</f>
        <v/>
      </c>
      <c r="W61">
        <f>V61+N(V60)</f>
        <v/>
      </c>
      <c r="X61">
        <f>W61+N(W60)</f>
        <v/>
      </c>
      <c r="Y61">
        <f>X61+N(X60)</f>
        <v/>
      </c>
      <c r="Z61">
        <f>Y61+N(Y60)</f>
        <v/>
      </c>
      <c r="AA61">
        <f>Z61+N(Z60)</f>
        <v/>
      </c>
      <c r="AB61">
        <f>AA61+N(AA60)</f>
        <v/>
      </c>
      <c r="AC61">
        <f>AB61+N(AB60)</f>
        <v/>
      </c>
      <c r="AD61">
        <f>AC61+N(AC60)</f>
        <v/>
      </c>
      <c r="AE61">
        <f>AD61+N(AD60)</f>
        <v/>
      </c>
      <c r="AF61">
        <f>AE61+N(AE60)</f>
        <v/>
      </c>
      <c r="AG61">
        <f>AF61+N(AF60)</f>
        <v/>
      </c>
    </row>
    <row r="62" hidden="1" outlineLevel="1">
      <c r="A62" s="60" t="inlineStr">
        <is>
          <t>(phụ trợ) AX</t>
        </is>
      </c>
      <c r="C62">
        <f>IF(C63=1,C61+N(C60)/2+C67,"")</f>
        <v/>
      </c>
      <c r="E62">
        <f>IF(E63=1,E61+N(E60)/2+E67,"")</f>
        <v/>
      </c>
      <c r="G62">
        <f>IF(G63=1,G61+N(G60)/2+G67,"")</f>
        <v/>
      </c>
      <c r="I62">
        <f>IF(I63=1,I61+N(I60)/2+I67,"")</f>
        <v/>
      </c>
      <c r="K62">
        <f>IF(K63=1,K61+N(K60)/2+K67,"")</f>
        <v/>
      </c>
      <c r="M62">
        <f>IF(M63=1,M61+N(M60)/2+M67,"")</f>
        <v/>
      </c>
      <c r="O62">
        <f>IF(O63=1,O61+N(O60)/2+O67,"")</f>
        <v/>
      </c>
      <c r="Q62">
        <f>IF(Q63=1,Q61+N(Q60)/2+Q67,"")</f>
        <v/>
      </c>
      <c r="S62">
        <f>IF(S63=1,S61+N(S60)/2+S67,"")</f>
        <v/>
      </c>
      <c r="U62">
        <f>IF(U63=1,U61+N(U60)/2+U67,"")</f>
        <v/>
      </c>
      <c r="W62">
        <f>IF(W63=1,W61+N(W60)/2+W67,"")</f>
        <v/>
      </c>
      <c r="Y62">
        <f>IF(Y63=1,Y61+N(Y60)/2+Y67,"")</f>
        <v/>
      </c>
      <c r="AA62">
        <f>IF(AA63=1,AA61+N(AA60)/2+AA67,"")</f>
        <v/>
      </c>
      <c r="AC62">
        <f>IF(AC63=1,AC61+N(AC60)/2+AC67,"")</f>
        <v/>
      </c>
      <c r="AE62">
        <f>IF(AE63=1,AE61+N(AE60)/2+AE67,"")</f>
        <v/>
      </c>
      <c r="AG62">
        <f>IF(AG63=1,AG61+N(AG60)/2+AG67,"")</f>
        <v/>
      </c>
    </row>
    <row r="63" hidden="1" outlineLevel="1">
      <c r="A63" s="60" t="inlineStr">
        <is>
          <t>(phụ trợ) ACT</t>
        </is>
      </c>
      <c r="C63">
        <f>IF(0+N(D63)&gt;0,1,0)</f>
        <v/>
      </c>
      <c r="D63">
        <f>IF(N(D60)&gt;0,1,0)</f>
        <v/>
      </c>
      <c r="E63">
        <f>IF(N(D63)+N(F63)&gt;0,1,0)</f>
        <v/>
      </c>
      <c r="F63">
        <f>IF(N(F60)&gt;0,1,0)</f>
        <v/>
      </c>
      <c r="G63">
        <f>IF(N(F63)+N(H63)&gt;0,1,0)</f>
        <v/>
      </c>
      <c r="H63">
        <f>IF(N(H60)&gt;0,1,0)</f>
        <v/>
      </c>
      <c r="I63">
        <f>IF(N(H63)+N(J63)&gt;0,1,0)</f>
        <v/>
      </c>
      <c r="J63">
        <f>IF(N(J60)&gt;0,1,0)</f>
        <v/>
      </c>
      <c r="K63">
        <f>IF(N(J63)+N(L63)&gt;0,1,0)</f>
        <v/>
      </c>
      <c r="L63">
        <f>IF(N(L60)&gt;0,1,0)</f>
        <v/>
      </c>
      <c r="M63">
        <f>IF(N(L63)+N(N63)&gt;0,1,0)</f>
        <v/>
      </c>
      <c r="N63">
        <f>IF(N(N60)&gt;0,1,0)</f>
        <v/>
      </c>
      <c r="O63">
        <f>IF(N(N63)+N(P63)&gt;0,1,0)</f>
        <v/>
      </c>
      <c r="P63">
        <f>IF(N(P60)&gt;0,1,0)</f>
        <v/>
      </c>
      <c r="Q63">
        <f>IF(N(P63)+N(R63)&gt;0,1,0)</f>
        <v/>
      </c>
      <c r="R63">
        <f>IF(N(R60)&gt;0,1,0)</f>
        <v/>
      </c>
      <c r="S63">
        <f>IF(N(R63)+N(T63)&gt;0,1,0)</f>
        <v/>
      </c>
      <c r="T63">
        <f>IF(N(T60)&gt;0,1,0)</f>
        <v/>
      </c>
      <c r="U63">
        <f>IF(N(T63)+N(V63)&gt;0,1,0)</f>
        <v/>
      </c>
      <c r="V63">
        <f>IF(N(V60)&gt;0,1,0)</f>
        <v/>
      </c>
      <c r="W63">
        <f>IF(N(V63)+N(X63)&gt;0,1,0)</f>
        <v/>
      </c>
      <c r="X63">
        <f>IF(N(X60)&gt;0,1,0)</f>
        <v/>
      </c>
      <c r="Y63">
        <f>IF(N(X63)+N(Z63)&gt;0,1,0)</f>
        <v/>
      </c>
      <c r="Z63">
        <f>IF(N(Z60)&gt;0,1,0)</f>
        <v/>
      </c>
      <c r="AA63">
        <f>IF(N(Z63)+N(AB63)&gt;0,1,0)</f>
        <v/>
      </c>
      <c r="AB63">
        <f>IF(N(AB60)&gt;0,1,0)</f>
        <v/>
      </c>
      <c r="AC63">
        <f>IF(N(AB63)+N(AD63)&gt;0,1,0)</f>
        <v/>
      </c>
      <c r="AD63">
        <f>IF(N(AD60)&gt;0,1,0)</f>
        <v/>
      </c>
      <c r="AE63">
        <f>IF(N(AD63)+N(AF63)&gt;0,1,0)</f>
        <v/>
      </c>
      <c r="AF63">
        <f>IF(N(AF60)&gt;0,1,0)</f>
        <v/>
      </c>
      <c r="AG63">
        <f>IF(N(AF63)+0&gt;0,1,0)</f>
        <v/>
      </c>
    </row>
    <row r="64" hidden="1" outlineLevel="1">
      <c r="A64" s="60" t="inlineStr">
        <is>
          <t>(phụ trợ) SHOW</t>
        </is>
      </c>
      <c r="C64">
        <f>IF(0+N(D64)&gt;0,1,0)</f>
        <v/>
      </c>
      <c r="D64">
        <f>IF(D63+1&gt;0,1,0)</f>
        <v/>
      </c>
      <c r="E64">
        <f>IF(N(D64)+N(F64)&gt;0,1,0)</f>
        <v/>
      </c>
      <c r="F64">
        <f>IF(F63+N(D63)&gt;0,1,0)</f>
        <v/>
      </c>
      <c r="G64">
        <f>IF(N(F64)+N(H64)&gt;0,1,0)</f>
        <v/>
      </c>
      <c r="H64">
        <f>IF(H63+N(F63)&gt;0,1,0)</f>
        <v/>
      </c>
      <c r="I64">
        <f>IF(N(H64)+N(J64)&gt;0,1,0)</f>
        <v/>
      </c>
      <c r="J64">
        <f>IF(J63+N(H63)&gt;0,1,0)</f>
        <v/>
      </c>
      <c r="K64">
        <f>IF(N(J64)+N(L64)&gt;0,1,0)</f>
        <v/>
      </c>
      <c r="L64">
        <f>IF(L63+N(J63)&gt;0,1,0)</f>
        <v/>
      </c>
      <c r="M64">
        <f>IF(N(L64)+N(N64)&gt;0,1,0)</f>
        <v/>
      </c>
      <c r="N64">
        <f>IF(N63+N(L63)&gt;0,1,0)</f>
        <v/>
      </c>
      <c r="O64">
        <f>IF(N(N64)+N(P64)&gt;0,1,0)</f>
        <v/>
      </c>
      <c r="P64">
        <f>IF(P63+N(N63)&gt;0,1,0)</f>
        <v/>
      </c>
      <c r="Q64">
        <f>IF(N(P64)+N(R64)&gt;0,1,0)</f>
        <v/>
      </c>
      <c r="R64">
        <f>IF(R63+N(P63)&gt;0,1,0)</f>
        <v/>
      </c>
      <c r="S64">
        <f>IF(N(R64)+N(T64)&gt;0,1,0)</f>
        <v/>
      </c>
      <c r="T64">
        <f>IF(T63+N(R63)&gt;0,1,0)</f>
        <v/>
      </c>
      <c r="U64">
        <f>IF(N(T64)+N(V64)&gt;0,1,0)</f>
        <v/>
      </c>
      <c r="V64">
        <f>IF(V63+N(T63)&gt;0,1,0)</f>
        <v/>
      </c>
      <c r="W64">
        <f>IF(N(V64)+N(X64)&gt;0,1,0)</f>
        <v/>
      </c>
      <c r="X64">
        <f>IF(X63+N(V63)&gt;0,1,0)</f>
        <v/>
      </c>
      <c r="Y64">
        <f>IF(N(X64)+N(Z64)&gt;0,1,0)</f>
        <v/>
      </c>
      <c r="Z64">
        <f>IF(Z63+N(X63)&gt;0,1,0)</f>
        <v/>
      </c>
      <c r="AA64">
        <f>IF(N(Z64)+N(AB64)&gt;0,1,0)</f>
        <v/>
      </c>
      <c r="AB64">
        <f>IF(AB63+N(Z63)&gt;0,1,0)</f>
        <v/>
      </c>
      <c r="AC64">
        <f>IF(N(AB64)+N(AD64)&gt;0,1,0)</f>
        <v/>
      </c>
      <c r="AD64">
        <f>IF(AD63+N(AB63)&gt;0,1,0)</f>
        <v/>
      </c>
      <c r="AE64">
        <f>IF(N(AD64)+N(AF64)&gt;0,1,0)</f>
        <v/>
      </c>
      <c r="AF64">
        <f>IF(AF63+N(AD63)&gt;0,1,0)</f>
        <v/>
      </c>
      <c r="AG64">
        <f>IF(N(AF64)+0&gt;0,1,0)</f>
        <v/>
      </c>
    </row>
    <row r="65" hidden="1" outlineLevel="1">
      <c r="A65" s="60" t="inlineStr">
        <is>
          <t>(phụ trợ) HASL</t>
        </is>
      </c>
      <c r="C65">
        <f>0</f>
        <v/>
      </c>
      <c r="D65">
        <f>1</f>
        <v/>
      </c>
      <c r="E65">
        <f>N(D63)</f>
        <v/>
      </c>
      <c r="F65">
        <f>1</f>
        <v/>
      </c>
      <c r="G65">
        <f>N(F63)</f>
        <v/>
      </c>
      <c r="H65">
        <f>1</f>
        <v/>
      </c>
      <c r="I65">
        <f>N(H63)</f>
        <v/>
      </c>
      <c r="J65">
        <f>1</f>
        <v/>
      </c>
      <c r="K65">
        <f>N(J63)</f>
        <v/>
      </c>
      <c r="L65">
        <f>1</f>
        <v/>
      </c>
      <c r="M65">
        <f>N(L63)</f>
        <v/>
      </c>
      <c r="N65">
        <f>1</f>
        <v/>
      </c>
      <c r="O65">
        <f>N(N63)</f>
        <v/>
      </c>
      <c r="P65">
        <f>1</f>
        <v/>
      </c>
      <c r="Q65">
        <f>N(P63)</f>
        <v/>
      </c>
      <c r="R65">
        <f>1</f>
        <v/>
      </c>
      <c r="S65">
        <f>N(R63)</f>
        <v/>
      </c>
      <c r="T65">
        <f>1</f>
        <v/>
      </c>
      <c r="U65">
        <f>N(T63)</f>
        <v/>
      </c>
      <c r="V65">
        <f>1</f>
        <v/>
      </c>
      <c r="W65">
        <f>N(V63)</f>
        <v/>
      </c>
      <c r="X65">
        <f>1</f>
        <v/>
      </c>
      <c r="Y65">
        <f>N(X63)</f>
        <v/>
      </c>
      <c r="Z65">
        <f>1</f>
        <v/>
      </c>
      <c r="AA65">
        <f>N(Z63)</f>
        <v/>
      </c>
      <c r="AB65">
        <f>1</f>
        <v/>
      </c>
      <c r="AC65">
        <f>N(AB63)</f>
        <v/>
      </c>
      <c r="AD65">
        <f>1</f>
        <v/>
      </c>
      <c r="AE65">
        <f>N(AD63)</f>
        <v/>
      </c>
      <c r="AF65">
        <f>1</f>
        <v/>
      </c>
      <c r="AG65">
        <f>N(AF63)</f>
        <v/>
      </c>
    </row>
    <row r="66" hidden="1" outlineLevel="1">
      <c r="A66" s="60" t="inlineStr">
        <is>
          <t>(phụ trợ) HASR</t>
        </is>
      </c>
      <c r="C66">
        <f>N(D63)</f>
        <v/>
      </c>
      <c r="D66">
        <f>1</f>
        <v/>
      </c>
      <c r="E66">
        <f>N(F63)</f>
        <v/>
      </c>
      <c r="F66">
        <f>1</f>
        <v/>
      </c>
      <c r="G66">
        <f>N(H63)</f>
        <v/>
      </c>
      <c r="H66">
        <f>1</f>
        <v/>
      </c>
      <c r="I66">
        <f>N(J63)</f>
        <v/>
      </c>
      <c r="J66">
        <f>1</f>
        <v/>
      </c>
      <c r="K66">
        <f>N(L63)</f>
        <v/>
      </c>
      <c r="L66">
        <f>1</f>
        <v/>
      </c>
      <c r="M66">
        <f>N(N63)</f>
        <v/>
      </c>
      <c r="N66">
        <f>1</f>
        <v/>
      </c>
      <c r="O66">
        <f>N(P63)</f>
        <v/>
      </c>
      <c r="P66">
        <f>1</f>
        <v/>
      </c>
      <c r="Q66">
        <f>N(R63)</f>
        <v/>
      </c>
      <c r="R66">
        <f>1</f>
        <v/>
      </c>
      <c r="S66">
        <f>N(T63)</f>
        <v/>
      </c>
      <c r="T66">
        <f>1</f>
        <v/>
      </c>
      <c r="U66">
        <f>N(V63)</f>
        <v/>
      </c>
      <c r="V66">
        <f>1</f>
        <v/>
      </c>
      <c r="W66">
        <f>N(X63)</f>
        <v/>
      </c>
      <c r="X66">
        <f>1</f>
        <v/>
      </c>
      <c r="Y66">
        <f>N(Z63)</f>
        <v/>
      </c>
      <c r="Z66">
        <f>1</f>
        <v/>
      </c>
      <c r="AA66">
        <f>N(AB63)</f>
        <v/>
      </c>
      <c r="AB66">
        <f>1</f>
        <v/>
      </c>
      <c r="AC66">
        <f>N(AD63)</f>
        <v/>
      </c>
      <c r="AD66">
        <f>1</f>
        <v/>
      </c>
      <c r="AE66">
        <f>N(AF63)</f>
        <v/>
      </c>
      <c r="AF66">
        <f>1</f>
        <v/>
      </c>
      <c r="AG66">
        <f>0</f>
        <v/>
      </c>
    </row>
    <row r="67" hidden="1" outlineLevel="1">
      <c r="A67" s="60" t="inlineStr">
        <is>
          <t>(phụ trợ) LECH</t>
        </is>
      </c>
      <c r="C67">
        <f>IFERROR(C27*1,IFERROR(SUBSTITUTE(C27,".",",")*1,IFERROR(SUBSTITUTE(C27,",",".")*1,0)))</f>
        <v/>
      </c>
      <c r="E67">
        <f>IFERROR(E27*1,IFERROR(SUBSTITUTE(E27,".",",")*1,IFERROR(SUBSTITUTE(E27,",",".")*1,0)))</f>
        <v/>
      </c>
      <c r="G67">
        <f>IFERROR(G27*1,IFERROR(SUBSTITUTE(G27,".",",")*1,IFERROR(SUBSTITUTE(G27,",",".")*1,0)))</f>
        <v/>
      </c>
      <c r="I67">
        <f>IFERROR(I27*1,IFERROR(SUBSTITUTE(I27,".",",")*1,IFERROR(SUBSTITUTE(I27,",",".")*1,0)))</f>
        <v/>
      </c>
      <c r="K67">
        <f>IFERROR(K27*1,IFERROR(SUBSTITUTE(K27,".",",")*1,IFERROR(SUBSTITUTE(K27,",",".")*1,0)))</f>
        <v/>
      </c>
      <c r="M67">
        <f>IFERROR(M27*1,IFERROR(SUBSTITUTE(M27,".",",")*1,IFERROR(SUBSTITUTE(M27,",",".")*1,0)))</f>
        <v/>
      </c>
      <c r="O67">
        <f>IFERROR(O27*1,IFERROR(SUBSTITUTE(O27,".",",")*1,IFERROR(SUBSTITUTE(O27,",",".")*1,0)))</f>
        <v/>
      </c>
      <c r="Q67">
        <f>IFERROR(Q27*1,IFERROR(SUBSTITUTE(Q27,".",",")*1,IFERROR(SUBSTITUTE(Q27,",",".")*1,0)))</f>
        <v/>
      </c>
      <c r="S67">
        <f>IFERROR(S27*1,IFERROR(SUBSTITUTE(S27,".",",")*1,IFERROR(SUBSTITUTE(S27,",",".")*1,0)))</f>
        <v/>
      </c>
      <c r="U67">
        <f>IFERROR(U27*1,IFERROR(SUBSTITUTE(U27,".",",")*1,IFERROR(SUBSTITUTE(U27,",",".")*1,0)))</f>
        <v/>
      </c>
      <c r="W67">
        <f>IFERROR(W27*1,IFERROR(SUBSTITUTE(W27,".",",")*1,IFERROR(SUBSTITUTE(W27,",",".")*1,0)))</f>
        <v/>
      </c>
      <c r="Y67">
        <f>IFERROR(Y27*1,IFERROR(SUBSTITUTE(Y27,".",",")*1,IFERROR(SUBSTITUTE(Y27,",",".")*1,0)))</f>
        <v/>
      </c>
      <c r="AA67">
        <f>IFERROR(AA27*1,IFERROR(SUBSTITUTE(AA27,".",",")*1,IFERROR(SUBSTITUTE(AA27,",",".")*1,0)))</f>
        <v/>
      </c>
      <c r="AC67">
        <f>IFERROR(AC27*1,IFERROR(SUBSTITUTE(AC27,".",",")*1,IFERROR(SUBSTITUTE(AC27,",",".")*1,0)))</f>
        <v/>
      </c>
      <c r="AE67">
        <f>IFERROR(AE27*1,IFERROR(SUBSTITUTE(AE27,".",",")*1,IFERROR(SUBSTITUTE(AE27,",",".")*1,0)))</f>
        <v/>
      </c>
      <c r="AG67">
        <f>IFERROR(AG27*1,IFERROR(SUBSTITUTE(AG27,".",",")*1,IFERROR(SUBSTITUTE(AG27,",",".")*1,0)))</f>
        <v/>
      </c>
    </row>
    <row r="68" hidden="1" outlineLevel="1">
      <c r="A68" s="60" t="inlineStr">
        <is>
          <t>(phụ trợ) N_T0L</t>
        </is>
      </c>
      <c r="C68">
        <f>$B$125</f>
        <v/>
      </c>
      <c r="D68">
        <f>IFERROR(IF(ISNUMBER(MID(LOOKUP(2,1/ISNUMBER(FIND(";",$D$23:D$23)),$D$23:D$23),FIND(";",LOOKUP(2,1/ISNUMBER(FIND(";",$D$23:D$23)),$D$23:D$23))+1,99)*1),LEFT($B$125,FIND("t",$B$125))&amp;MID(LOOKUP(2,1/ISNUMBER(FIND(";",$D$23:D$23)),$D$23:D$23),FIND(";",LOOKUP(2,1/ISNUMBER(FIND(";",$D$23:D$23)),$D$23:D$23))+1,99),SUBSTITUTE(SUBSTITUTE(SUBSTITUTE(SUBSTITUTE(SUBSTITUTE(SUBSTITUTE(LOWER(MID(LOOKUP(2,1/ISNUMBER(FIND(";",$D$23:D$23)),$D$23:D$23),FIND(";",LOOKUP(2,1/ISNUMBER(FIND(";",$D$23:D$23)),$D$23:D$23))+1,99))," ",""),"%%c","t"),"ø","t"),"φ","t"),"f","t"),"d","t")),$B$125)</f>
        <v/>
      </c>
      <c r="E68">
        <f>IFERROR(IF(ISNUMBER(MID(LOOKUP(2,1/ISNUMBER(FIND(";",$D$23:D$23)),$D$23:D$23),FIND(";",LOOKUP(2,1/ISNUMBER(FIND(";",$D$23:D$23)),$D$23:D$23))+1,99)*1),LEFT($B$125,FIND("t",$B$125))&amp;MID(LOOKUP(2,1/ISNUMBER(FIND(";",$D$23:D$23)),$D$23:D$23),FIND(";",LOOKUP(2,1/ISNUMBER(FIND(";",$D$23:D$23)),$D$23:D$23))+1,99),SUBSTITUTE(SUBSTITUTE(SUBSTITUTE(SUBSTITUTE(SUBSTITUTE(SUBSTITUTE(LOWER(MID(LOOKUP(2,1/ISNUMBER(FIND(";",$D$23:D$23)),$D$23:D$23),FIND(";",LOOKUP(2,1/ISNUMBER(FIND(";",$D$23:D$23)),$D$23:D$23))+1,99))," ",""),"%%c","t"),"ø","t"),"φ","t"),"f","t"),"d","t")),$B$125)</f>
        <v/>
      </c>
      <c r="F68">
        <f>IFERROR(IF(ISNUMBER(MID(LOOKUP(2,1/ISNUMBER(FIND(";",$D$23:F$23)),$D$23:F$23),FIND(";",LOOKUP(2,1/ISNUMBER(FIND(";",$D$23:F$23)),$D$23:F$23))+1,99)*1),LEFT($B$125,FIND("t",$B$125))&amp;MID(LOOKUP(2,1/ISNUMBER(FIND(";",$D$23:F$23)),$D$23:F$23),FIND(";",LOOKUP(2,1/ISNUMBER(FIND(";",$D$23:F$23)),$D$23:F$23))+1,99),SUBSTITUTE(SUBSTITUTE(SUBSTITUTE(SUBSTITUTE(SUBSTITUTE(SUBSTITUTE(LOWER(MID(LOOKUP(2,1/ISNUMBER(FIND(";",$D$23:F$23)),$D$23:F$23),FIND(";",LOOKUP(2,1/ISNUMBER(FIND(";",$D$23:F$23)),$D$23:F$23))+1,99))," ",""),"%%c","t"),"ø","t"),"φ","t"),"f","t"),"d","t")),$B$125)</f>
        <v/>
      </c>
      <c r="G68">
        <f>IFERROR(IF(ISNUMBER(MID(LOOKUP(2,1/ISNUMBER(FIND(";",$D$23:F$23)),$D$23:F$23),FIND(";",LOOKUP(2,1/ISNUMBER(FIND(";",$D$23:F$23)),$D$23:F$23))+1,99)*1),LEFT($B$125,FIND("t",$B$125))&amp;MID(LOOKUP(2,1/ISNUMBER(FIND(";",$D$23:F$23)),$D$23:F$23),FIND(";",LOOKUP(2,1/ISNUMBER(FIND(";",$D$23:F$23)),$D$23:F$23))+1,99),SUBSTITUTE(SUBSTITUTE(SUBSTITUTE(SUBSTITUTE(SUBSTITUTE(SUBSTITUTE(LOWER(MID(LOOKUP(2,1/ISNUMBER(FIND(";",$D$23:F$23)),$D$23:F$23),FIND(";",LOOKUP(2,1/ISNUMBER(FIND(";",$D$23:F$23)),$D$23:F$23))+1,99))," ",""),"%%c","t"),"ø","t"),"φ","t"),"f","t"),"d","t")),$B$125)</f>
        <v/>
      </c>
      <c r="H68">
        <f>IFERROR(IF(ISNUMBER(MID(LOOKUP(2,1/ISNUMBER(FIND(";",$D$23:H$23)),$D$23:H$23),FIND(";",LOOKUP(2,1/ISNUMBER(FIND(";",$D$23:H$23)),$D$23:H$23))+1,99)*1),LEFT($B$125,FIND("t",$B$125))&amp;MID(LOOKUP(2,1/ISNUMBER(FIND(";",$D$23:H$23)),$D$23:H$23),FIND(";",LOOKUP(2,1/ISNUMBER(FIND(";",$D$23:H$23)),$D$23:H$23))+1,99),SUBSTITUTE(SUBSTITUTE(SUBSTITUTE(SUBSTITUTE(SUBSTITUTE(SUBSTITUTE(LOWER(MID(LOOKUP(2,1/ISNUMBER(FIND(";",$D$23:H$23)),$D$23:H$23),FIND(";",LOOKUP(2,1/ISNUMBER(FIND(";",$D$23:H$23)),$D$23:H$23))+1,99))," ",""),"%%c","t"),"ø","t"),"φ","t"),"f","t"),"d","t")),$B$125)</f>
        <v/>
      </c>
      <c r="I68">
        <f>IFERROR(IF(ISNUMBER(MID(LOOKUP(2,1/ISNUMBER(FIND(";",$D$23:H$23)),$D$23:H$23),FIND(";",LOOKUP(2,1/ISNUMBER(FIND(";",$D$23:H$23)),$D$23:H$23))+1,99)*1),LEFT($B$125,FIND("t",$B$125))&amp;MID(LOOKUP(2,1/ISNUMBER(FIND(";",$D$23:H$23)),$D$23:H$23),FIND(";",LOOKUP(2,1/ISNUMBER(FIND(";",$D$23:H$23)),$D$23:H$23))+1,99),SUBSTITUTE(SUBSTITUTE(SUBSTITUTE(SUBSTITUTE(SUBSTITUTE(SUBSTITUTE(LOWER(MID(LOOKUP(2,1/ISNUMBER(FIND(";",$D$23:H$23)),$D$23:H$23),FIND(";",LOOKUP(2,1/ISNUMBER(FIND(";",$D$23:H$23)),$D$23:H$23))+1,99))," ",""),"%%c","t"),"ø","t"),"φ","t"),"f","t"),"d","t")),$B$125)</f>
        <v/>
      </c>
      <c r="J68">
        <f>IFERROR(IF(ISNUMBER(MID(LOOKUP(2,1/ISNUMBER(FIND(";",$D$23:J$23)),$D$23:J$23),FIND(";",LOOKUP(2,1/ISNUMBER(FIND(";",$D$23:J$23)),$D$23:J$23))+1,99)*1),LEFT($B$125,FIND("t",$B$125))&amp;MID(LOOKUP(2,1/ISNUMBER(FIND(";",$D$23:J$23)),$D$23:J$23),FIND(";",LOOKUP(2,1/ISNUMBER(FIND(";",$D$23:J$23)),$D$23:J$23))+1,99),SUBSTITUTE(SUBSTITUTE(SUBSTITUTE(SUBSTITUTE(SUBSTITUTE(SUBSTITUTE(LOWER(MID(LOOKUP(2,1/ISNUMBER(FIND(";",$D$23:J$23)),$D$23:J$23),FIND(";",LOOKUP(2,1/ISNUMBER(FIND(";",$D$23:J$23)),$D$23:J$23))+1,99))," ",""),"%%c","t"),"ø","t"),"φ","t"),"f","t"),"d","t")),$B$125)</f>
        <v/>
      </c>
      <c r="K68">
        <f>IFERROR(IF(ISNUMBER(MID(LOOKUP(2,1/ISNUMBER(FIND(";",$D$23:J$23)),$D$23:J$23),FIND(";",LOOKUP(2,1/ISNUMBER(FIND(";",$D$23:J$23)),$D$23:J$23))+1,99)*1),LEFT($B$125,FIND("t",$B$125))&amp;MID(LOOKUP(2,1/ISNUMBER(FIND(";",$D$23:J$23)),$D$23:J$23),FIND(";",LOOKUP(2,1/ISNUMBER(FIND(";",$D$23:J$23)),$D$23:J$23))+1,99),SUBSTITUTE(SUBSTITUTE(SUBSTITUTE(SUBSTITUTE(SUBSTITUTE(SUBSTITUTE(LOWER(MID(LOOKUP(2,1/ISNUMBER(FIND(";",$D$23:J$23)),$D$23:J$23),FIND(";",LOOKUP(2,1/ISNUMBER(FIND(";",$D$23:J$23)),$D$23:J$23))+1,99))," ",""),"%%c","t"),"ø","t"),"φ","t"),"f","t"),"d","t")),$B$125)</f>
        <v/>
      </c>
      <c r="L68">
        <f>IFERROR(IF(ISNUMBER(MID(LOOKUP(2,1/ISNUMBER(FIND(";",$D$23:L$23)),$D$23:L$23),FIND(";",LOOKUP(2,1/ISNUMBER(FIND(";",$D$23:L$23)),$D$23:L$23))+1,99)*1),LEFT($B$125,FIND("t",$B$125))&amp;MID(LOOKUP(2,1/ISNUMBER(FIND(";",$D$23:L$23)),$D$23:L$23),FIND(";",LOOKUP(2,1/ISNUMBER(FIND(";",$D$23:L$23)),$D$23:L$23))+1,99),SUBSTITUTE(SUBSTITUTE(SUBSTITUTE(SUBSTITUTE(SUBSTITUTE(SUBSTITUTE(LOWER(MID(LOOKUP(2,1/ISNUMBER(FIND(";",$D$23:L$23)),$D$23:L$23),FIND(";",LOOKUP(2,1/ISNUMBER(FIND(";",$D$23:L$23)),$D$23:L$23))+1,99))," ",""),"%%c","t"),"ø","t"),"φ","t"),"f","t"),"d","t")),$B$125)</f>
        <v/>
      </c>
      <c r="M68">
        <f>IFERROR(IF(ISNUMBER(MID(LOOKUP(2,1/ISNUMBER(FIND(";",$D$23:L$23)),$D$23:L$23),FIND(";",LOOKUP(2,1/ISNUMBER(FIND(";",$D$23:L$23)),$D$23:L$23))+1,99)*1),LEFT($B$125,FIND("t",$B$125))&amp;MID(LOOKUP(2,1/ISNUMBER(FIND(";",$D$23:L$23)),$D$23:L$23),FIND(";",LOOKUP(2,1/ISNUMBER(FIND(";",$D$23:L$23)),$D$23:L$23))+1,99),SUBSTITUTE(SUBSTITUTE(SUBSTITUTE(SUBSTITUTE(SUBSTITUTE(SUBSTITUTE(LOWER(MID(LOOKUP(2,1/ISNUMBER(FIND(";",$D$23:L$23)),$D$23:L$23),FIND(";",LOOKUP(2,1/ISNUMBER(FIND(";",$D$23:L$23)),$D$23:L$23))+1,99))," ",""),"%%c","t"),"ø","t"),"φ","t"),"f","t"),"d","t")),$B$125)</f>
        <v/>
      </c>
      <c r="N68">
        <f>IFERROR(IF(ISNUMBER(MID(LOOKUP(2,1/ISNUMBER(FIND(";",$D$23:N$23)),$D$23:N$23),FIND(";",LOOKUP(2,1/ISNUMBER(FIND(";",$D$23:N$23)),$D$23:N$23))+1,99)*1),LEFT($B$125,FIND("t",$B$125))&amp;MID(LOOKUP(2,1/ISNUMBER(FIND(";",$D$23:N$23)),$D$23:N$23),FIND(";",LOOKUP(2,1/ISNUMBER(FIND(";",$D$23:N$23)),$D$23:N$23))+1,99),SUBSTITUTE(SUBSTITUTE(SUBSTITUTE(SUBSTITUTE(SUBSTITUTE(SUBSTITUTE(LOWER(MID(LOOKUP(2,1/ISNUMBER(FIND(";",$D$23:N$23)),$D$23:N$23),FIND(";",LOOKUP(2,1/ISNUMBER(FIND(";",$D$23:N$23)),$D$23:N$23))+1,99))," ",""),"%%c","t"),"ø","t"),"φ","t"),"f","t"),"d","t")),$B$125)</f>
        <v/>
      </c>
      <c r="O68">
        <f>IFERROR(IF(ISNUMBER(MID(LOOKUP(2,1/ISNUMBER(FIND(";",$D$23:N$23)),$D$23:N$23),FIND(";",LOOKUP(2,1/ISNUMBER(FIND(";",$D$23:N$23)),$D$23:N$23))+1,99)*1),LEFT($B$125,FIND("t",$B$125))&amp;MID(LOOKUP(2,1/ISNUMBER(FIND(";",$D$23:N$23)),$D$23:N$23),FIND(";",LOOKUP(2,1/ISNUMBER(FIND(";",$D$23:N$23)),$D$23:N$23))+1,99),SUBSTITUTE(SUBSTITUTE(SUBSTITUTE(SUBSTITUTE(SUBSTITUTE(SUBSTITUTE(LOWER(MID(LOOKUP(2,1/ISNUMBER(FIND(";",$D$23:N$23)),$D$23:N$23),FIND(";",LOOKUP(2,1/ISNUMBER(FIND(";",$D$23:N$23)),$D$23:N$23))+1,99))," ",""),"%%c","t"),"ø","t"),"φ","t"),"f","t"),"d","t")),$B$125)</f>
        <v/>
      </c>
      <c r="P68">
        <f>IFERROR(IF(ISNUMBER(MID(LOOKUP(2,1/ISNUMBER(FIND(";",$D$23:P$23)),$D$23:P$23),FIND(";",LOOKUP(2,1/ISNUMBER(FIND(";",$D$23:P$23)),$D$23:P$23))+1,99)*1),LEFT($B$125,FIND("t",$B$125))&amp;MID(LOOKUP(2,1/ISNUMBER(FIND(";",$D$23:P$23)),$D$23:P$23),FIND(";",LOOKUP(2,1/ISNUMBER(FIND(";",$D$23:P$23)),$D$23:P$23))+1,99),SUBSTITUTE(SUBSTITUTE(SUBSTITUTE(SUBSTITUTE(SUBSTITUTE(SUBSTITUTE(LOWER(MID(LOOKUP(2,1/ISNUMBER(FIND(";",$D$23:P$23)),$D$23:P$23),FIND(";",LOOKUP(2,1/ISNUMBER(FIND(";",$D$23:P$23)),$D$23:P$23))+1,99))," ",""),"%%c","t"),"ø","t"),"φ","t"),"f","t"),"d","t")),$B$125)</f>
        <v/>
      </c>
      <c r="Q68">
        <f>IFERROR(IF(ISNUMBER(MID(LOOKUP(2,1/ISNUMBER(FIND(";",$D$23:P$23)),$D$23:P$23),FIND(";",LOOKUP(2,1/ISNUMBER(FIND(";",$D$23:P$23)),$D$23:P$23))+1,99)*1),LEFT($B$125,FIND("t",$B$125))&amp;MID(LOOKUP(2,1/ISNUMBER(FIND(";",$D$23:P$23)),$D$23:P$23),FIND(";",LOOKUP(2,1/ISNUMBER(FIND(";",$D$23:P$23)),$D$23:P$23))+1,99),SUBSTITUTE(SUBSTITUTE(SUBSTITUTE(SUBSTITUTE(SUBSTITUTE(SUBSTITUTE(LOWER(MID(LOOKUP(2,1/ISNUMBER(FIND(";",$D$23:P$23)),$D$23:P$23),FIND(";",LOOKUP(2,1/ISNUMBER(FIND(";",$D$23:P$23)),$D$23:P$23))+1,99))," ",""),"%%c","t"),"ø","t"),"φ","t"),"f","t"),"d","t")),$B$125)</f>
        <v/>
      </c>
      <c r="R68">
        <f>IFERROR(IF(ISNUMBER(MID(LOOKUP(2,1/ISNUMBER(FIND(";",$D$23:R$23)),$D$23:R$23),FIND(";",LOOKUP(2,1/ISNUMBER(FIND(";",$D$23:R$23)),$D$23:R$23))+1,99)*1),LEFT($B$125,FIND("t",$B$125))&amp;MID(LOOKUP(2,1/ISNUMBER(FIND(";",$D$23:R$23)),$D$23:R$23),FIND(";",LOOKUP(2,1/ISNUMBER(FIND(";",$D$23:R$23)),$D$23:R$23))+1,99),SUBSTITUTE(SUBSTITUTE(SUBSTITUTE(SUBSTITUTE(SUBSTITUTE(SUBSTITUTE(LOWER(MID(LOOKUP(2,1/ISNUMBER(FIND(";",$D$23:R$23)),$D$23:R$23),FIND(";",LOOKUP(2,1/ISNUMBER(FIND(";",$D$23:R$23)),$D$23:R$23))+1,99))," ",""),"%%c","t"),"ø","t"),"φ","t"),"f","t"),"d","t")),$B$125)</f>
        <v/>
      </c>
      <c r="S68">
        <f>IFERROR(IF(ISNUMBER(MID(LOOKUP(2,1/ISNUMBER(FIND(";",$D$23:R$23)),$D$23:R$23),FIND(";",LOOKUP(2,1/ISNUMBER(FIND(";",$D$23:R$23)),$D$23:R$23))+1,99)*1),LEFT($B$125,FIND("t",$B$125))&amp;MID(LOOKUP(2,1/ISNUMBER(FIND(";",$D$23:R$23)),$D$23:R$23),FIND(";",LOOKUP(2,1/ISNUMBER(FIND(";",$D$23:R$23)),$D$23:R$23))+1,99),SUBSTITUTE(SUBSTITUTE(SUBSTITUTE(SUBSTITUTE(SUBSTITUTE(SUBSTITUTE(LOWER(MID(LOOKUP(2,1/ISNUMBER(FIND(";",$D$23:R$23)),$D$23:R$23),FIND(";",LOOKUP(2,1/ISNUMBER(FIND(";",$D$23:R$23)),$D$23:R$23))+1,99))," ",""),"%%c","t"),"ø","t"),"φ","t"),"f","t"),"d","t")),$B$125)</f>
        <v/>
      </c>
      <c r="T68">
        <f>IFERROR(IF(ISNUMBER(MID(LOOKUP(2,1/ISNUMBER(FIND(";",$D$23:T$23)),$D$23:T$23),FIND(";",LOOKUP(2,1/ISNUMBER(FIND(";",$D$23:T$23)),$D$23:T$23))+1,99)*1),LEFT($B$125,FIND("t",$B$125))&amp;MID(LOOKUP(2,1/ISNUMBER(FIND(";",$D$23:T$23)),$D$23:T$23),FIND(";",LOOKUP(2,1/ISNUMBER(FIND(";",$D$23:T$23)),$D$23:T$23))+1,99),SUBSTITUTE(SUBSTITUTE(SUBSTITUTE(SUBSTITUTE(SUBSTITUTE(SUBSTITUTE(LOWER(MID(LOOKUP(2,1/ISNUMBER(FIND(";",$D$23:T$23)),$D$23:T$23),FIND(";",LOOKUP(2,1/ISNUMBER(FIND(";",$D$23:T$23)),$D$23:T$23))+1,99))," ",""),"%%c","t"),"ø","t"),"φ","t"),"f","t"),"d","t")),$B$125)</f>
        <v/>
      </c>
      <c r="U68">
        <f>IFERROR(IF(ISNUMBER(MID(LOOKUP(2,1/ISNUMBER(FIND(";",$D$23:T$23)),$D$23:T$23),FIND(";",LOOKUP(2,1/ISNUMBER(FIND(";",$D$23:T$23)),$D$23:T$23))+1,99)*1),LEFT($B$125,FIND("t",$B$125))&amp;MID(LOOKUP(2,1/ISNUMBER(FIND(";",$D$23:T$23)),$D$23:T$23),FIND(";",LOOKUP(2,1/ISNUMBER(FIND(";",$D$23:T$23)),$D$23:T$23))+1,99),SUBSTITUTE(SUBSTITUTE(SUBSTITUTE(SUBSTITUTE(SUBSTITUTE(SUBSTITUTE(LOWER(MID(LOOKUP(2,1/ISNUMBER(FIND(";",$D$23:T$23)),$D$23:T$23),FIND(";",LOOKUP(2,1/ISNUMBER(FIND(";",$D$23:T$23)),$D$23:T$23))+1,99))," ",""),"%%c","t"),"ø","t"),"φ","t"),"f","t"),"d","t")),$B$125)</f>
        <v/>
      </c>
      <c r="V68">
        <f>IFERROR(IF(ISNUMBER(MID(LOOKUP(2,1/ISNUMBER(FIND(";",$D$23:V$23)),$D$23:V$23),FIND(";",LOOKUP(2,1/ISNUMBER(FIND(";",$D$23:V$23)),$D$23:V$23))+1,99)*1),LEFT($B$125,FIND("t",$B$125))&amp;MID(LOOKUP(2,1/ISNUMBER(FIND(";",$D$23:V$23)),$D$23:V$23),FIND(";",LOOKUP(2,1/ISNUMBER(FIND(";",$D$23:V$23)),$D$23:V$23))+1,99),SUBSTITUTE(SUBSTITUTE(SUBSTITUTE(SUBSTITUTE(SUBSTITUTE(SUBSTITUTE(LOWER(MID(LOOKUP(2,1/ISNUMBER(FIND(";",$D$23:V$23)),$D$23:V$23),FIND(";",LOOKUP(2,1/ISNUMBER(FIND(";",$D$23:V$23)),$D$23:V$23))+1,99))," ",""),"%%c","t"),"ø","t"),"φ","t"),"f","t"),"d","t")),$B$125)</f>
        <v/>
      </c>
      <c r="W68">
        <f>IFERROR(IF(ISNUMBER(MID(LOOKUP(2,1/ISNUMBER(FIND(";",$D$23:V$23)),$D$23:V$23),FIND(";",LOOKUP(2,1/ISNUMBER(FIND(";",$D$23:V$23)),$D$23:V$23))+1,99)*1),LEFT($B$125,FIND("t",$B$125))&amp;MID(LOOKUP(2,1/ISNUMBER(FIND(";",$D$23:V$23)),$D$23:V$23),FIND(";",LOOKUP(2,1/ISNUMBER(FIND(";",$D$23:V$23)),$D$23:V$23))+1,99),SUBSTITUTE(SUBSTITUTE(SUBSTITUTE(SUBSTITUTE(SUBSTITUTE(SUBSTITUTE(LOWER(MID(LOOKUP(2,1/ISNUMBER(FIND(";",$D$23:V$23)),$D$23:V$23),FIND(";",LOOKUP(2,1/ISNUMBER(FIND(";",$D$23:V$23)),$D$23:V$23))+1,99))," ",""),"%%c","t"),"ø","t"),"φ","t"),"f","t"),"d","t")),$B$125)</f>
        <v/>
      </c>
      <c r="X68">
        <f>IFERROR(IF(ISNUMBER(MID(LOOKUP(2,1/ISNUMBER(FIND(";",$D$23:X$23)),$D$23:X$23),FIND(";",LOOKUP(2,1/ISNUMBER(FIND(";",$D$23:X$23)),$D$23:X$23))+1,99)*1),LEFT($B$125,FIND("t",$B$125))&amp;MID(LOOKUP(2,1/ISNUMBER(FIND(";",$D$23:X$23)),$D$23:X$23),FIND(";",LOOKUP(2,1/ISNUMBER(FIND(";",$D$23:X$23)),$D$23:X$23))+1,99),SUBSTITUTE(SUBSTITUTE(SUBSTITUTE(SUBSTITUTE(SUBSTITUTE(SUBSTITUTE(LOWER(MID(LOOKUP(2,1/ISNUMBER(FIND(";",$D$23:X$23)),$D$23:X$23),FIND(";",LOOKUP(2,1/ISNUMBER(FIND(";",$D$23:X$23)),$D$23:X$23))+1,99))," ",""),"%%c","t"),"ø","t"),"φ","t"),"f","t"),"d","t")),$B$125)</f>
        <v/>
      </c>
      <c r="Y68">
        <f>IFERROR(IF(ISNUMBER(MID(LOOKUP(2,1/ISNUMBER(FIND(";",$D$23:X$23)),$D$23:X$23),FIND(";",LOOKUP(2,1/ISNUMBER(FIND(";",$D$23:X$23)),$D$23:X$23))+1,99)*1),LEFT($B$125,FIND("t",$B$125))&amp;MID(LOOKUP(2,1/ISNUMBER(FIND(";",$D$23:X$23)),$D$23:X$23),FIND(";",LOOKUP(2,1/ISNUMBER(FIND(";",$D$23:X$23)),$D$23:X$23))+1,99),SUBSTITUTE(SUBSTITUTE(SUBSTITUTE(SUBSTITUTE(SUBSTITUTE(SUBSTITUTE(LOWER(MID(LOOKUP(2,1/ISNUMBER(FIND(";",$D$23:X$23)),$D$23:X$23),FIND(";",LOOKUP(2,1/ISNUMBER(FIND(";",$D$23:X$23)),$D$23:X$23))+1,99))," ",""),"%%c","t"),"ø","t"),"φ","t"),"f","t"),"d","t")),$B$125)</f>
        <v/>
      </c>
      <c r="Z68">
        <f>IFERROR(IF(ISNUMBER(MID(LOOKUP(2,1/ISNUMBER(FIND(";",$D$23:Z$23)),$D$23:Z$23),FIND(";",LOOKUP(2,1/ISNUMBER(FIND(";",$D$23:Z$23)),$D$23:Z$23))+1,99)*1),LEFT($B$125,FIND("t",$B$125))&amp;MID(LOOKUP(2,1/ISNUMBER(FIND(";",$D$23:Z$23)),$D$23:Z$23),FIND(";",LOOKUP(2,1/ISNUMBER(FIND(";",$D$23:Z$23)),$D$23:Z$23))+1,99),SUBSTITUTE(SUBSTITUTE(SUBSTITUTE(SUBSTITUTE(SUBSTITUTE(SUBSTITUTE(LOWER(MID(LOOKUP(2,1/ISNUMBER(FIND(";",$D$23:Z$23)),$D$23:Z$23),FIND(";",LOOKUP(2,1/ISNUMBER(FIND(";",$D$23:Z$23)),$D$23:Z$23))+1,99))," ",""),"%%c","t"),"ø","t"),"φ","t"),"f","t"),"d","t")),$B$125)</f>
        <v/>
      </c>
      <c r="AA68">
        <f>IFERROR(IF(ISNUMBER(MID(LOOKUP(2,1/ISNUMBER(FIND(";",$D$23:Z$23)),$D$23:Z$23),FIND(";",LOOKUP(2,1/ISNUMBER(FIND(";",$D$23:Z$23)),$D$23:Z$23))+1,99)*1),LEFT($B$125,FIND("t",$B$125))&amp;MID(LOOKUP(2,1/ISNUMBER(FIND(";",$D$23:Z$23)),$D$23:Z$23),FIND(";",LOOKUP(2,1/ISNUMBER(FIND(";",$D$23:Z$23)),$D$23:Z$23))+1,99),SUBSTITUTE(SUBSTITUTE(SUBSTITUTE(SUBSTITUTE(SUBSTITUTE(SUBSTITUTE(LOWER(MID(LOOKUP(2,1/ISNUMBER(FIND(";",$D$23:Z$23)),$D$23:Z$23),FIND(";",LOOKUP(2,1/ISNUMBER(FIND(";",$D$23:Z$23)),$D$23:Z$23))+1,99))," ",""),"%%c","t"),"ø","t"),"φ","t"),"f","t"),"d","t")),$B$125)</f>
        <v/>
      </c>
      <c r="AB68">
        <f>IFERROR(IF(ISNUMBER(MID(LOOKUP(2,1/ISNUMBER(FIND(";",$D$23:AB$23)),$D$23:AB$23),FIND(";",LOOKUP(2,1/ISNUMBER(FIND(";",$D$23:AB$23)),$D$23:AB$23))+1,99)*1),LEFT($B$125,FIND("t",$B$125))&amp;MID(LOOKUP(2,1/ISNUMBER(FIND(";",$D$23:AB$23)),$D$23:AB$23),FIND(";",LOOKUP(2,1/ISNUMBER(FIND(";",$D$23:AB$23)),$D$23:AB$23))+1,99),SUBSTITUTE(SUBSTITUTE(SUBSTITUTE(SUBSTITUTE(SUBSTITUTE(SUBSTITUTE(LOWER(MID(LOOKUP(2,1/ISNUMBER(FIND(";",$D$23:AB$23)),$D$23:AB$23),FIND(";",LOOKUP(2,1/ISNUMBER(FIND(";",$D$23:AB$23)),$D$23:AB$23))+1,99))," ",""),"%%c","t"),"ø","t"),"φ","t"),"f","t"),"d","t")),$B$125)</f>
        <v/>
      </c>
      <c r="AC68">
        <f>IFERROR(IF(ISNUMBER(MID(LOOKUP(2,1/ISNUMBER(FIND(";",$D$23:AB$23)),$D$23:AB$23),FIND(";",LOOKUP(2,1/ISNUMBER(FIND(";",$D$23:AB$23)),$D$23:AB$23))+1,99)*1),LEFT($B$125,FIND("t",$B$125))&amp;MID(LOOKUP(2,1/ISNUMBER(FIND(";",$D$23:AB$23)),$D$23:AB$23),FIND(";",LOOKUP(2,1/ISNUMBER(FIND(";",$D$23:AB$23)),$D$23:AB$23))+1,99),SUBSTITUTE(SUBSTITUTE(SUBSTITUTE(SUBSTITUTE(SUBSTITUTE(SUBSTITUTE(LOWER(MID(LOOKUP(2,1/ISNUMBER(FIND(";",$D$23:AB$23)),$D$23:AB$23),FIND(";",LOOKUP(2,1/ISNUMBER(FIND(";",$D$23:AB$23)),$D$23:AB$23))+1,99))," ",""),"%%c","t"),"ø","t"),"φ","t"),"f","t"),"d","t")),$B$125)</f>
        <v/>
      </c>
      <c r="AD68">
        <f>IFERROR(IF(ISNUMBER(MID(LOOKUP(2,1/ISNUMBER(FIND(";",$D$23:AD$23)),$D$23:AD$23),FIND(";",LOOKUP(2,1/ISNUMBER(FIND(";",$D$23:AD$23)),$D$23:AD$23))+1,99)*1),LEFT($B$125,FIND("t",$B$125))&amp;MID(LOOKUP(2,1/ISNUMBER(FIND(";",$D$23:AD$23)),$D$23:AD$23),FIND(";",LOOKUP(2,1/ISNUMBER(FIND(";",$D$23:AD$23)),$D$23:AD$23))+1,99),SUBSTITUTE(SUBSTITUTE(SUBSTITUTE(SUBSTITUTE(SUBSTITUTE(SUBSTITUTE(LOWER(MID(LOOKUP(2,1/ISNUMBER(FIND(";",$D$23:AD$23)),$D$23:AD$23),FIND(";",LOOKUP(2,1/ISNUMBER(FIND(";",$D$23:AD$23)),$D$23:AD$23))+1,99))," ",""),"%%c","t"),"ø","t"),"φ","t"),"f","t"),"d","t")),$B$125)</f>
        <v/>
      </c>
      <c r="AE68">
        <f>IFERROR(IF(ISNUMBER(MID(LOOKUP(2,1/ISNUMBER(FIND(";",$D$23:AD$23)),$D$23:AD$23),FIND(";",LOOKUP(2,1/ISNUMBER(FIND(";",$D$23:AD$23)),$D$23:AD$23))+1,99)*1),LEFT($B$125,FIND("t",$B$125))&amp;MID(LOOKUP(2,1/ISNUMBER(FIND(";",$D$23:AD$23)),$D$23:AD$23),FIND(";",LOOKUP(2,1/ISNUMBER(FIND(";",$D$23:AD$23)),$D$23:AD$23))+1,99),SUBSTITUTE(SUBSTITUTE(SUBSTITUTE(SUBSTITUTE(SUBSTITUTE(SUBSTITUTE(LOWER(MID(LOOKUP(2,1/ISNUMBER(FIND(";",$D$23:AD$23)),$D$23:AD$23),FIND(";",LOOKUP(2,1/ISNUMBER(FIND(";",$D$23:AD$23)),$D$23:AD$23))+1,99))," ",""),"%%c","t"),"ø","t"),"φ","t"),"f","t"),"d","t")),$B$125)</f>
        <v/>
      </c>
      <c r="AF68">
        <f>IFERROR(IF(ISNUMBER(MID(LOOKUP(2,1/ISNUMBER(FIND(";",$D$23:AF$23)),$D$23:AF$23),FIND(";",LOOKUP(2,1/ISNUMBER(FIND(";",$D$23:AF$23)),$D$23:AF$23))+1,99)*1),LEFT($B$125,FIND("t",$B$125))&amp;MID(LOOKUP(2,1/ISNUMBER(FIND(";",$D$23:AF$23)),$D$23:AF$23),FIND(";",LOOKUP(2,1/ISNUMBER(FIND(";",$D$23:AF$23)),$D$23:AF$23))+1,99),SUBSTITUTE(SUBSTITUTE(SUBSTITUTE(SUBSTITUTE(SUBSTITUTE(SUBSTITUTE(LOWER(MID(LOOKUP(2,1/ISNUMBER(FIND(";",$D$23:AF$23)),$D$23:AF$23),FIND(";",LOOKUP(2,1/ISNUMBER(FIND(";",$D$23:AF$23)),$D$23:AF$23))+1,99))," ",""),"%%c","t"),"ø","t"),"φ","t"),"f","t"),"d","t")),$B$125)</f>
        <v/>
      </c>
      <c r="AG68">
        <f>IFERROR(IF(ISNUMBER(MID(LOOKUP(2,1/ISNUMBER(FIND(";",$D$23:AF$23)),$D$23:AF$23),FIND(";",LOOKUP(2,1/ISNUMBER(FIND(";",$D$23:AF$23)),$D$23:AF$23))+1,99)*1),LEFT($B$125,FIND("t",$B$125))&amp;MID(LOOKUP(2,1/ISNUMBER(FIND(";",$D$23:AF$23)),$D$23:AF$23),FIND(";",LOOKUP(2,1/ISNUMBER(FIND(";",$D$23:AF$23)),$D$23:AF$23))+1,99),SUBSTITUTE(SUBSTITUTE(SUBSTITUTE(SUBSTITUTE(SUBSTITUTE(SUBSTITUTE(LOWER(MID(LOOKUP(2,1/ISNUMBER(FIND(";",$D$23:AF$23)),$D$23:AF$23),FIND(";",LOOKUP(2,1/ISNUMBER(FIND(";",$D$23:AF$23)),$D$23:AF$23))+1,99))," ",""),"%%c","t"),"ø","t"),"φ","t"),"f","t"),"d","t")),$B$125)</f>
        <v/>
      </c>
    </row>
    <row r="69" hidden="1" outlineLevel="1">
      <c r="A69" s="60" t="inlineStr">
        <is>
          <t>(phụ trợ) A_T0L</t>
        </is>
      </c>
      <c r="C69">
        <f>IFERROR(LEFT(LEFT(C68,FIND("+",C68&amp;"+")-1),FIND("t",LEFT(C68,FIND("+",C68&amp;"+")-1))-1)*MID(LEFT(C68,FIND("+",C68&amp;"+")-1),FIND("t",LEFT(C68,FIND("+",C68&amp;"+")-1))+1,2)^2*PI()/400,0)+IFERROR(LEFT(MID(C68,FIND("+",C68&amp;"+")+1,99),FIND("t",MID(C68,FIND("+",C68&amp;"+")+1,99))-1)*MID(MID(C68,FIND("+",C68&amp;"+")+1,99),FIND("t",MID(C68,FIND("+",C68&amp;"+")+1,99))+1,2)^2*PI()/400,0)</f>
        <v/>
      </c>
      <c r="D69">
        <f>IFERROR(LEFT(LEFT(D68,FIND("+",D68&amp;"+")-1),FIND("t",LEFT(D68,FIND("+",D68&amp;"+")-1))-1)*MID(LEFT(D68,FIND("+",D68&amp;"+")-1),FIND("t",LEFT(D68,FIND("+",D68&amp;"+")-1))+1,2)^2*PI()/400,0)+IFERROR(LEFT(MID(D68,FIND("+",D68&amp;"+")+1,99),FIND("t",MID(D68,FIND("+",D68&amp;"+")+1,99))-1)*MID(MID(D68,FIND("+",D68&amp;"+")+1,99),FIND("t",MID(D68,FIND("+",D68&amp;"+")+1,99))+1,2)^2*PI()/400,0)</f>
        <v/>
      </c>
      <c r="E69">
        <f>IFERROR(LEFT(LEFT(E68,FIND("+",E68&amp;"+")-1),FIND("t",LEFT(E68,FIND("+",E68&amp;"+")-1))-1)*MID(LEFT(E68,FIND("+",E68&amp;"+")-1),FIND("t",LEFT(E68,FIND("+",E68&amp;"+")-1))+1,2)^2*PI()/400,0)+IFERROR(LEFT(MID(E68,FIND("+",E68&amp;"+")+1,99),FIND("t",MID(E68,FIND("+",E68&amp;"+")+1,99))-1)*MID(MID(E68,FIND("+",E68&amp;"+")+1,99),FIND("t",MID(E68,FIND("+",E68&amp;"+")+1,99))+1,2)^2*PI()/400,0)</f>
        <v/>
      </c>
      <c r="F69">
        <f>IFERROR(LEFT(LEFT(F68,FIND("+",F68&amp;"+")-1),FIND("t",LEFT(F68,FIND("+",F68&amp;"+")-1))-1)*MID(LEFT(F68,FIND("+",F68&amp;"+")-1),FIND("t",LEFT(F68,FIND("+",F68&amp;"+")-1))+1,2)^2*PI()/400,0)+IFERROR(LEFT(MID(F68,FIND("+",F68&amp;"+")+1,99),FIND("t",MID(F68,FIND("+",F68&amp;"+")+1,99))-1)*MID(MID(F68,FIND("+",F68&amp;"+")+1,99),FIND("t",MID(F68,FIND("+",F68&amp;"+")+1,99))+1,2)^2*PI()/400,0)</f>
        <v/>
      </c>
      <c r="G69">
        <f>IFERROR(LEFT(LEFT(G68,FIND("+",G68&amp;"+")-1),FIND("t",LEFT(G68,FIND("+",G68&amp;"+")-1))-1)*MID(LEFT(G68,FIND("+",G68&amp;"+")-1),FIND("t",LEFT(G68,FIND("+",G68&amp;"+")-1))+1,2)^2*PI()/400,0)+IFERROR(LEFT(MID(G68,FIND("+",G68&amp;"+")+1,99),FIND("t",MID(G68,FIND("+",G68&amp;"+")+1,99))-1)*MID(MID(G68,FIND("+",G68&amp;"+")+1,99),FIND("t",MID(G68,FIND("+",G68&amp;"+")+1,99))+1,2)^2*PI()/400,0)</f>
        <v/>
      </c>
      <c r="H69">
        <f>IFERROR(LEFT(LEFT(H68,FIND("+",H68&amp;"+")-1),FIND("t",LEFT(H68,FIND("+",H68&amp;"+")-1))-1)*MID(LEFT(H68,FIND("+",H68&amp;"+")-1),FIND("t",LEFT(H68,FIND("+",H68&amp;"+")-1))+1,2)^2*PI()/400,0)+IFERROR(LEFT(MID(H68,FIND("+",H68&amp;"+")+1,99),FIND("t",MID(H68,FIND("+",H68&amp;"+")+1,99))-1)*MID(MID(H68,FIND("+",H68&amp;"+")+1,99),FIND("t",MID(H68,FIND("+",H68&amp;"+")+1,99))+1,2)^2*PI()/400,0)</f>
        <v/>
      </c>
      <c r="I69">
        <f>IFERROR(LEFT(LEFT(I68,FIND("+",I68&amp;"+")-1),FIND("t",LEFT(I68,FIND("+",I68&amp;"+")-1))-1)*MID(LEFT(I68,FIND("+",I68&amp;"+")-1),FIND("t",LEFT(I68,FIND("+",I68&amp;"+")-1))+1,2)^2*PI()/400,0)+IFERROR(LEFT(MID(I68,FIND("+",I68&amp;"+")+1,99),FIND("t",MID(I68,FIND("+",I68&amp;"+")+1,99))-1)*MID(MID(I68,FIND("+",I68&amp;"+")+1,99),FIND("t",MID(I68,FIND("+",I68&amp;"+")+1,99))+1,2)^2*PI()/400,0)</f>
        <v/>
      </c>
      <c r="J69">
        <f>IFERROR(LEFT(LEFT(J68,FIND("+",J68&amp;"+")-1),FIND("t",LEFT(J68,FIND("+",J68&amp;"+")-1))-1)*MID(LEFT(J68,FIND("+",J68&amp;"+")-1),FIND("t",LEFT(J68,FIND("+",J68&amp;"+")-1))+1,2)^2*PI()/400,0)+IFERROR(LEFT(MID(J68,FIND("+",J68&amp;"+")+1,99),FIND("t",MID(J68,FIND("+",J68&amp;"+")+1,99))-1)*MID(MID(J68,FIND("+",J68&amp;"+")+1,99),FIND("t",MID(J68,FIND("+",J68&amp;"+")+1,99))+1,2)^2*PI()/400,0)</f>
        <v/>
      </c>
      <c r="K69">
        <f>IFERROR(LEFT(LEFT(K68,FIND("+",K68&amp;"+")-1),FIND("t",LEFT(K68,FIND("+",K68&amp;"+")-1))-1)*MID(LEFT(K68,FIND("+",K68&amp;"+")-1),FIND("t",LEFT(K68,FIND("+",K68&amp;"+")-1))+1,2)^2*PI()/400,0)+IFERROR(LEFT(MID(K68,FIND("+",K68&amp;"+")+1,99),FIND("t",MID(K68,FIND("+",K68&amp;"+")+1,99))-1)*MID(MID(K68,FIND("+",K68&amp;"+")+1,99),FIND("t",MID(K68,FIND("+",K68&amp;"+")+1,99))+1,2)^2*PI()/400,0)</f>
        <v/>
      </c>
      <c r="L69">
        <f>IFERROR(LEFT(LEFT(L68,FIND("+",L68&amp;"+")-1),FIND("t",LEFT(L68,FIND("+",L68&amp;"+")-1))-1)*MID(LEFT(L68,FIND("+",L68&amp;"+")-1),FIND("t",LEFT(L68,FIND("+",L68&amp;"+")-1))+1,2)^2*PI()/400,0)+IFERROR(LEFT(MID(L68,FIND("+",L68&amp;"+")+1,99),FIND("t",MID(L68,FIND("+",L68&amp;"+")+1,99))-1)*MID(MID(L68,FIND("+",L68&amp;"+")+1,99),FIND("t",MID(L68,FIND("+",L68&amp;"+")+1,99))+1,2)^2*PI()/400,0)</f>
        <v/>
      </c>
      <c r="M69">
        <f>IFERROR(LEFT(LEFT(M68,FIND("+",M68&amp;"+")-1),FIND("t",LEFT(M68,FIND("+",M68&amp;"+")-1))-1)*MID(LEFT(M68,FIND("+",M68&amp;"+")-1),FIND("t",LEFT(M68,FIND("+",M68&amp;"+")-1))+1,2)^2*PI()/400,0)+IFERROR(LEFT(MID(M68,FIND("+",M68&amp;"+")+1,99),FIND("t",MID(M68,FIND("+",M68&amp;"+")+1,99))-1)*MID(MID(M68,FIND("+",M68&amp;"+")+1,99),FIND("t",MID(M68,FIND("+",M68&amp;"+")+1,99))+1,2)^2*PI()/400,0)</f>
        <v/>
      </c>
      <c r="N69">
        <f>IFERROR(LEFT(LEFT(N68,FIND("+",N68&amp;"+")-1),FIND("t",LEFT(N68,FIND("+",N68&amp;"+")-1))-1)*MID(LEFT(N68,FIND("+",N68&amp;"+")-1),FIND("t",LEFT(N68,FIND("+",N68&amp;"+")-1))+1,2)^2*PI()/400,0)+IFERROR(LEFT(MID(N68,FIND("+",N68&amp;"+")+1,99),FIND("t",MID(N68,FIND("+",N68&amp;"+")+1,99))-1)*MID(MID(N68,FIND("+",N68&amp;"+")+1,99),FIND("t",MID(N68,FIND("+",N68&amp;"+")+1,99))+1,2)^2*PI()/400,0)</f>
        <v/>
      </c>
      <c r="O69">
        <f>IFERROR(LEFT(LEFT(O68,FIND("+",O68&amp;"+")-1),FIND("t",LEFT(O68,FIND("+",O68&amp;"+")-1))-1)*MID(LEFT(O68,FIND("+",O68&amp;"+")-1),FIND("t",LEFT(O68,FIND("+",O68&amp;"+")-1))+1,2)^2*PI()/400,0)+IFERROR(LEFT(MID(O68,FIND("+",O68&amp;"+")+1,99),FIND("t",MID(O68,FIND("+",O68&amp;"+")+1,99))-1)*MID(MID(O68,FIND("+",O68&amp;"+")+1,99),FIND("t",MID(O68,FIND("+",O68&amp;"+")+1,99))+1,2)^2*PI()/400,0)</f>
        <v/>
      </c>
      <c r="P69">
        <f>IFERROR(LEFT(LEFT(P68,FIND("+",P68&amp;"+")-1),FIND("t",LEFT(P68,FIND("+",P68&amp;"+")-1))-1)*MID(LEFT(P68,FIND("+",P68&amp;"+")-1),FIND("t",LEFT(P68,FIND("+",P68&amp;"+")-1))+1,2)^2*PI()/400,0)+IFERROR(LEFT(MID(P68,FIND("+",P68&amp;"+")+1,99),FIND("t",MID(P68,FIND("+",P68&amp;"+")+1,99))-1)*MID(MID(P68,FIND("+",P68&amp;"+")+1,99),FIND("t",MID(P68,FIND("+",P68&amp;"+")+1,99))+1,2)^2*PI()/400,0)</f>
        <v/>
      </c>
      <c r="Q69">
        <f>IFERROR(LEFT(LEFT(Q68,FIND("+",Q68&amp;"+")-1),FIND("t",LEFT(Q68,FIND("+",Q68&amp;"+")-1))-1)*MID(LEFT(Q68,FIND("+",Q68&amp;"+")-1),FIND("t",LEFT(Q68,FIND("+",Q68&amp;"+")-1))+1,2)^2*PI()/400,0)+IFERROR(LEFT(MID(Q68,FIND("+",Q68&amp;"+")+1,99),FIND("t",MID(Q68,FIND("+",Q68&amp;"+")+1,99))-1)*MID(MID(Q68,FIND("+",Q68&amp;"+")+1,99),FIND("t",MID(Q68,FIND("+",Q68&amp;"+")+1,99))+1,2)^2*PI()/400,0)</f>
        <v/>
      </c>
      <c r="R69">
        <f>IFERROR(LEFT(LEFT(R68,FIND("+",R68&amp;"+")-1),FIND("t",LEFT(R68,FIND("+",R68&amp;"+")-1))-1)*MID(LEFT(R68,FIND("+",R68&amp;"+")-1),FIND("t",LEFT(R68,FIND("+",R68&amp;"+")-1))+1,2)^2*PI()/400,0)+IFERROR(LEFT(MID(R68,FIND("+",R68&amp;"+")+1,99),FIND("t",MID(R68,FIND("+",R68&amp;"+")+1,99))-1)*MID(MID(R68,FIND("+",R68&amp;"+")+1,99),FIND("t",MID(R68,FIND("+",R68&amp;"+")+1,99))+1,2)^2*PI()/400,0)</f>
        <v/>
      </c>
      <c r="S69">
        <f>IFERROR(LEFT(LEFT(S68,FIND("+",S68&amp;"+")-1),FIND("t",LEFT(S68,FIND("+",S68&amp;"+")-1))-1)*MID(LEFT(S68,FIND("+",S68&amp;"+")-1),FIND("t",LEFT(S68,FIND("+",S68&amp;"+")-1))+1,2)^2*PI()/400,0)+IFERROR(LEFT(MID(S68,FIND("+",S68&amp;"+")+1,99),FIND("t",MID(S68,FIND("+",S68&amp;"+")+1,99))-1)*MID(MID(S68,FIND("+",S68&amp;"+")+1,99),FIND("t",MID(S68,FIND("+",S68&amp;"+")+1,99))+1,2)^2*PI()/400,0)</f>
        <v/>
      </c>
      <c r="T69">
        <f>IFERROR(LEFT(LEFT(T68,FIND("+",T68&amp;"+")-1),FIND("t",LEFT(T68,FIND("+",T68&amp;"+")-1))-1)*MID(LEFT(T68,FIND("+",T68&amp;"+")-1),FIND("t",LEFT(T68,FIND("+",T68&amp;"+")-1))+1,2)^2*PI()/400,0)+IFERROR(LEFT(MID(T68,FIND("+",T68&amp;"+")+1,99),FIND("t",MID(T68,FIND("+",T68&amp;"+")+1,99))-1)*MID(MID(T68,FIND("+",T68&amp;"+")+1,99),FIND("t",MID(T68,FIND("+",T68&amp;"+")+1,99))+1,2)^2*PI()/400,0)</f>
        <v/>
      </c>
      <c r="U69">
        <f>IFERROR(LEFT(LEFT(U68,FIND("+",U68&amp;"+")-1),FIND("t",LEFT(U68,FIND("+",U68&amp;"+")-1))-1)*MID(LEFT(U68,FIND("+",U68&amp;"+")-1),FIND("t",LEFT(U68,FIND("+",U68&amp;"+")-1))+1,2)^2*PI()/400,0)+IFERROR(LEFT(MID(U68,FIND("+",U68&amp;"+")+1,99),FIND("t",MID(U68,FIND("+",U68&amp;"+")+1,99))-1)*MID(MID(U68,FIND("+",U68&amp;"+")+1,99),FIND("t",MID(U68,FIND("+",U68&amp;"+")+1,99))+1,2)^2*PI()/400,0)</f>
        <v/>
      </c>
      <c r="V69">
        <f>IFERROR(LEFT(LEFT(V68,FIND("+",V68&amp;"+")-1),FIND("t",LEFT(V68,FIND("+",V68&amp;"+")-1))-1)*MID(LEFT(V68,FIND("+",V68&amp;"+")-1),FIND("t",LEFT(V68,FIND("+",V68&amp;"+")-1))+1,2)^2*PI()/400,0)+IFERROR(LEFT(MID(V68,FIND("+",V68&amp;"+")+1,99),FIND("t",MID(V68,FIND("+",V68&amp;"+")+1,99))-1)*MID(MID(V68,FIND("+",V68&amp;"+")+1,99),FIND("t",MID(V68,FIND("+",V68&amp;"+")+1,99))+1,2)^2*PI()/400,0)</f>
        <v/>
      </c>
      <c r="W69">
        <f>IFERROR(LEFT(LEFT(W68,FIND("+",W68&amp;"+")-1),FIND("t",LEFT(W68,FIND("+",W68&amp;"+")-1))-1)*MID(LEFT(W68,FIND("+",W68&amp;"+")-1),FIND("t",LEFT(W68,FIND("+",W68&amp;"+")-1))+1,2)^2*PI()/400,0)+IFERROR(LEFT(MID(W68,FIND("+",W68&amp;"+")+1,99),FIND("t",MID(W68,FIND("+",W68&amp;"+")+1,99))-1)*MID(MID(W68,FIND("+",W68&amp;"+")+1,99),FIND("t",MID(W68,FIND("+",W68&amp;"+")+1,99))+1,2)^2*PI()/400,0)</f>
        <v/>
      </c>
      <c r="X69">
        <f>IFERROR(LEFT(LEFT(X68,FIND("+",X68&amp;"+")-1),FIND("t",LEFT(X68,FIND("+",X68&amp;"+")-1))-1)*MID(LEFT(X68,FIND("+",X68&amp;"+")-1),FIND("t",LEFT(X68,FIND("+",X68&amp;"+")-1))+1,2)^2*PI()/400,0)+IFERROR(LEFT(MID(X68,FIND("+",X68&amp;"+")+1,99),FIND("t",MID(X68,FIND("+",X68&amp;"+")+1,99))-1)*MID(MID(X68,FIND("+",X68&amp;"+")+1,99),FIND("t",MID(X68,FIND("+",X68&amp;"+")+1,99))+1,2)^2*PI()/400,0)</f>
        <v/>
      </c>
      <c r="Y69">
        <f>IFERROR(LEFT(LEFT(Y68,FIND("+",Y68&amp;"+")-1),FIND("t",LEFT(Y68,FIND("+",Y68&amp;"+")-1))-1)*MID(LEFT(Y68,FIND("+",Y68&amp;"+")-1),FIND("t",LEFT(Y68,FIND("+",Y68&amp;"+")-1))+1,2)^2*PI()/400,0)+IFERROR(LEFT(MID(Y68,FIND("+",Y68&amp;"+")+1,99),FIND("t",MID(Y68,FIND("+",Y68&amp;"+")+1,99))-1)*MID(MID(Y68,FIND("+",Y68&amp;"+")+1,99),FIND("t",MID(Y68,FIND("+",Y68&amp;"+")+1,99))+1,2)^2*PI()/400,0)</f>
        <v/>
      </c>
      <c r="Z69">
        <f>IFERROR(LEFT(LEFT(Z68,FIND("+",Z68&amp;"+")-1),FIND("t",LEFT(Z68,FIND("+",Z68&amp;"+")-1))-1)*MID(LEFT(Z68,FIND("+",Z68&amp;"+")-1),FIND("t",LEFT(Z68,FIND("+",Z68&amp;"+")-1))+1,2)^2*PI()/400,0)+IFERROR(LEFT(MID(Z68,FIND("+",Z68&amp;"+")+1,99),FIND("t",MID(Z68,FIND("+",Z68&amp;"+")+1,99))-1)*MID(MID(Z68,FIND("+",Z68&amp;"+")+1,99),FIND("t",MID(Z68,FIND("+",Z68&amp;"+")+1,99))+1,2)^2*PI()/400,0)</f>
        <v/>
      </c>
      <c r="AA69">
        <f>IFERROR(LEFT(LEFT(AA68,FIND("+",AA68&amp;"+")-1),FIND("t",LEFT(AA68,FIND("+",AA68&amp;"+")-1))-1)*MID(LEFT(AA68,FIND("+",AA68&amp;"+")-1),FIND("t",LEFT(AA68,FIND("+",AA68&amp;"+")-1))+1,2)^2*PI()/400,0)+IFERROR(LEFT(MID(AA68,FIND("+",AA68&amp;"+")+1,99),FIND("t",MID(AA68,FIND("+",AA68&amp;"+")+1,99))-1)*MID(MID(AA68,FIND("+",AA68&amp;"+")+1,99),FIND("t",MID(AA68,FIND("+",AA68&amp;"+")+1,99))+1,2)^2*PI()/400,0)</f>
        <v/>
      </c>
      <c r="AB69">
        <f>IFERROR(LEFT(LEFT(AB68,FIND("+",AB68&amp;"+")-1),FIND("t",LEFT(AB68,FIND("+",AB68&amp;"+")-1))-1)*MID(LEFT(AB68,FIND("+",AB68&amp;"+")-1),FIND("t",LEFT(AB68,FIND("+",AB68&amp;"+")-1))+1,2)^2*PI()/400,0)+IFERROR(LEFT(MID(AB68,FIND("+",AB68&amp;"+")+1,99),FIND("t",MID(AB68,FIND("+",AB68&amp;"+")+1,99))-1)*MID(MID(AB68,FIND("+",AB68&amp;"+")+1,99),FIND("t",MID(AB68,FIND("+",AB68&amp;"+")+1,99))+1,2)^2*PI()/400,0)</f>
        <v/>
      </c>
      <c r="AC69">
        <f>IFERROR(LEFT(LEFT(AC68,FIND("+",AC68&amp;"+")-1),FIND("t",LEFT(AC68,FIND("+",AC68&amp;"+")-1))-1)*MID(LEFT(AC68,FIND("+",AC68&amp;"+")-1),FIND("t",LEFT(AC68,FIND("+",AC68&amp;"+")-1))+1,2)^2*PI()/400,0)+IFERROR(LEFT(MID(AC68,FIND("+",AC68&amp;"+")+1,99),FIND("t",MID(AC68,FIND("+",AC68&amp;"+")+1,99))-1)*MID(MID(AC68,FIND("+",AC68&amp;"+")+1,99),FIND("t",MID(AC68,FIND("+",AC68&amp;"+")+1,99))+1,2)^2*PI()/400,0)</f>
        <v/>
      </c>
      <c r="AD69">
        <f>IFERROR(LEFT(LEFT(AD68,FIND("+",AD68&amp;"+")-1),FIND("t",LEFT(AD68,FIND("+",AD68&amp;"+")-1))-1)*MID(LEFT(AD68,FIND("+",AD68&amp;"+")-1),FIND("t",LEFT(AD68,FIND("+",AD68&amp;"+")-1))+1,2)^2*PI()/400,0)+IFERROR(LEFT(MID(AD68,FIND("+",AD68&amp;"+")+1,99),FIND("t",MID(AD68,FIND("+",AD68&amp;"+")+1,99))-1)*MID(MID(AD68,FIND("+",AD68&amp;"+")+1,99),FIND("t",MID(AD68,FIND("+",AD68&amp;"+")+1,99))+1,2)^2*PI()/400,0)</f>
        <v/>
      </c>
      <c r="AE69">
        <f>IFERROR(LEFT(LEFT(AE68,FIND("+",AE68&amp;"+")-1),FIND("t",LEFT(AE68,FIND("+",AE68&amp;"+")-1))-1)*MID(LEFT(AE68,FIND("+",AE68&amp;"+")-1),FIND("t",LEFT(AE68,FIND("+",AE68&amp;"+")-1))+1,2)^2*PI()/400,0)+IFERROR(LEFT(MID(AE68,FIND("+",AE68&amp;"+")+1,99),FIND("t",MID(AE68,FIND("+",AE68&amp;"+")+1,99))-1)*MID(MID(AE68,FIND("+",AE68&amp;"+")+1,99),FIND("t",MID(AE68,FIND("+",AE68&amp;"+")+1,99))+1,2)^2*PI()/400,0)</f>
        <v/>
      </c>
      <c r="AF69">
        <f>IFERROR(LEFT(LEFT(AF68,FIND("+",AF68&amp;"+")-1),FIND("t",LEFT(AF68,FIND("+",AF68&amp;"+")-1))-1)*MID(LEFT(AF68,FIND("+",AF68&amp;"+")-1),FIND("t",LEFT(AF68,FIND("+",AF68&amp;"+")-1))+1,2)^2*PI()/400,0)+IFERROR(LEFT(MID(AF68,FIND("+",AF68&amp;"+")+1,99),FIND("t",MID(AF68,FIND("+",AF68&amp;"+")+1,99))-1)*MID(MID(AF68,FIND("+",AF68&amp;"+")+1,99),FIND("t",MID(AF68,FIND("+",AF68&amp;"+")+1,99))+1,2)^2*PI()/400,0)</f>
        <v/>
      </c>
      <c r="AG69">
        <f>IFERROR(LEFT(LEFT(AG68,FIND("+",AG68&amp;"+")-1),FIND("t",LEFT(AG68,FIND("+",AG68&amp;"+")-1))-1)*MID(LEFT(AG68,FIND("+",AG68&amp;"+")-1),FIND("t",LEFT(AG68,FIND("+",AG68&amp;"+")-1))+1,2)^2*PI()/400,0)+IFERROR(LEFT(MID(AG68,FIND("+",AG68&amp;"+")+1,99),FIND("t",MID(AG68,FIND("+",AG68&amp;"+")+1,99))-1)*MID(MID(AG68,FIND("+",AG68&amp;"+")+1,99),FIND("t",MID(AG68,FIND("+",AG68&amp;"+")+1,99))+1,2)^2*PI()/400,0)</f>
        <v/>
      </c>
    </row>
    <row r="70" hidden="1" outlineLevel="1">
      <c r="A70" s="60" t="inlineStr">
        <is>
          <t>(phụ trợ) N_T0R</t>
        </is>
      </c>
      <c r="C70">
        <f>IFERROR(IF(ISNUMBER(MID(LOOKUP(2,1/ISNUMBER(FIND(";",$D$23:D$23)),$D$23:D$23),FIND(";",LOOKUP(2,1/ISNUMBER(FIND(";",$D$23:D$23)),$D$23:D$23))+1,99)*1),LEFT($B$125,FIND("t",$B$125))&amp;MID(LOOKUP(2,1/ISNUMBER(FIND(";",$D$23:D$23)),$D$23:D$23),FIND(";",LOOKUP(2,1/ISNUMBER(FIND(";",$D$23:D$23)),$D$23:D$23))+1,99),SUBSTITUTE(SUBSTITUTE(SUBSTITUTE(SUBSTITUTE(SUBSTITUTE(SUBSTITUTE(LOWER(MID(LOOKUP(2,1/ISNUMBER(FIND(";",$D$23:D$23)),$D$23:D$23),FIND(";",LOOKUP(2,1/ISNUMBER(FIND(";",$D$23:D$23)),$D$23:D$23))+1,99))," ",""),"%%c","t"),"ø","t"),"φ","t"),"f","t"),"d","t")),$B$125)</f>
        <v/>
      </c>
      <c r="D70">
        <f>IFERROR(IF(ISNUMBER(MID(LOOKUP(2,1/ISNUMBER(FIND(";",$D$23:D$23)),$D$23:D$23),FIND(";",LOOKUP(2,1/ISNUMBER(FIND(";",$D$23:D$23)),$D$23:D$23))+1,99)*1),LEFT($B$125,FIND("t",$B$125))&amp;MID(LOOKUP(2,1/ISNUMBER(FIND(";",$D$23:D$23)),$D$23:D$23),FIND(";",LOOKUP(2,1/ISNUMBER(FIND(";",$D$23:D$23)),$D$23:D$23))+1,99),SUBSTITUTE(SUBSTITUTE(SUBSTITUTE(SUBSTITUTE(SUBSTITUTE(SUBSTITUTE(LOWER(MID(LOOKUP(2,1/ISNUMBER(FIND(";",$D$23:D$23)),$D$23:D$23),FIND(";",LOOKUP(2,1/ISNUMBER(FIND(";",$D$23:D$23)),$D$23:D$23))+1,99))," ",""),"%%c","t"),"ø","t"),"φ","t"),"f","t"),"d","t")),$B$125)</f>
        <v/>
      </c>
      <c r="E70">
        <f>IFERROR(IF(ISNUMBER(MID(LOOKUP(2,1/ISNUMBER(FIND(";",$D$23:F$23)),$D$23:F$23),FIND(";",LOOKUP(2,1/ISNUMBER(FIND(";",$D$23:F$23)),$D$23:F$23))+1,99)*1),LEFT($B$125,FIND("t",$B$125))&amp;MID(LOOKUP(2,1/ISNUMBER(FIND(";",$D$23:F$23)),$D$23:F$23),FIND(";",LOOKUP(2,1/ISNUMBER(FIND(";",$D$23:F$23)),$D$23:F$23))+1,99),SUBSTITUTE(SUBSTITUTE(SUBSTITUTE(SUBSTITUTE(SUBSTITUTE(SUBSTITUTE(LOWER(MID(LOOKUP(2,1/ISNUMBER(FIND(";",$D$23:F$23)),$D$23:F$23),FIND(";",LOOKUP(2,1/ISNUMBER(FIND(";",$D$23:F$23)),$D$23:F$23))+1,99))," ",""),"%%c","t"),"ø","t"),"φ","t"),"f","t"),"d","t")),$B$125)</f>
        <v/>
      </c>
      <c r="F70">
        <f>IFERROR(IF(ISNUMBER(MID(LOOKUP(2,1/ISNUMBER(FIND(";",$D$23:F$23)),$D$23:F$23),FIND(";",LOOKUP(2,1/ISNUMBER(FIND(";",$D$23:F$23)),$D$23:F$23))+1,99)*1),LEFT($B$125,FIND("t",$B$125))&amp;MID(LOOKUP(2,1/ISNUMBER(FIND(";",$D$23:F$23)),$D$23:F$23),FIND(";",LOOKUP(2,1/ISNUMBER(FIND(";",$D$23:F$23)),$D$23:F$23))+1,99),SUBSTITUTE(SUBSTITUTE(SUBSTITUTE(SUBSTITUTE(SUBSTITUTE(SUBSTITUTE(LOWER(MID(LOOKUP(2,1/ISNUMBER(FIND(";",$D$23:F$23)),$D$23:F$23),FIND(";",LOOKUP(2,1/ISNUMBER(FIND(";",$D$23:F$23)),$D$23:F$23))+1,99))," ",""),"%%c","t"),"ø","t"),"φ","t"),"f","t"),"d","t")),$B$125)</f>
        <v/>
      </c>
      <c r="G70">
        <f>IFERROR(IF(ISNUMBER(MID(LOOKUP(2,1/ISNUMBER(FIND(";",$D$23:H$23)),$D$23:H$23),FIND(";",LOOKUP(2,1/ISNUMBER(FIND(";",$D$23:H$23)),$D$23:H$23))+1,99)*1),LEFT($B$125,FIND("t",$B$125))&amp;MID(LOOKUP(2,1/ISNUMBER(FIND(";",$D$23:H$23)),$D$23:H$23),FIND(";",LOOKUP(2,1/ISNUMBER(FIND(";",$D$23:H$23)),$D$23:H$23))+1,99),SUBSTITUTE(SUBSTITUTE(SUBSTITUTE(SUBSTITUTE(SUBSTITUTE(SUBSTITUTE(LOWER(MID(LOOKUP(2,1/ISNUMBER(FIND(";",$D$23:H$23)),$D$23:H$23),FIND(";",LOOKUP(2,1/ISNUMBER(FIND(";",$D$23:H$23)),$D$23:H$23))+1,99))," ",""),"%%c","t"),"ø","t"),"φ","t"),"f","t"),"d","t")),$B$125)</f>
        <v/>
      </c>
      <c r="H70">
        <f>IFERROR(IF(ISNUMBER(MID(LOOKUP(2,1/ISNUMBER(FIND(";",$D$23:H$23)),$D$23:H$23),FIND(";",LOOKUP(2,1/ISNUMBER(FIND(";",$D$23:H$23)),$D$23:H$23))+1,99)*1),LEFT($B$125,FIND("t",$B$125))&amp;MID(LOOKUP(2,1/ISNUMBER(FIND(";",$D$23:H$23)),$D$23:H$23),FIND(";",LOOKUP(2,1/ISNUMBER(FIND(";",$D$23:H$23)),$D$23:H$23))+1,99),SUBSTITUTE(SUBSTITUTE(SUBSTITUTE(SUBSTITUTE(SUBSTITUTE(SUBSTITUTE(LOWER(MID(LOOKUP(2,1/ISNUMBER(FIND(";",$D$23:H$23)),$D$23:H$23),FIND(";",LOOKUP(2,1/ISNUMBER(FIND(";",$D$23:H$23)),$D$23:H$23))+1,99))," ",""),"%%c","t"),"ø","t"),"φ","t"),"f","t"),"d","t")),$B$125)</f>
        <v/>
      </c>
      <c r="I70">
        <f>IFERROR(IF(ISNUMBER(MID(LOOKUP(2,1/ISNUMBER(FIND(";",$D$23:J$23)),$D$23:J$23),FIND(";",LOOKUP(2,1/ISNUMBER(FIND(";",$D$23:J$23)),$D$23:J$23))+1,99)*1),LEFT($B$125,FIND("t",$B$125))&amp;MID(LOOKUP(2,1/ISNUMBER(FIND(";",$D$23:J$23)),$D$23:J$23),FIND(";",LOOKUP(2,1/ISNUMBER(FIND(";",$D$23:J$23)),$D$23:J$23))+1,99),SUBSTITUTE(SUBSTITUTE(SUBSTITUTE(SUBSTITUTE(SUBSTITUTE(SUBSTITUTE(LOWER(MID(LOOKUP(2,1/ISNUMBER(FIND(";",$D$23:J$23)),$D$23:J$23),FIND(";",LOOKUP(2,1/ISNUMBER(FIND(";",$D$23:J$23)),$D$23:J$23))+1,99))," ",""),"%%c","t"),"ø","t"),"φ","t"),"f","t"),"d","t")),$B$125)</f>
        <v/>
      </c>
      <c r="J70">
        <f>IFERROR(IF(ISNUMBER(MID(LOOKUP(2,1/ISNUMBER(FIND(";",$D$23:J$23)),$D$23:J$23),FIND(";",LOOKUP(2,1/ISNUMBER(FIND(";",$D$23:J$23)),$D$23:J$23))+1,99)*1),LEFT($B$125,FIND("t",$B$125))&amp;MID(LOOKUP(2,1/ISNUMBER(FIND(";",$D$23:J$23)),$D$23:J$23),FIND(";",LOOKUP(2,1/ISNUMBER(FIND(";",$D$23:J$23)),$D$23:J$23))+1,99),SUBSTITUTE(SUBSTITUTE(SUBSTITUTE(SUBSTITUTE(SUBSTITUTE(SUBSTITUTE(LOWER(MID(LOOKUP(2,1/ISNUMBER(FIND(";",$D$23:J$23)),$D$23:J$23),FIND(";",LOOKUP(2,1/ISNUMBER(FIND(";",$D$23:J$23)),$D$23:J$23))+1,99))," ",""),"%%c","t"),"ø","t"),"φ","t"),"f","t"),"d","t")),$B$125)</f>
        <v/>
      </c>
      <c r="K70">
        <f>IFERROR(IF(ISNUMBER(MID(LOOKUP(2,1/ISNUMBER(FIND(";",$D$23:L$23)),$D$23:L$23),FIND(";",LOOKUP(2,1/ISNUMBER(FIND(";",$D$23:L$23)),$D$23:L$23))+1,99)*1),LEFT($B$125,FIND("t",$B$125))&amp;MID(LOOKUP(2,1/ISNUMBER(FIND(";",$D$23:L$23)),$D$23:L$23),FIND(";",LOOKUP(2,1/ISNUMBER(FIND(";",$D$23:L$23)),$D$23:L$23))+1,99),SUBSTITUTE(SUBSTITUTE(SUBSTITUTE(SUBSTITUTE(SUBSTITUTE(SUBSTITUTE(LOWER(MID(LOOKUP(2,1/ISNUMBER(FIND(";",$D$23:L$23)),$D$23:L$23),FIND(";",LOOKUP(2,1/ISNUMBER(FIND(";",$D$23:L$23)),$D$23:L$23))+1,99))," ",""),"%%c","t"),"ø","t"),"φ","t"),"f","t"),"d","t")),$B$125)</f>
        <v/>
      </c>
      <c r="L70">
        <f>IFERROR(IF(ISNUMBER(MID(LOOKUP(2,1/ISNUMBER(FIND(";",$D$23:L$23)),$D$23:L$23),FIND(";",LOOKUP(2,1/ISNUMBER(FIND(";",$D$23:L$23)),$D$23:L$23))+1,99)*1),LEFT($B$125,FIND("t",$B$125))&amp;MID(LOOKUP(2,1/ISNUMBER(FIND(";",$D$23:L$23)),$D$23:L$23),FIND(";",LOOKUP(2,1/ISNUMBER(FIND(";",$D$23:L$23)),$D$23:L$23))+1,99),SUBSTITUTE(SUBSTITUTE(SUBSTITUTE(SUBSTITUTE(SUBSTITUTE(SUBSTITUTE(LOWER(MID(LOOKUP(2,1/ISNUMBER(FIND(";",$D$23:L$23)),$D$23:L$23),FIND(";",LOOKUP(2,1/ISNUMBER(FIND(";",$D$23:L$23)),$D$23:L$23))+1,99))," ",""),"%%c","t"),"ø","t"),"φ","t"),"f","t"),"d","t")),$B$125)</f>
        <v/>
      </c>
      <c r="M70">
        <f>IFERROR(IF(ISNUMBER(MID(LOOKUP(2,1/ISNUMBER(FIND(";",$D$23:N$23)),$D$23:N$23),FIND(";",LOOKUP(2,1/ISNUMBER(FIND(";",$D$23:N$23)),$D$23:N$23))+1,99)*1),LEFT($B$125,FIND("t",$B$125))&amp;MID(LOOKUP(2,1/ISNUMBER(FIND(";",$D$23:N$23)),$D$23:N$23),FIND(";",LOOKUP(2,1/ISNUMBER(FIND(";",$D$23:N$23)),$D$23:N$23))+1,99),SUBSTITUTE(SUBSTITUTE(SUBSTITUTE(SUBSTITUTE(SUBSTITUTE(SUBSTITUTE(LOWER(MID(LOOKUP(2,1/ISNUMBER(FIND(";",$D$23:N$23)),$D$23:N$23),FIND(";",LOOKUP(2,1/ISNUMBER(FIND(";",$D$23:N$23)),$D$23:N$23))+1,99))," ",""),"%%c","t"),"ø","t"),"φ","t"),"f","t"),"d","t")),$B$125)</f>
        <v/>
      </c>
      <c r="N70">
        <f>IFERROR(IF(ISNUMBER(MID(LOOKUP(2,1/ISNUMBER(FIND(";",$D$23:N$23)),$D$23:N$23),FIND(";",LOOKUP(2,1/ISNUMBER(FIND(";",$D$23:N$23)),$D$23:N$23))+1,99)*1),LEFT($B$125,FIND("t",$B$125))&amp;MID(LOOKUP(2,1/ISNUMBER(FIND(";",$D$23:N$23)),$D$23:N$23),FIND(";",LOOKUP(2,1/ISNUMBER(FIND(";",$D$23:N$23)),$D$23:N$23))+1,99),SUBSTITUTE(SUBSTITUTE(SUBSTITUTE(SUBSTITUTE(SUBSTITUTE(SUBSTITUTE(LOWER(MID(LOOKUP(2,1/ISNUMBER(FIND(";",$D$23:N$23)),$D$23:N$23),FIND(";",LOOKUP(2,1/ISNUMBER(FIND(";",$D$23:N$23)),$D$23:N$23))+1,99))," ",""),"%%c","t"),"ø","t"),"φ","t"),"f","t"),"d","t")),$B$125)</f>
        <v/>
      </c>
      <c r="O70">
        <f>IFERROR(IF(ISNUMBER(MID(LOOKUP(2,1/ISNUMBER(FIND(";",$D$23:P$23)),$D$23:P$23),FIND(";",LOOKUP(2,1/ISNUMBER(FIND(";",$D$23:P$23)),$D$23:P$23))+1,99)*1),LEFT($B$125,FIND("t",$B$125))&amp;MID(LOOKUP(2,1/ISNUMBER(FIND(";",$D$23:P$23)),$D$23:P$23),FIND(";",LOOKUP(2,1/ISNUMBER(FIND(";",$D$23:P$23)),$D$23:P$23))+1,99),SUBSTITUTE(SUBSTITUTE(SUBSTITUTE(SUBSTITUTE(SUBSTITUTE(SUBSTITUTE(LOWER(MID(LOOKUP(2,1/ISNUMBER(FIND(";",$D$23:P$23)),$D$23:P$23),FIND(";",LOOKUP(2,1/ISNUMBER(FIND(";",$D$23:P$23)),$D$23:P$23))+1,99))," ",""),"%%c","t"),"ø","t"),"φ","t"),"f","t"),"d","t")),$B$125)</f>
        <v/>
      </c>
      <c r="P70">
        <f>IFERROR(IF(ISNUMBER(MID(LOOKUP(2,1/ISNUMBER(FIND(";",$D$23:P$23)),$D$23:P$23),FIND(";",LOOKUP(2,1/ISNUMBER(FIND(";",$D$23:P$23)),$D$23:P$23))+1,99)*1),LEFT($B$125,FIND("t",$B$125))&amp;MID(LOOKUP(2,1/ISNUMBER(FIND(";",$D$23:P$23)),$D$23:P$23),FIND(";",LOOKUP(2,1/ISNUMBER(FIND(";",$D$23:P$23)),$D$23:P$23))+1,99),SUBSTITUTE(SUBSTITUTE(SUBSTITUTE(SUBSTITUTE(SUBSTITUTE(SUBSTITUTE(LOWER(MID(LOOKUP(2,1/ISNUMBER(FIND(";",$D$23:P$23)),$D$23:P$23),FIND(";",LOOKUP(2,1/ISNUMBER(FIND(";",$D$23:P$23)),$D$23:P$23))+1,99))," ",""),"%%c","t"),"ø","t"),"φ","t"),"f","t"),"d","t")),$B$125)</f>
        <v/>
      </c>
      <c r="Q70">
        <f>IFERROR(IF(ISNUMBER(MID(LOOKUP(2,1/ISNUMBER(FIND(";",$D$23:R$23)),$D$23:R$23),FIND(";",LOOKUP(2,1/ISNUMBER(FIND(";",$D$23:R$23)),$D$23:R$23))+1,99)*1),LEFT($B$125,FIND("t",$B$125))&amp;MID(LOOKUP(2,1/ISNUMBER(FIND(";",$D$23:R$23)),$D$23:R$23),FIND(";",LOOKUP(2,1/ISNUMBER(FIND(";",$D$23:R$23)),$D$23:R$23))+1,99),SUBSTITUTE(SUBSTITUTE(SUBSTITUTE(SUBSTITUTE(SUBSTITUTE(SUBSTITUTE(LOWER(MID(LOOKUP(2,1/ISNUMBER(FIND(";",$D$23:R$23)),$D$23:R$23),FIND(";",LOOKUP(2,1/ISNUMBER(FIND(";",$D$23:R$23)),$D$23:R$23))+1,99))," ",""),"%%c","t"),"ø","t"),"φ","t"),"f","t"),"d","t")),$B$125)</f>
        <v/>
      </c>
      <c r="R70">
        <f>IFERROR(IF(ISNUMBER(MID(LOOKUP(2,1/ISNUMBER(FIND(";",$D$23:R$23)),$D$23:R$23),FIND(";",LOOKUP(2,1/ISNUMBER(FIND(";",$D$23:R$23)),$D$23:R$23))+1,99)*1),LEFT($B$125,FIND("t",$B$125))&amp;MID(LOOKUP(2,1/ISNUMBER(FIND(";",$D$23:R$23)),$D$23:R$23),FIND(";",LOOKUP(2,1/ISNUMBER(FIND(";",$D$23:R$23)),$D$23:R$23))+1,99),SUBSTITUTE(SUBSTITUTE(SUBSTITUTE(SUBSTITUTE(SUBSTITUTE(SUBSTITUTE(LOWER(MID(LOOKUP(2,1/ISNUMBER(FIND(";",$D$23:R$23)),$D$23:R$23),FIND(";",LOOKUP(2,1/ISNUMBER(FIND(";",$D$23:R$23)),$D$23:R$23))+1,99))," ",""),"%%c","t"),"ø","t"),"φ","t"),"f","t"),"d","t")),$B$125)</f>
        <v/>
      </c>
      <c r="S70">
        <f>IFERROR(IF(ISNUMBER(MID(LOOKUP(2,1/ISNUMBER(FIND(";",$D$23:T$23)),$D$23:T$23),FIND(";",LOOKUP(2,1/ISNUMBER(FIND(";",$D$23:T$23)),$D$23:T$23))+1,99)*1),LEFT($B$125,FIND("t",$B$125))&amp;MID(LOOKUP(2,1/ISNUMBER(FIND(";",$D$23:T$23)),$D$23:T$23),FIND(";",LOOKUP(2,1/ISNUMBER(FIND(";",$D$23:T$23)),$D$23:T$23))+1,99),SUBSTITUTE(SUBSTITUTE(SUBSTITUTE(SUBSTITUTE(SUBSTITUTE(SUBSTITUTE(LOWER(MID(LOOKUP(2,1/ISNUMBER(FIND(";",$D$23:T$23)),$D$23:T$23),FIND(";",LOOKUP(2,1/ISNUMBER(FIND(";",$D$23:T$23)),$D$23:T$23))+1,99))," ",""),"%%c","t"),"ø","t"),"φ","t"),"f","t"),"d","t")),$B$125)</f>
        <v/>
      </c>
      <c r="T70">
        <f>IFERROR(IF(ISNUMBER(MID(LOOKUP(2,1/ISNUMBER(FIND(";",$D$23:T$23)),$D$23:T$23),FIND(";",LOOKUP(2,1/ISNUMBER(FIND(";",$D$23:T$23)),$D$23:T$23))+1,99)*1),LEFT($B$125,FIND("t",$B$125))&amp;MID(LOOKUP(2,1/ISNUMBER(FIND(";",$D$23:T$23)),$D$23:T$23),FIND(";",LOOKUP(2,1/ISNUMBER(FIND(";",$D$23:T$23)),$D$23:T$23))+1,99),SUBSTITUTE(SUBSTITUTE(SUBSTITUTE(SUBSTITUTE(SUBSTITUTE(SUBSTITUTE(LOWER(MID(LOOKUP(2,1/ISNUMBER(FIND(";",$D$23:T$23)),$D$23:T$23),FIND(";",LOOKUP(2,1/ISNUMBER(FIND(";",$D$23:T$23)),$D$23:T$23))+1,99))," ",""),"%%c","t"),"ø","t"),"φ","t"),"f","t"),"d","t")),$B$125)</f>
        <v/>
      </c>
      <c r="U70">
        <f>IFERROR(IF(ISNUMBER(MID(LOOKUP(2,1/ISNUMBER(FIND(";",$D$23:V$23)),$D$23:V$23),FIND(";",LOOKUP(2,1/ISNUMBER(FIND(";",$D$23:V$23)),$D$23:V$23))+1,99)*1),LEFT($B$125,FIND("t",$B$125))&amp;MID(LOOKUP(2,1/ISNUMBER(FIND(";",$D$23:V$23)),$D$23:V$23),FIND(";",LOOKUP(2,1/ISNUMBER(FIND(";",$D$23:V$23)),$D$23:V$23))+1,99),SUBSTITUTE(SUBSTITUTE(SUBSTITUTE(SUBSTITUTE(SUBSTITUTE(SUBSTITUTE(LOWER(MID(LOOKUP(2,1/ISNUMBER(FIND(";",$D$23:V$23)),$D$23:V$23),FIND(";",LOOKUP(2,1/ISNUMBER(FIND(";",$D$23:V$23)),$D$23:V$23))+1,99))," ",""),"%%c","t"),"ø","t"),"φ","t"),"f","t"),"d","t")),$B$125)</f>
        <v/>
      </c>
      <c r="V70">
        <f>IFERROR(IF(ISNUMBER(MID(LOOKUP(2,1/ISNUMBER(FIND(";",$D$23:V$23)),$D$23:V$23),FIND(";",LOOKUP(2,1/ISNUMBER(FIND(";",$D$23:V$23)),$D$23:V$23))+1,99)*1),LEFT($B$125,FIND("t",$B$125))&amp;MID(LOOKUP(2,1/ISNUMBER(FIND(";",$D$23:V$23)),$D$23:V$23),FIND(";",LOOKUP(2,1/ISNUMBER(FIND(";",$D$23:V$23)),$D$23:V$23))+1,99),SUBSTITUTE(SUBSTITUTE(SUBSTITUTE(SUBSTITUTE(SUBSTITUTE(SUBSTITUTE(LOWER(MID(LOOKUP(2,1/ISNUMBER(FIND(";",$D$23:V$23)),$D$23:V$23),FIND(";",LOOKUP(2,1/ISNUMBER(FIND(";",$D$23:V$23)),$D$23:V$23))+1,99))," ",""),"%%c","t"),"ø","t"),"φ","t"),"f","t"),"d","t")),$B$125)</f>
        <v/>
      </c>
      <c r="W70">
        <f>IFERROR(IF(ISNUMBER(MID(LOOKUP(2,1/ISNUMBER(FIND(";",$D$23:X$23)),$D$23:X$23),FIND(";",LOOKUP(2,1/ISNUMBER(FIND(";",$D$23:X$23)),$D$23:X$23))+1,99)*1),LEFT($B$125,FIND("t",$B$125))&amp;MID(LOOKUP(2,1/ISNUMBER(FIND(";",$D$23:X$23)),$D$23:X$23),FIND(";",LOOKUP(2,1/ISNUMBER(FIND(";",$D$23:X$23)),$D$23:X$23))+1,99),SUBSTITUTE(SUBSTITUTE(SUBSTITUTE(SUBSTITUTE(SUBSTITUTE(SUBSTITUTE(LOWER(MID(LOOKUP(2,1/ISNUMBER(FIND(";",$D$23:X$23)),$D$23:X$23),FIND(";",LOOKUP(2,1/ISNUMBER(FIND(";",$D$23:X$23)),$D$23:X$23))+1,99))," ",""),"%%c","t"),"ø","t"),"φ","t"),"f","t"),"d","t")),$B$125)</f>
        <v/>
      </c>
      <c r="X70">
        <f>IFERROR(IF(ISNUMBER(MID(LOOKUP(2,1/ISNUMBER(FIND(";",$D$23:X$23)),$D$23:X$23),FIND(";",LOOKUP(2,1/ISNUMBER(FIND(";",$D$23:X$23)),$D$23:X$23))+1,99)*1),LEFT($B$125,FIND("t",$B$125))&amp;MID(LOOKUP(2,1/ISNUMBER(FIND(";",$D$23:X$23)),$D$23:X$23),FIND(";",LOOKUP(2,1/ISNUMBER(FIND(";",$D$23:X$23)),$D$23:X$23))+1,99),SUBSTITUTE(SUBSTITUTE(SUBSTITUTE(SUBSTITUTE(SUBSTITUTE(SUBSTITUTE(LOWER(MID(LOOKUP(2,1/ISNUMBER(FIND(";",$D$23:X$23)),$D$23:X$23),FIND(";",LOOKUP(2,1/ISNUMBER(FIND(";",$D$23:X$23)),$D$23:X$23))+1,99))," ",""),"%%c","t"),"ø","t"),"φ","t"),"f","t"),"d","t")),$B$125)</f>
        <v/>
      </c>
      <c r="Y70">
        <f>IFERROR(IF(ISNUMBER(MID(LOOKUP(2,1/ISNUMBER(FIND(";",$D$23:Z$23)),$D$23:Z$23),FIND(";",LOOKUP(2,1/ISNUMBER(FIND(";",$D$23:Z$23)),$D$23:Z$23))+1,99)*1),LEFT($B$125,FIND("t",$B$125))&amp;MID(LOOKUP(2,1/ISNUMBER(FIND(";",$D$23:Z$23)),$D$23:Z$23),FIND(";",LOOKUP(2,1/ISNUMBER(FIND(";",$D$23:Z$23)),$D$23:Z$23))+1,99),SUBSTITUTE(SUBSTITUTE(SUBSTITUTE(SUBSTITUTE(SUBSTITUTE(SUBSTITUTE(LOWER(MID(LOOKUP(2,1/ISNUMBER(FIND(";",$D$23:Z$23)),$D$23:Z$23),FIND(";",LOOKUP(2,1/ISNUMBER(FIND(";",$D$23:Z$23)),$D$23:Z$23))+1,99))," ",""),"%%c","t"),"ø","t"),"φ","t"),"f","t"),"d","t")),$B$125)</f>
        <v/>
      </c>
      <c r="Z70">
        <f>IFERROR(IF(ISNUMBER(MID(LOOKUP(2,1/ISNUMBER(FIND(";",$D$23:Z$23)),$D$23:Z$23),FIND(";",LOOKUP(2,1/ISNUMBER(FIND(";",$D$23:Z$23)),$D$23:Z$23))+1,99)*1),LEFT($B$125,FIND("t",$B$125))&amp;MID(LOOKUP(2,1/ISNUMBER(FIND(";",$D$23:Z$23)),$D$23:Z$23),FIND(";",LOOKUP(2,1/ISNUMBER(FIND(";",$D$23:Z$23)),$D$23:Z$23))+1,99),SUBSTITUTE(SUBSTITUTE(SUBSTITUTE(SUBSTITUTE(SUBSTITUTE(SUBSTITUTE(LOWER(MID(LOOKUP(2,1/ISNUMBER(FIND(";",$D$23:Z$23)),$D$23:Z$23),FIND(";",LOOKUP(2,1/ISNUMBER(FIND(";",$D$23:Z$23)),$D$23:Z$23))+1,99))," ",""),"%%c","t"),"ø","t"),"φ","t"),"f","t"),"d","t")),$B$125)</f>
        <v/>
      </c>
      <c r="AA70">
        <f>IFERROR(IF(ISNUMBER(MID(LOOKUP(2,1/ISNUMBER(FIND(";",$D$23:AB$23)),$D$23:AB$23),FIND(";",LOOKUP(2,1/ISNUMBER(FIND(";",$D$23:AB$23)),$D$23:AB$23))+1,99)*1),LEFT($B$125,FIND("t",$B$125))&amp;MID(LOOKUP(2,1/ISNUMBER(FIND(";",$D$23:AB$23)),$D$23:AB$23),FIND(";",LOOKUP(2,1/ISNUMBER(FIND(";",$D$23:AB$23)),$D$23:AB$23))+1,99),SUBSTITUTE(SUBSTITUTE(SUBSTITUTE(SUBSTITUTE(SUBSTITUTE(SUBSTITUTE(LOWER(MID(LOOKUP(2,1/ISNUMBER(FIND(";",$D$23:AB$23)),$D$23:AB$23),FIND(";",LOOKUP(2,1/ISNUMBER(FIND(";",$D$23:AB$23)),$D$23:AB$23))+1,99))," ",""),"%%c","t"),"ø","t"),"φ","t"),"f","t"),"d","t")),$B$125)</f>
        <v/>
      </c>
      <c r="AB70">
        <f>IFERROR(IF(ISNUMBER(MID(LOOKUP(2,1/ISNUMBER(FIND(";",$D$23:AB$23)),$D$23:AB$23),FIND(";",LOOKUP(2,1/ISNUMBER(FIND(";",$D$23:AB$23)),$D$23:AB$23))+1,99)*1),LEFT($B$125,FIND("t",$B$125))&amp;MID(LOOKUP(2,1/ISNUMBER(FIND(";",$D$23:AB$23)),$D$23:AB$23),FIND(";",LOOKUP(2,1/ISNUMBER(FIND(";",$D$23:AB$23)),$D$23:AB$23))+1,99),SUBSTITUTE(SUBSTITUTE(SUBSTITUTE(SUBSTITUTE(SUBSTITUTE(SUBSTITUTE(LOWER(MID(LOOKUP(2,1/ISNUMBER(FIND(";",$D$23:AB$23)),$D$23:AB$23),FIND(";",LOOKUP(2,1/ISNUMBER(FIND(";",$D$23:AB$23)),$D$23:AB$23))+1,99))," ",""),"%%c","t"),"ø","t"),"φ","t"),"f","t"),"d","t")),$B$125)</f>
        <v/>
      </c>
      <c r="AC70">
        <f>IFERROR(IF(ISNUMBER(MID(LOOKUP(2,1/ISNUMBER(FIND(";",$D$23:AD$23)),$D$23:AD$23),FIND(";",LOOKUP(2,1/ISNUMBER(FIND(";",$D$23:AD$23)),$D$23:AD$23))+1,99)*1),LEFT($B$125,FIND("t",$B$125))&amp;MID(LOOKUP(2,1/ISNUMBER(FIND(";",$D$23:AD$23)),$D$23:AD$23),FIND(";",LOOKUP(2,1/ISNUMBER(FIND(";",$D$23:AD$23)),$D$23:AD$23))+1,99),SUBSTITUTE(SUBSTITUTE(SUBSTITUTE(SUBSTITUTE(SUBSTITUTE(SUBSTITUTE(LOWER(MID(LOOKUP(2,1/ISNUMBER(FIND(";",$D$23:AD$23)),$D$23:AD$23),FIND(";",LOOKUP(2,1/ISNUMBER(FIND(";",$D$23:AD$23)),$D$23:AD$23))+1,99))," ",""),"%%c","t"),"ø","t"),"φ","t"),"f","t"),"d","t")),$B$125)</f>
        <v/>
      </c>
      <c r="AD70">
        <f>IFERROR(IF(ISNUMBER(MID(LOOKUP(2,1/ISNUMBER(FIND(";",$D$23:AD$23)),$D$23:AD$23),FIND(";",LOOKUP(2,1/ISNUMBER(FIND(";",$D$23:AD$23)),$D$23:AD$23))+1,99)*1),LEFT($B$125,FIND("t",$B$125))&amp;MID(LOOKUP(2,1/ISNUMBER(FIND(";",$D$23:AD$23)),$D$23:AD$23),FIND(";",LOOKUP(2,1/ISNUMBER(FIND(";",$D$23:AD$23)),$D$23:AD$23))+1,99),SUBSTITUTE(SUBSTITUTE(SUBSTITUTE(SUBSTITUTE(SUBSTITUTE(SUBSTITUTE(LOWER(MID(LOOKUP(2,1/ISNUMBER(FIND(";",$D$23:AD$23)),$D$23:AD$23),FIND(";",LOOKUP(2,1/ISNUMBER(FIND(";",$D$23:AD$23)),$D$23:AD$23))+1,99))," ",""),"%%c","t"),"ø","t"),"φ","t"),"f","t"),"d","t")),$B$125)</f>
        <v/>
      </c>
      <c r="AE70">
        <f>IFERROR(IF(ISNUMBER(MID(LOOKUP(2,1/ISNUMBER(FIND(";",$D$23:AF$23)),$D$23:AF$23),FIND(";",LOOKUP(2,1/ISNUMBER(FIND(";",$D$23:AF$23)),$D$23:AF$23))+1,99)*1),LEFT($B$125,FIND("t",$B$125))&amp;MID(LOOKUP(2,1/ISNUMBER(FIND(";",$D$23:AF$23)),$D$23:AF$23),FIND(";",LOOKUP(2,1/ISNUMBER(FIND(";",$D$23:AF$23)),$D$23:AF$23))+1,99),SUBSTITUTE(SUBSTITUTE(SUBSTITUTE(SUBSTITUTE(SUBSTITUTE(SUBSTITUTE(LOWER(MID(LOOKUP(2,1/ISNUMBER(FIND(";",$D$23:AF$23)),$D$23:AF$23),FIND(";",LOOKUP(2,1/ISNUMBER(FIND(";",$D$23:AF$23)),$D$23:AF$23))+1,99))," ",""),"%%c","t"),"ø","t"),"φ","t"),"f","t"),"d","t")),$B$125)</f>
        <v/>
      </c>
      <c r="AF70">
        <f>IFERROR(IF(ISNUMBER(MID(LOOKUP(2,1/ISNUMBER(FIND(";",$D$23:AF$23)),$D$23:AF$23),FIND(";",LOOKUP(2,1/ISNUMBER(FIND(";",$D$23:AF$23)),$D$23:AF$23))+1,99)*1),LEFT($B$125,FIND("t",$B$125))&amp;MID(LOOKUP(2,1/ISNUMBER(FIND(";",$D$23:AF$23)),$D$23:AF$23),FIND(";",LOOKUP(2,1/ISNUMBER(FIND(";",$D$23:AF$23)),$D$23:AF$23))+1,99),SUBSTITUTE(SUBSTITUTE(SUBSTITUTE(SUBSTITUTE(SUBSTITUTE(SUBSTITUTE(LOWER(MID(LOOKUP(2,1/ISNUMBER(FIND(";",$D$23:AF$23)),$D$23:AF$23),FIND(";",LOOKUP(2,1/ISNUMBER(FIND(";",$D$23:AF$23)),$D$23:AF$23))+1,99))," ",""),"%%c","t"),"ø","t"),"φ","t"),"f","t"),"d","t")),$B$125)</f>
        <v/>
      </c>
      <c r="AG70">
        <f>IFERROR(IF(ISNUMBER(MID(LOOKUP(2,1/ISNUMBER(FIND(";",$D$23:AH$23)),$D$23:AH$23),FIND(";",LOOKUP(2,1/ISNUMBER(FIND(";",$D$23:AH$23)),$D$23:AH$23))+1,99)*1),LEFT($B$125,FIND("t",$B$125))&amp;MID(LOOKUP(2,1/ISNUMBER(FIND(";",$D$23:AH$23)),$D$23:AH$23),FIND(";",LOOKUP(2,1/ISNUMBER(FIND(";",$D$23:AH$23)),$D$23:AH$23))+1,99),SUBSTITUTE(SUBSTITUTE(SUBSTITUTE(SUBSTITUTE(SUBSTITUTE(SUBSTITUTE(LOWER(MID(LOOKUP(2,1/ISNUMBER(FIND(";",$D$23:AH$23)),$D$23:AH$23),FIND(";",LOOKUP(2,1/ISNUMBER(FIND(";",$D$23:AH$23)),$D$23:AH$23))+1,99))," ",""),"%%c","t"),"ø","t"),"φ","t"),"f","t"),"d","t")),$B$125)</f>
        <v/>
      </c>
    </row>
    <row r="71" hidden="1" outlineLevel="1">
      <c r="A71" s="60" t="inlineStr">
        <is>
          <t>(phụ trợ) A_T0R</t>
        </is>
      </c>
      <c r="C71">
        <f>IFERROR(LEFT(LEFT(C70,FIND("+",C70&amp;"+")-1),FIND("t",LEFT(C70,FIND("+",C70&amp;"+")-1))-1)*MID(LEFT(C70,FIND("+",C70&amp;"+")-1),FIND("t",LEFT(C70,FIND("+",C70&amp;"+")-1))+1,2)^2*PI()/400,0)+IFERROR(LEFT(MID(C70,FIND("+",C70&amp;"+")+1,99),FIND("t",MID(C70,FIND("+",C70&amp;"+")+1,99))-1)*MID(MID(C70,FIND("+",C70&amp;"+")+1,99),FIND("t",MID(C70,FIND("+",C70&amp;"+")+1,99))+1,2)^2*PI()/400,0)</f>
        <v/>
      </c>
      <c r="D71">
        <f>IFERROR(LEFT(LEFT(D70,FIND("+",D70&amp;"+")-1),FIND("t",LEFT(D70,FIND("+",D70&amp;"+")-1))-1)*MID(LEFT(D70,FIND("+",D70&amp;"+")-1),FIND("t",LEFT(D70,FIND("+",D70&amp;"+")-1))+1,2)^2*PI()/400,0)+IFERROR(LEFT(MID(D70,FIND("+",D70&amp;"+")+1,99),FIND("t",MID(D70,FIND("+",D70&amp;"+")+1,99))-1)*MID(MID(D70,FIND("+",D70&amp;"+")+1,99),FIND("t",MID(D70,FIND("+",D70&amp;"+")+1,99))+1,2)^2*PI()/400,0)</f>
        <v/>
      </c>
      <c r="E71">
        <f>IFERROR(LEFT(LEFT(E70,FIND("+",E70&amp;"+")-1),FIND("t",LEFT(E70,FIND("+",E70&amp;"+")-1))-1)*MID(LEFT(E70,FIND("+",E70&amp;"+")-1),FIND("t",LEFT(E70,FIND("+",E70&amp;"+")-1))+1,2)^2*PI()/400,0)+IFERROR(LEFT(MID(E70,FIND("+",E70&amp;"+")+1,99),FIND("t",MID(E70,FIND("+",E70&amp;"+")+1,99))-1)*MID(MID(E70,FIND("+",E70&amp;"+")+1,99),FIND("t",MID(E70,FIND("+",E70&amp;"+")+1,99))+1,2)^2*PI()/400,0)</f>
        <v/>
      </c>
      <c r="F71">
        <f>IFERROR(LEFT(LEFT(F70,FIND("+",F70&amp;"+")-1),FIND("t",LEFT(F70,FIND("+",F70&amp;"+")-1))-1)*MID(LEFT(F70,FIND("+",F70&amp;"+")-1),FIND("t",LEFT(F70,FIND("+",F70&amp;"+")-1))+1,2)^2*PI()/400,0)+IFERROR(LEFT(MID(F70,FIND("+",F70&amp;"+")+1,99),FIND("t",MID(F70,FIND("+",F70&amp;"+")+1,99))-1)*MID(MID(F70,FIND("+",F70&amp;"+")+1,99),FIND("t",MID(F70,FIND("+",F70&amp;"+")+1,99))+1,2)^2*PI()/400,0)</f>
        <v/>
      </c>
      <c r="G71">
        <f>IFERROR(LEFT(LEFT(G70,FIND("+",G70&amp;"+")-1),FIND("t",LEFT(G70,FIND("+",G70&amp;"+")-1))-1)*MID(LEFT(G70,FIND("+",G70&amp;"+")-1),FIND("t",LEFT(G70,FIND("+",G70&amp;"+")-1))+1,2)^2*PI()/400,0)+IFERROR(LEFT(MID(G70,FIND("+",G70&amp;"+")+1,99),FIND("t",MID(G70,FIND("+",G70&amp;"+")+1,99))-1)*MID(MID(G70,FIND("+",G70&amp;"+")+1,99),FIND("t",MID(G70,FIND("+",G70&amp;"+")+1,99))+1,2)^2*PI()/400,0)</f>
        <v/>
      </c>
      <c r="H71">
        <f>IFERROR(LEFT(LEFT(H70,FIND("+",H70&amp;"+")-1),FIND("t",LEFT(H70,FIND("+",H70&amp;"+")-1))-1)*MID(LEFT(H70,FIND("+",H70&amp;"+")-1),FIND("t",LEFT(H70,FIND("+",H70&amp;"+")-1))+1,2)^2*PI()/400,0)+IFERROR(LEFT(MID(H70,FIND("+",H70&amp;"+")+1,99),FIND("t",MID(H70,FIND("+",H70&amp;"+")+1,99))-1)*MID(MID(H70,FIND("+",H70&amp;"+")+1,99),FIND("t",MID(H70,FIND("+",H70&amp;"+")+1,99))+1,2)^2*PI()/400,0)</f>
        <v/>
      </c>
      <c r="I71">
        <f>IFERROR(LEFT(LEFT(I70,FIND("+",I70&amp;"+")-1),FIND("t",LEFT(I70,FIND("+",I70&amp;"+")-1))-1)*MID(LEFT(I70,FIND("+",I70&amp;"+")-1),FIND("t",LEFT(I70,FIND("+",I70&amp;"+")-1))+1,2)^2*PI()/400,0)+IFERROR(LEFT(MID(I70,FIND("+",I70&amp;"+")+1,99),FIND("t",MID(I70,FIND("+",I70&amp;"+")+1,99))-1)*MID(MID(I70,FIND("+",I70&amp;"+")+1,99),FIND("t",MID(I70,FIND("+",I70&amp;"+")+1,99))+1,2)^2*PI()/400,0)</f>
        <v/>
      </c>
      <c r="J71">
        <f>IFERROR(LEFT(LEFT(J70,FIND("+",J70&amp;"+")-1),FIND("t",LEFT(J70,FIND("+",J70&amp;"+")-1))-1)*MID(LEFT(J70,FIND("+",J70&amp;"+")-1),FIND("t",LEFT(J70,FIND("+",J70&amp;"+")-1))+1,2)^2*PI()/400,0)+IFERROR(LEFT(MID(J70,FIND("+",J70&amp;"+")+1,99),FIND("t",MID(J70,FIND("+",J70&amp;"+")+1,99))-1)*MID(MID(J70,FIND("+",J70&amp;"+")+1,99),FIND("t",MID(J70,FIND("+",J70&amp;"+")+1,99))+1,2)^2*PI()/400,0)</f>
        <v/>
      </c>
      <c r="K71">
        <f>IFERROR(LEFT(LEFT(K70,FIND("+",K70&amp;"+")-1),FIND("t",LEFT(K70,FIND("+",K70&amp;"+")-1))-1)*MID(LEFT(K70,FIND("+",K70&amp;"+")-1),FIND("t",LEFT(K70,FIND("+",K70&amp;"+")-1))+1,2)^2*PI()/400,0)+IFERROR(LEFT(MID(K70,FIND("+",K70&amp;"+")+1,99),FIND("t",MID(K70,FIND("+",K70&amp;"+")+1,99))-1)*MID(MID(K70,FIND("+",K70&amp;"+")+1,99),FIND("t",MID(K70,FIND("+",K70&amp;"+")+1,99))+1,2)^2*PI()/400,0)</f>
        <v/>
      </c>
      <c r="L71">
        <f>IFERROR(LEFT(LEFT(L70,FIND("+",L70&amp;"+")-1),FIND("t",LEFT(L70,FIND("+",L70&amp;"+")-1))-1)*MID(LEFT(L70,FIND("+",L70&amp;"+")-1),FIND("t",LEFT(L70,FIND("+",L70&amp;"+")-1))+1,2)^2*PI()/400,0)+IFERROR(LEFT(MID(L70,FIND("+",L70&amp;"+")+1,99),FIND("t",MID(L70,FIND("+",L70&amp;"+")+1,99))-1)*MID(MID(L70,FIND("+",L70&amp;"+")+1,99),FIND("t",MID(L70,FIND("+",L70&amp;"+")+1,99))+1,2)^2*PI()/400,0)</f>
        <v/>
      </c>
      <c r="M71">
        <f>IFERROR(LEFT(LEFT(M70,FIND("+",M70&amp;"+")-1),FIND("t",LEFT(M70,FIND("+",M70&amp;"+")-1))-1)*MID(LEFT(M70,FIND("+",M70&amp;"+")-1),FIND("t",LEFT(M70,FIND("+",M70&amp;"+")-1))+1,2)^2*PI()/400,0)+IFERROR(LEFT(MID(M70,FIND("+",M70&amp;"+")+1,99),FIND("t",MID(M70,FIND("+",M70&amp;"+")+1,99))-1)*MID(MID(M70,FIND("+",M70&amp;"+")+1,99),FIND("t",MID(M70,FIND("+",M70&amp;"+")+1,99))+1,2)^2*PI()/400,0)</f>
        <v/>
      </c>
      <c r="N71">
        <f>IFERROR(LEFT(LEFT(N70,FIND("+",N70&amp;"+")-1),FIND("t",LEFT(N70,FIND("+",N70&amp;"+")-1))-1)*MID(LEFT(N70,FIND("+",N70&amp;"+")-1),FIND("t",LEFT(N70,FIND("+",N70&amp;"+")-1))+1,2)^2*PI()/400,0)+IFERROR(LEFT(MID(N70,FIND("+",N70&amp;"+")+1,99),FIND("t",MID(N70,FIND("+",N70&amp;"+")+1,99))-1)*MID(MID(N70,FIND("+",N70&amp;"+")+1,99),FIND("t",MID(N70,FIND("+",N70&amp;"+")+1,99))+1,2)^2*PI()/400,0)</f>
        <v/>
      </c>
      <c r="O71">
        <f>IFERROR(LEFT(LEFT(O70,FIND("+",O70&amp;"+")-1),FIND("t",LEFT(O70,FIND("+",O70&amp;"+")-1))-1)*MID(LEFT(O70,FIND("+",O70&amp;"+")-1),FIND("t",LEFT(O70,FIND("+",O70&amp;"+")-1))+1,2)^2*PI()/400,0)+IFERROR(LEFT(MID(O70,FIND("+",O70&amp;"+")+1,99),FIND("t",MID(O70,FIND("+",O70&amp;"+")+1,99))-1)*MID(MID(O70,FIND("+",O70&amp;"+")+1,99),FIND("t",MID(O70,FIND("+",O70&amp;"+")+1,99))+1,2)^2*PI()/400,0)</f>
        <v/>
      </c>
      <c r="P71">
        <f>IFERROR(LEFT(LEFT(P70,FIND("+",P70&amp;"+")-1),FIND("t",LEFT(P70,FIND("+",P70&amp;"+")-1))-1)*MID(LEFT(P70,FIND("+",P70&amp;"+")-1),FIND("t",LEFT(P70,FIND("+",P70&amp;"+")-1))+1,2)^2*PI()/400,0)+IFERROR(LEFT(MID(P70,FIND("+",P70&amp;"+")+1,99),FIND("t",MID(P70,FIND("+",P70&amp;"+")+1,99))-1)*MID(MID(P70,FIND("+",P70&amp;"+")+1,99),FIND("t",MID(P70,FIND("+",P70&amp;"+")+1,99))+1,2)^2*PI()/400,0)</f>
        <v/>
      </c>
      <c r="Q71">
        <f>IFERROR(LEFT(LEFT(Q70,FIND("+",Q70&amp;"+")-1),FIND("t",LEFT(Q70,FIND("+",Q70&amp;"+")-1))-1)*MID(LEFT(Q70,FIND("+",Q70&amp;"+")-1),FIND("t",LEFT(Q70,FIND("+",Q70&amp;"+")-1))+1,2)^2*PI()/400,0)+IFERROR(LEFT(MID(Q70,FIND("+",Q70&amp;"+")+1,99),FIND("t",MID(Q70,FIND("+",Q70&amp;"+")+1,99))-1)*MID(MID(Q70,FIND("+",Q70&amp;"+")+1,99),FIND("t",MID(Q70,FIND("+",Q70&amp;"+")+1,99))+1,2)^2*PI()/400,0)</f>
        <v/>
      </c>
      <c r="R71">
        <f>IFERROR(LEFT(LEFT(R70,FIND("+",R70&amp;"+")-1),FIND("t",LEFT(R70,FIND("+",R70&amp;"+")-1))-1)*MID(LEFT(R70,FIND("+",R70&amp;"+")-1),FIND("t",LEFT(R70,FIND("+",R70&amp;"+")-1))+1,2)^2*PI()/400,0)+IFERROR(LEFT(MID(R70,FIND("+",R70&amp;"+")+1,99),FIND("t",MID(R70,FIND("+",R70&amp;"+")+1,99))-1)*MID(MID(R70,FIND("+",R70&amp;"+")+1,99),FIND("t",MID(R70,FIND("+",R70&amp;"+")+1,99))+1,2)^2*PI()/400,0)</f>
        <v/>
      </c>
      <c r="S71">
        <f>IFERROR(LEFT(LEFT(S70,FIND("+",S70&amp;"+")-1),FIND("t",LEFT(S70,FIND("+",S70&amp;"+")-1))-1)*MID(LEFT(S70,FIND("+",S70&amp;"+")-1),FIND("t",LEFT(S70,FIND("+",S70&amp;"+")-1))+1,2)^2*PI()/400,0)+IFERROR(LEFT(MID(S70,FIND("+",S70&amp;"+")+1,99),FIND("t",MID(S70,FIND("+",S70&amp;"+")+1,99))-1)*MID(MID(S70,FIND("+",S70&amp;"+")+1,99),FIND("t",MID(S70,FIND("+",S70&amp;"+")+1,99))+1,2)^2*PI()/400,0)</f>
        <v/>
      </c>
      <c r="T71">
        <f>IFERROR(LEFT(LEFT(T70,FIND("+",T70&amp;"+")-1),FIND("t",LEFT(T70,FIND("+",T70&amp;"+")-1))-1)*MID(LEFT(T70,FIND("+",T70&amp;"+")-1),FIND("t",LEFT(T70,FIND("+",T70&amp;"+")-1))+1,2)^2*PI()/400,0)+IFERROR(LEFT(MID(T70,FIND("+",T70&amp;"+")+1,99),FIND("t",MID(T70,FIND("+",T70&amp;"+")+1,99))-1)*MID(MID(T70,FIND("+",T70&amp;"+")+1,99),FIND("t",MID(T70,FIND("+",T70&amp;"+")+1,99))+1,2)^2*PI()/400,0)</f>
        <v/>
      </c>
      <c r="U71">
        <f>IFERROR(LEFT(LEFT(U70,FIND("+",U70&amp;"+")-1),FIND("t",LEFT(U70,FIND("+",U70&amp;"+")-1))-1)*MID(LEFT(U70,FIND("+",U70&amp;"+")-1),FIND("t",LEFT(U70,FIND("+",U70&amp;"+")-1))+1,2)^2*PI()/400,0)+IFERROR(LEFT(MID(U70,FIND("+",U70&amp;"+")+1,99),FIND("t",MID(U70,FIND("+",U70&amp;"+")+1,99))-1)*MID(MID(U70,FIND("+",U70&amp;"+")+1,99),FIND("t",MID(U70,FIND("+",U70&amp;"+")+1,99))+1,2)^2*PI()/400,0)</f>
        <v/>
      </c>
      <c r="V71">
        <f>IFERROR(LEFT(LEFT(V70,FIND("+",V70&amp;"+")-1),FIND("t",LEFT(V70,FIND("+",V70&amp;"+")-1))-1)*MID(LEFT(V70,FIND("+",V70&amp;"+")-1),FIND("t",LEFT(V70,FIND("+",V70&amp;"+")-1))+1,2)^2*PI()/400,0)+IFERROR(LEFT(MID(V70,FIND("+",V70&amp;"+")+1,99),FIND("t",MID(V70,FIND("+",V70&amp;"+")+1,99))-1)*MID(MID(V70,FIND("+",V70&amp;"+")+1,99),FIND("t",MID(V70,FIND("+",V70&amp;"+")+1,99))+1,2)^2*PI()/400,0)</f>
        <v/>
      </c>
      <c r="W71">
        <f>IFERROR(LEFT(LEFT(W70,FIND("+",W70&amp;"+")-1),FIND("t",LEFT(W70,FIND("+",W70&amp;"+")-1))-1)*MID(LEFT(W70,FIND("+",W70&amp;"+")-1),FIND("t",LEFT(W70,FIND("+",W70&amp;"+")-1))+1,2)^2*PI()/400,0)+IFERROR(LEFT(MID(W70,FIND("+",W70&amp;"+")+1,99),FIND("t",MID(W70,FIND("+",W70&amp;"+")+1,99))-1)*MID(MID(W70,FIND("+",W70&amp;"+")+1,99),FIND("t",MID(W70,FIND("+",W70&amp;"+")+1,99))+1,2)^2*PI()/400,0)</f>
        <v/>
      </c>
      <c r="X71">
        <f>IFERROR(LEFT(LEFT(X70,FIND("+",X70&amp;"+")-1),FIND("t",LEFT(X70,FIND("+",X70&amp;"+")-1))-1)*MID(LEFT(X70,FIND("+",X70&amp;"+")-1),FIND("t",LEFT(X70,FIND("+",X70&amp;"+")-1))+1,2)^2*PI()/400,0)+IFERROR(LEFT(MID(X70,FIND("+",X70&amp;"+")+1,99),FIND("t",MID(X70,FIND("+",X70&amp;"+")+1,99))-1)*MID(MID(X70,FIND("+",X70&amp;"+")+1,99),FIND("t",MID(X70,FIND("+",X70&amp;"+")+1,99))+1,2)^2*PI()/400,0)</f>
        <v/>
      </c>
      <c r="Y71">
        <f>IFERROR(LEFT(LEFT(Y70,FIND("+",Y70&amp;"+")-1),FIND("t",LEFT(Y70,FIND("+",Y70&amp;"+")-1))-1)*MID(LEFT(Y70,FIND("+",Y70&amp;"+")-1),FIND("t",LEFT(Y70,FIND("+",Y70&amp;"+")-1))+1,2)^2*PI()/400,0)+IFERROR(LEFT(MID(Y70,FIND("+",Y70&amp;"+")+1,99),FIND("t",MID(Y70,FIND("+",Y70&amp;"+")+1,99))-1)*MID(MID(Y70,FIND("+",Y70&amp;"+")+1,99),FIND("t",MID(Y70,FIND("+",Y70&amp;"+")+1,99))+1,2)^2*PI()/400,0)</f>
        <v/>
      </c>
      <c r="Z71">
        <f>IFERROR(LEFT(LEFT(Z70,FIND("+",Z70&amp;"+")-1),FIND("t",LEFT(Z70,FIND("+",Z70&amp;"+")-1))-1)*MID(LEFT(Z70,FIND("+",Z70&amp;"+")-1),FIND("t",LEFT(Z70,FIND("+",Z70&amp;"+")-1))+1,2)^2*PI()/400,0)+IFERROR(LEFT(MID(Z70,FIND("+",Z70&amp;"+")+1,99),FIND("t",MID(Z70,FIND("+",Z70&amp;"+")+1,99))-1)*MID(MID(Z70,FIND("+",Z70&amp;"+")+1,99),FIND("t",MID(Z70,FIND("+",Z70&amp;"+")+1,99))+1,2)^2*PI()/400,0)</f>
        <v/>
      </c>
      <c r="AA71">
        <f>IFERROR(LEFT(LEFT(AA70,FIND("+",AA70&amp;"+")-1),FIND("t",LEFT(AA70,FIND("+",AA70&amp;"+")-1))-1)*MID(LEFT(AA70,FIND("+",AA70&amp;"+")-1),FIND("t",LEFT(AA70,FIND("+",AA70&amp;"+")-1))+1,2)^2*PI()/400,0)+IFERROR(LEFT(MID(AA70,FIND("+",AA70&amp;"+")+1,99),FIND("t",MID(AA70,FIND("+",AA70&amp;"+")+1,99))-1)*MID(MID(AA70,FIND("+",AA70&amp;"+")+1,99),FIND("t",MID(AA70,FIND("+",AA70&amp;"+")+1,99))+1,2)^2*PI()/400,0)</f>
        <v/>
      </c>
      <c r="AB71">
        <f>IFERROR(LEFT(LEFT(AB70,FIND("+",AB70&amp;"+")-1),FIND("t",LEFT(AB70,FIND("+",AB70&amp;"+")-1))-1)*MID(LEFT(AB70,FIND("+",AB70&amp;"+")-1),FIND("t",LEFT(AB70,FIND("+",AB70&amp;"+")-1))+1,2)^2*PI()/400,0)+IFERROR(LEFT(MID(AB70,FIND("+",AB70&amp;"+")+1,99),FIND("t",MID(AB70,FIND("+",AB70&amp;"+")+1,99))-1)*MID(MID(AB70,FIND("+",AB70&amp;"+")+1,99),FIND("t",MID(AB70,FIND("+",AB70&amp;"+")+1,99))+1,2)^2*PI()/400,0)</f>
        <v/>
      </c>
      <c r="AC71">
        <f>IFERROR(LEFT(LEFT(AC70,FIND("+",AC70&amp;"+")-1),FIND("t",LEFT(AC70,FIND("+",AC70&amp;"+")-1))-1)*MID(LEFT(AC70,FIND("+",AC70&amp;"+")-1),FIND("t",LEFT(AC70,FIND("+",AC70&amp;"+")-1))+1,2)^2*PI()/400,0)+IFERROR(LEFT(MID(AC70,FIND("+",AC70&amp;"+")+1,99),FIND("t",MID(AC70,FIND("+",AC70&amp;"+")+1,99))-1)*MID(MID(AC70,FIND("+",AC70&amp;"+")+1,99),FIND("t",MID(AC70,FIND("+",AC70&amp;"+")+1,99))+1,2)^2*PI()/400,0)</f>
        <v/>
      </c>
      <c r="AD71">
        <f>IFERROR(LEFT(LEFT(AD70,FIND("+",AD70&amp;"+")-1),FIND("t",LEFT(AD70,FIND("+",AD70&amp;"+")-1))-1)*MID(LEFT(AD70,FIND("+",AD70&amp;"+")-1),FIND("t",LEFT(AD70,FIND("+",AD70&amp;"+")-1))+1,2)^2*PI()/400,0)+IFERROR(LEFT(MID(AD70,FIND("+",AD70&amp;"+")+1,99),FIND("t",MID(AD70,FIND("+",AD70&amp;"+")+1,99))-1)*MID(MID(AD70,FIND("+",AD70&amp;"+")+1,99),FIND("t",MID(AD70,FIND("+",AD70&amp;"+")+1,99))+1,2)^2*PI()/400,0)</f>
        <v/>
      </c>
      <c r="AE71">
        <f>IFERROR(LEFT(LEFT(AE70,FIND("+",AE70&amp;"+")-1),FIND("t",LEFT(AE70,FIND("+",AE70&amp;"+")-1))-1)*MID(LEFT(AE70,FIND("+",AE70&amp;"+")-1),FIND("t",LEFT(AE70,FIND("+",AE70&amp;"+")-1))+1,2)^2*PI()/400,0)+IFERROR(LEFT(MID(AE70,FIND("+",AE70&amp;"+")+1,99),FIND("t",MID(AE70,FIND("+",AE70&amp;"+")+1,99))-1)*MID(MID(AE70,FIND("+",AE70&amp;"+")+1,99),FIND("t",MID(AE70,FIND("+",AE70&amp;"+")+1,99))+1,2)^2*PI()/400,0)</f>
        <v/>
      </c>
      <c r="AF71">
        <f>IFERROR(LEFT(LEFT(AF70,FIND("+",AF70&amp;"+")-1),FIND("t",LEFT(AF70,FIND("+",AF70&amp;"+")-1))-1)*MID(LEFT(AF70,FIND("+",AF70&amp;"+")-1),FIND("t",LEFT(AF70,FIND("+",AF70&amp;"+")-1))+1,2)^2*PI()/400,0)+IFERROR(LEFT(MID(AF70,FIND("+",AF70&amp;"+")+1,99),FIND("t",MID(AF70,FIND("+",AF70&amp;"+")+1,99))-1)*MID(MID(AF70,FIND("+",AF70&amp;"+")+1,99),FIND("t",MID(AF70,FIND("+",AF70&amp;"+")+1,99))+1,2)^2*PI()/400,0)</f>
        <v/>
      </c>
      <c r="AG71">
        <f>IFERROR(LEFT(LEFT(AG70,FIND("+",AG70&amp;"+")-1),FIND("t",LEFT(AG70,FIND("+",AG70&amp;"+")-1))-1)*MID(LEFT(AG70,FIND("+",AG70&amp;"+")-1),FIND("t",LEFT(AG70,FIND("+",AG70&amp;"+")-1))+1,2)^2*PI()/400,0)+IFERROR(LEFT(MID(AG70,FIND("+",AG70&amp;"+")+1,99),FIND("t",MID(AG70,FIND("+",AG70&amp;"+")+1,99))-1)*MID(MID(AG70,FIND("+",AG70&amp;"+")+1,99),FIND("t",MID(AG70,FIND("+",AG70&amp;"+")+1,99))+1,2)^2*PI()/400,0)</f>
        <v/>
      </c>
    </row>
    <row r="72" hidden="1" outlineLevel="1">
      <c r="A72" s="60" t="inlineStr">
        <is>
          <t>(phụ trợ) N_T1L</t>
        </is>
      </c>
      <c r="C72">
        <f>SUBSTITUTE(SUBSTITUTE(SUBSTITUTE(SUBSTITUTE(SUBSTITUTE(SUBSTITUTE(LOWER(IF(ISNUMBER(FIND(";",C13)),LEFT(C13,FIND(";",C13)-1),C13))," ",""),"%%c","t"),"ø","t"),"φ","t"),"f","t"),"d","t")</f>
        <v/>
      </c>
      <c r="D72">
        <f>SUBSTITUTE(SUBSTITUTE(SUBSTITUTE(SUBSTITUTE(SUBSTITUTE(SUBSTITUTE(LOWER(IF(ISNUMBER(FIND(";",D13)),LEFT(D13,FIND(";",D13)-1),D13))," ",""),"%%c","t"),"ø","t"),"φ","t"),"f","t"),"d","t")</f>
        <v/>
      </c>
      <c r="E72">
        <f>SUBSTITUTE(SUBSTITUTE(SUBSTITUTE(SUBSTITUTE(SUBSTITUTE(SUBSTITUTE(LOWER(IF(ISNUMBER(FIND(";",E13)),LEFT(E13,FIND(";",E13)-1),E13))," ",""),"%%c","t"),"ø","t"),"φ","t"),"f","t"),"d","t")</f>
        <v/>
      </c>
      <c r="F72">
        <f>SUBSTITUTE(SUBSTITUTE(SUBSTITUTE(SUBSTITUTE(SUBSTITUTE(SUBSTITUTE(LOWER(IF(ISNUMBER(FIND(";",F13)),LEFT(F13,FIND(";",F13)-1),F13))," ",""),"%%c","t"),"ø","t"),"φ","t"),"f","t"),"d","t")</f>
        <v/>
      </c>
      <c r="G72">
        <f>SUBSTITUTE(SUBSTITUTE(SUBSTITUTE(SUBSTITUTE(SUBSTITUTE(SUBSTITUTE(LOWER(IF(ISNUMBER(FIND(";",G13)),LEFT(G13,FIND(";",G13)-1),G13))," ",""),"%%c","t"),"ø","t"),"φ","t"),"f","t"),"d","t")</f>
        <v/>
      </c>
      <c r="H72">
        <f>SUBSTITUTE(SUBSTITUTE(SUBSTITUTE(SUBSTITUTE(SUBSTITUTE(SUBSTITUTE(LOWER(IF(ISNUMBER(FIND(";",H13)),LEFT(H13,FIND(";",H13)-1),H13))," ",""),"%%c","t"),"ø","t"),"φ","t"),"f","t"),"d","t")</f>
        <v/>
      </c>
      <c r="I72">
        <f>SUBSTITUTE(SUBSTITUTE(SUBSTITUTE(SUBSTITUTE(SUBSTITUTE(SUBSTITUTE(LOWER(IF(ISNUMBER(FIND(";",I13)),LEFT(I13,FIND(";",I13)-1),I13))," ",""),"%%c","t"),"ø","t"),"φ","t"),"f","t"),"d","t")</f>
        <v/>
      </c>
      <c r="J72">
        <f>SUBSTITUTE(SUBSTITUTE(SUBSTITUTE(SUBSTITUTE(SUBSTITUTE(SUBSTITUTE(LOWER(IF(ISNUMBER(FIND(";",J13)),LEFT(J13,FIND(";",J13)-1),J13))," ",""),"%%c","t"),"ø","t"),"φ","t"),"f","t"),"d","t")</f>
        <v/>
      </c>
      <c r="K72">
        <f>SUBSTITUTE(SUBSTITUTE(SUBSTITUTE(SUBSTITUTE(SUBSTITUTE(SUBSTITUTE(LOWER(IF(ISNUMBER(FIND(";",K13)),LEFT(K13,FIND(";",K13)-1),K13))," ",""),"%%c","t"),"ø","t"),"φ","t"),"f","t"),"d","t")</f>
        <v/>
      </c>
      <c r="L72">
        <f>SUBSTITUTE(SUBSTITUTE(SUBSTITUTE(SUBSTITUTE(SUBSTITUTE(SUBSTITUTE(LOWER(IF(ISNUMBER(FIND(";",L13)),LEFT(L13,FIND(";",L13)-1),L13))," ",""),"%%c","t"),"ø","t"),"φ","t"),"f","t"),"d","t")</f>
        <v/>
      </c>
      <c r="M72">
        <f>SUBSTITUTE(SUBSTITUTE(SUBSTITUTE(SUBSTITUTE(SUBSTITUTE(SUBSTITUTE(LOWER(IF(ISNUMBER(FIND(";",M13)),LEFT(M13,FIND(";",M13)-1),M13))," ",""),"%%c","t"),"ø","t"),"φ","t"),"f","t"),"d","t")</f>
        <v/>
      </c>
      <c r="N72">
        <f>SUBSTITUTE(SUBSTITUTE(SUBSTITUTE(SUBSTITUTE(SUBSTITUTE(SUBSTITUTE(LOWER(IF(ISNUMBER(FIND(";",N13)),LEFT(N13,FIND(";",N13)-1),N13))," ",""),"%%c","t"),"ø","t"),"φ","t"),"f","t"),"d","t")</f>
        <v/>
      </c>
      <c r="O72">
        <f>SUBSTITUTE(SUBSTITUTE(SUBSTITUTE(SUBSTITUTE(SUBSTITUTE(SUBSTITUTE(LOWER(IF(ISNUMBER(FIND(";",O13)),LEFT(O13,FIND(";",O13)-1),O13))," ",""),"%%c","t"),"ø","t"),"φ","t"),"f","t"),"d","t")</f>
        <v/>
      </c>
      <c r="P72">
        <f>SUBSTITUTE(SUBSTITUTE(SUBSTITUTE(SUBSTITUTE(SUBSTITUTE(SUBSTITUTE(LOWER(IF(ISNUMBER(FIND(";",P13)),LEFT(P13,FIND(";",P13)-1),P13))," ",""),"%%c","t"),"ø","t"),"φ","t"),"f","t"),"d","t")</f>
        <v/>
      </c>
      <c r="Q72">
        <f>SUBSTITUTE(SUBSTITUTE(SUBSTITUTE(SUBSTITUTE(SUBSTITUTE(SUBSTITUTE(LOWER(IF(ISNUMBER(FIND(";",Q13)),LEFT(Q13,FIND(";",Q13)-1),Q13))," ",""),"%%c","t"),"ø","t"),"φ","t"),"f","t"),"d","t")</f>
        <v/>
      </c>
      <c r="R72">
        <f>SUBSTITUTE(SUBSTITUTE(SUBSTITUTE(SUBSTITUTE(SUBSTITUTE(SUBSTITUTE(LOWER(IF(ISNUMBER(FIND(";",R13)),LEFT(R13,FIND(";",R13)-1),R13))," ",""),"%%c","t"),"ø","t"),"φ","t"),"f","t"),"d","t")</f>
        <v/>
      </c>
      <c r="S72">
        <f>SUBSTITUTE(SUBSTITUTE(SUBSTITUTE(SUBSTITUTE(SUBSTITUTE(SUBSTITUTE(LOWER(IF(ISNUMBER(FIND(";",S13)),LEFT(S13,FIND(";",S13)-1),S13))," ",""),"%%c","t"),"ø","t"),"φ","t"),"f","t"),"d","t")</f>
        <v/>
      </c>
      <c r="T72">
        <f>SUBSTITUTE(SUBSTITUTE(SUBSTITUTE(SUBSTITUTE(SUBSTITUTE(SUBSTITUTE(LOWER(IF(ISNUMBER(FIND(";",T13)),LEFT(T13,FIND(";",T13)-1),T13))," ",""),"%%c","t"),"ø","t"),"φ","t"),"f","t"),"d","t")</f>
        <v/>
      </c>
      <c r="U72">
        <f>SUBSTITUTE(SUBSTITUTE(SUBSTITUTE(SUBSTITUTE(SUBSTITUTE(SUBSTITUTE(LOWER(IF(ISNUMBER(FIND(";",U13)),LEFT(U13,FIND(";",U13)-1),U13))," ",""),"%%c","t"),"ø","t"),"φ","t"),"f","t"),"d","t")</f>
        <v/>
      </c>
      <c r="V72">
        <f>SUBSTITUTE(SUBSTITUTE(SUBSTITUTE(SUBSTITUTE(SUBSTITUTE(SUBSTITUTE(LOWER(IF(ISNUMBER(FIND(";",V13)),LEFT(V13,FIND(";",V13)-1),V13))," ",""),"%%c","t"),"ø","t"),"φ","t"),"f","t"),"d","t")</f>
        <v/>
      </c>
      <c r="W72">
        <f>SUBSTITUTE(SUBSTITUTE(SUBSTITUTE(SUBSTITUTE(SUBSTITUTE(SUBSTITUTE(LOWER(IF(ISNUMBER(FIND(";",W13)),LEFT(W13,FIND(";",W13)-1),W13))," ",""),"%%c","t"),"ø","t"),"φ","t"),"f","t"),"d","t")</f>
        <v/>
      </c>
      <c r="X72">
        <f>SUBSTITUTE(SUBSTITUTE(SUBSTITUTE(SUBSTITUTE(SUBSTITUTE(SUBSTITUTE(LOWER(IF(ISNUMBER(FIND(";",X13)),LEFT(X13,FIND(";",X13)-1),X13))," ",""),"%%c","t"),"ø","t"),"φ","t"),"f","t"),"d","t")</f>
        <v/>
      </c>
      <c r="Y72">
        <f>SUBSTITUTE(SUBSTITUTE(SUBSTITUTE(SUBSTITUTE(SUBSTITUTE(SUBSTITUTE(LOWER(IF(ISNUMBER(FIND(";",Y13)),LEFT(Y13,FIND(";",Y13)-1),Y13))," ",""),"%%c","t"),"ø","t"),"φ","t"),"f","t"),"d","t")</f>
        <v/>
      </c>
      <c r="Z72">
        <f>SUBSTITUTE(SUBSTITUTE(SUBSTITUTE(SUBSTITUTE(SUBSTITUTE(SUBSTITUTE(LOWER(IF(ISNUMBER(FIND(";",Z13)),LEFT(Z13,FIND(";",Z13)-1),Z13))," ",""),"%%c","t"),"ø","t"),"φ","t"),"f","t"),"d","t")</f>
        <v/>
      </c>
      <c r="AA72">
        <f>SUBSTITUTE(SUBSTITUTE(SUBSTITUTE(SUBSTITUTE(SUBSTITUTE(SUBSTITUTE(LOWER(IF(ISNUMBER(FIND(";",AA13)),LEFT(AA13,FIND(";",AA13)-1),AA13))," ",""),"%%c","t"),"ø","t"),"φ","t"),"f","t"),"d","t")</f>
        <v/>
      </c>
      <c r="AB72">
        <f>SUBSTITUTE(SUBSTITUTE(SUBSTITUTE(SUBSTITUTE(SUBSTITUTE(SUBSTITUTE(LOWER(IF(ISNUMBER(FIND(";",AB13)),LEFT(AB13,FIND(";",AB13)-1),AB13))," ",""),"%%c","t"),"ø","t"),"φ","t"),"f","t"),"d","t")</f>
        <v/>
      </c>
      <c r="AC72">
        <f>SUBSTITUTE(SUBSTITUTE(SUBSTITUTE(SUBSTITUTE(SUBSTITUTE(SUBSTITUTE(LOWER(IF(ISNUMBER(FIND(";",AC13)),LEFT(AC13,FIND(";",AC13)-1),AC13))," ",""),"%%c","t"),"ø","t"),"φ","t"),"f","t"),"d","t")</f>
        <v/>
      </c>
      <c r="AD72">
        <f>SUBSTITUTE(SUBSTITUTE(SUBSTITUTE(SUBSTITUTE(SUBSTITUTE(SUBSTITUTE(LOWER(IF(ISNUMBER(FIND(";",AD13)),LEFT(AD13,FIND(";",AD13)-1),AD13))," ",""),"%%c","t"),"ø","t"),"φ","t"),"f","t"),"d","t")</f>
        <v/>
      </c>
      <c r="AE72">
        <f>SUBSTITUTE(SUBSTITUTE(SUBSTITUTE(SUBSTITUTE(SUBSTITUTE(SUBSTITUTE(LOWER(IF(ISNUMBER(FIND(";",AE13)),LEFT(AE13,FIND(";",AE13)-1),AE13))," ",""),"%%c","t"),"ø","t"),"φ","t"),"f","t"),"d","t")</f>
        <v/>
      </c>
      <c r="AF72">
        <f>SUBSTITUTE(SUBSTITUTE(SUBSTITUTE(SUBSTITUTE(SUBSTITUTE(SUBSTITUTE(LOWER(IF(ISNUMBER(FIND(";",AF13)),LEFT(AF13,FIND(";",AF13)-1),AF13))," ",""),"%%c","t"),"ø","t"),"φ","t"),"f","t"),"d","t")</f>
        <v/>
      </c>
      <c r="AG72">
        <f>SUBSTITUTE(SUBSTITUTE(SUBSTITUTE(SUBSTITUTE(SUBSTITUTE(SUBSTITUTE(LOWER(IF(ISNUMBER(FIND(";",AG13)),LEFT(AG13,FIND(";",AG13)-1),AG13))," ",""),"%%c","t"),"ø","t"),"φ","t"),"f","t"),"d","t")</f>
        <v/>
      </c>
    </row>
    <row r="73" hidden="1" outlineLevel="1">
      <c r="A73" s="60" t="inlineStr">
        <is>
          <t>(phụ trợ) A_T1L</t>
        </is>
      </c>
      <c r="C73">
        <f>IFERROR(LEFT(LEFT(C72,FIND("+",C72&amp;"+")-1),FIND("t",LEFT(C72,FIND("+",C72&amp;"+")-1))-1)*MID(LEFT(C72,FIND("+",C72&amp;"+")-1),FIND("t",LEFT(C72,FIND("+",C72&amp;"+")-1))+1,2)^2*PI()/400,0)+IFERROR(LEFT(MID(C72,FIND("+",C72&amp;"+")+1,99),FIND("t",MID(C72,FIND("+",C72&amp;"+")+1,99))-1)*MID(MID(C72,FIND("+",C72&amp;"+")+1,99),FIND("t",MID(C72,FIND("+",C72&amp;"+")+1,99))+1,2)^2*PI()/400,0)</f>
        <v/>
      </c>
      <c r="D73">
        <f>IFERROR(LEFT(LEFT(D72,FIND("+",D72&amp;"+")-1),FIND("t",LEFT(D72,FIND("+",D72&amp;"+")-1))-1)*MID(LEFT(D72,FIND("+",D72&amp;"+")-1),FIND("t",LEFT(D72,FIND("+",D72&amp;"+")-1))+1,2)^2*PI()/400,0)+IFERROR(LEFT(MID(D72,FIND("+",D72&amp;"+")+1,99),FIND("t",MID(D72,FIND("+",D72&amp;"+")+1,99))-1)*MID(MID(D72,FIND("+",D72&amp;"+")+1,99),FIND("t",MID(D72,FIND("+",D72&amp;"+")+1,99))+1,2)^2*PI()/400,0)</f>
        <v/>
      </c>
      <c r="E73">
        <f>IFERROR(LEFT(LEFT(E72,FIND("+",E72&amp;"+")-1),FIND("t",LEFT(E72,FIND("+",E72&amp;"+")-1))-1)*MID(LEFT(E72,FIND("+",E72&amp;"+")-1),FIND("t",LEFT(E72,FIND("+",E72&amp;"+")-1))+1,2)^2*PI()/400,0)+IFERROR(LEFT(MID(E72,FIND("+",E72&amp;"+")+1,99),FIND("t",MID(E72,FIND("+",E72&amp;"+")+1,99))-1)*MID(MID(E72,FIND("+",E72&amp;"+")+1,99),FIND("t",MID(E72,FIND("+",E72&amp;"+")+1,99))+1,2)^2*PI()/400,0)</f>
        <v/>
      </c>
      <c r="F73">
        <f>IFERROR(LEFT(LEFT(F72,FIND("+",F72&amp;"+")-1),FIND("t",LEFT(F72,FIND("+",F72&amp;"+")-1))-1)*MID(LEFT(F72,FIND("+",F72&amp;"+")-1),FIND("t",LEFT(F72,FIND("+",F72&amp;"+")-1))+1,2)^2*PI()/400,0)+IFERROR(LEFT(MID(F72,FIND("+",F72&amp;"+")+1,99),FIND("t",MID(F72,FIND("+",F72&amp;"+")+1,99))-1)*MID(MID(F72,FIND("+",F72&amp;"+")+1,99),FIND("t",MID(F72,FIND("+",F72&amp;"+")+1,99))+1,2)^2*PI()/400,0)</f>
        <v/>
      </c>
      <c r="G73">
        <f>IFERROR(LEFT(LEFT(G72,FIND("+",G72&amp;"+")-1),FIND("t",LEFT(G72,FIND("+",G72&amp;"+")-1))-1)*MID(LEFT(G72,FIND("+",G72&amp;"+")-1),FIND("t",LEFT(G72,FIND("+",G72&amp;"+")-1))+1,2)^2*PI()/400,0)+IFERROR(LEFT(MID(G72,FIND("+",G72&amp;"+")+1,99),FIND("t",MID(G72,FIND("+",G72&amp;"+")+1,99))-1)*MID(MID(G72,FIND("+",G72&amp;"+")+1,99),FIND("t",MID(G72,FIND("+",G72&amp;"+")+1,99))+1,2)^2*PI()/400,0)</f>
        <v/>
      </c>
      <c r="H73">
        <f>IFERROR(LEFT(LEFT(H72,FIND("+",H72&amp;"+")-1),FIND("t",LEFT(H72,FIND("+",H72&amp;"+")-1))-1)*MID(LEFT(H72,FIND("+",H72&amp;"+")-1),FIND("t",LEFT(H72,FIND("+",H72&amp;"+")-1))+1,2)^2*PI()/400,0)+IFERROR(LEFT(MID(H72,FIND("+",H72&amp;"+")+1,99),FIND("t",MID(H72,FIND("+",H72&amp;"+")+1,99))-1)*MID(MID(H72,FIND("+",H72&amp;"+")+1,99),FIND("t",MID(H72,FIND("+",H72&amp;"+")+1,99))+1,2)^2*PI()/400,0)</f>
        <v/>
      </c>
      <c r="I73">
        <f>IFERROR(LEFT(LEFT(I72,FIND("+",I72&amp;"+")-1),FIND("t",LEFT(I72,FIND("+",I72&amp;"+")-1))-1)*MID(LEFT(I72,FIND("+",I72&amp;"+")-1),FIND("t",LEFT(I72,FIND("+",I72&amp;"+")-1))+1,2)^2*PI()/400,0)+IFERROR(LEFT(MID(I72,FIND("+",I72&amp;"+")+1,99),FIND("t",MID(I72,FIND("+",I72&amp;"+")+1,99))-1)*MID(MID(I72,FIND("+",I72&amp;"+")+1,99),FIND("t",MID(I72,FIND("+",I72&amp;"+")+1,99))+1,2)^2*PI()/400,0)</f>
        <v/>
      </c>
      <c r="J73">
        <f>IFERROR(LEFT(LEFT(J72,FIND("+",J72&amp;"+")-1),FIND("t",LEFT(J72,FIND("+",J72&amp;"+")-1))-1)*MID(LEFT(J72,FIND("+",J72&amp;"+")-1),FIND("t",LEFT(J72,FIND("+",J72&amp;"+")-1))+1,2)^2*PI()/400,0)+IFERROR(LEFT(MID(J72,FIND("+",J72&amp;"+")+1,99),FIND("t",MID(J72,FIND("+",J72&amp;"+")+1,99))-1)*MID(MID(J72,FIND("+",J72&amp;"+")+1,99),FIND("t",MID(J72,FIND("+",J72&amp;"+")+1,99))+1,2)^2*PI()/400,0)</f>
        <v/>
      </c>
      <c r="K73">
        <f>IFERROR(LEFT(LEFT(K72,FIND("+",K72&amp;"+")-1),FIND("t",LEFT(K72,FIND("+",K72&amp;"+")-1))-1)*MID(LEFT(K72,FIND("+",K72&amp;"+")-1),FIND("t",LEFT(K72,FIND("+",K72&amp;"+")-1))+1,2)^2*PI()/400,0)+IFERROR(LEFT(MID(K72,FIND("+",K72&amp;"+")+1,99),FIND("t",MID(K72,FIND("+",K72&amp;"+")+1,99))-1)*MID(MID(K72,FIND("+",K72&amp;"+")+1,99),FIND("t",MID(K72,FIND("+",K72&amp;"+")+1,99))+1,2)^2*PI()/400,0)</f>
        <v/>
      </c>
      <c r="L73">
        <f>IFERROR(LEFT(LEFT(L72,FIND("+",L72&amp;"+")-1),FIND("t",LEFT(L72,FIND("+",L72&amp;"+")-1))-1)*MID(LEFT(L72,FIND("+",L72&amp;"+")-1),FIND("t",LEFT(L72,FIND("+",L72&amp;"+")-1))+1,2)^2*PI()/400,0)+IFERROR(LEFT(MID(L72,FIND("+",L72&amp;"+")+1,99),FIND("t",MID(L72,FIND("+",L72&amp;"+")+1,99))-1)*MID(MID(L72,FIND("+",L72&amp;"+")+1,99),FIND("t",MID(L72,FIND("+",L72&amp;"+")+1,99))+1,2)^2*PI()/400,0)</f>
        <v/>
      </c>
      <c r="M73">
        <f>IFERROR(LEFT(LEFT(M72,FIND("+",M72&amp;"+")-1),FIND("t",LEFT(M72,FIND("+",M72&amp;"+")-1))-1)*MID(LEFT(M72,FIND("+",M72&amp;"+")-1),FIND("t",LEFT(M72,FIND("+",M72&amp;"+")-1))+1,2)^2*PI()/400,0)+IFERROR(LEFT(MID(M72,FIND("+",M72&amp;"+")+1,99),FIND("t",MID(M72,FIND("+",M72&amp;"+")+1,99))-1)*MID(MID(M72,FIND("+",M72&amp;"+")+1,99),FIND("t",MID(M72,FIND("+",M72&amp;"+")+1,99))+1,2)^2*PI()/400,0)</f>
        <v/>
      </c>
      <c r="N73">
        <f>IFERROR(LEFT(LEFT(N72,FIND("+",N72&amp;"+")-1),FIND("t",LEFT(N72,FIND("+",N72&amp;"+")-1))-1)*MID(LEFT(N72,FIND("+",N72&amp;"+")-1),FIND("t",LEFT(N72,FIND("+",N72&amp;"+")-1))+1,2)^2*PI()/400,0)+IFERROR(LEFT(MID(N72,FIND("+",N72&amp;"+")+1,99),FIND("t",MID(N72,FIND("+",N72&amp;"+")+1,99))-1)*MID(MID(N72,FIND("+",N72&amp;"+")+1,99),FIND("t",MID(N72,FIND("+",N72&amp;"+")+1,99))+1,2)^2*PI()/400,0)</f>
        <v/>
      </c>
      <c r="O73">
        <f>IFERROR(LEFT(LEFT(O72,FIND("+",O72&amp;"+")-1),FIND("t",LEFT(O72,FIND("+",O72&amp;"+")-1))-1)*MID(LEFT(O72,FIND("+",O72&amp;"+")-1),FIND("t",LEFT(O72,FIND("+",O72&amp;"+")-1))+1,2)^2*PI()/400,0)+IFERROR(LEFT(MID(O72,FIND("+",O72&amp;"+")+1,99),FIND("t",MID(O72,FIND("+",O72&amp;"+")+1,99))-1)*MID(MID(O72,FIND("+",O72&amp;"+")+1,99),FIND("t",MID(O72,FIND("+",O72&amp;"+")+1,99))+1,2)^2*PI()/400,0)</f>
        <v/>
      </c>
      <c r="P73">
        <f>IFERROR(LEFT(LEFT(P72,FIND("+",P72&amp;"+")-1),FIND("t",LEFT(P72,FIND("+",P72&amp;"+")-1))-1)*MID(LEFT(P72,FIND("+",P72&amp;"+")-1),FIND("t",LEFT(P72,FIND("+",P72&amp;"+")-1))+1,2)^2*PI()/400,0)+IFERROR(LEFT(MID(P72,FIND("+",P72&amp;"+")+1,99),FIND("t",MID(P72,FIND("+",P72&amp;"+")+1,99))-1)*MID(MID(P72,FIND("+",P72&amp;"+")+1,99),FIND("t",MID(P72,FIND("+",P72&amp;"+")+1,99))+1,2)^2*PI()/400,0)</f>
        <v/>
      </c>
      <c r="Q73">
        <f>IFERROR(LEFT(LEFT(Q72,FIND("+",Q72&amp;"+")-1),FIND("t",LEFT(Q72,FIND("+",Q72&amp;"+")-1))-1)*MID(LEFT(Q72,FIND("+",Q72&amp;"+")-1),FIND("t",LEFT(Q72,FIND("+",Q72&amp;"+")-1))+1,2)^2*PI()/400,0)+IFERROR(LEFT(MID(Q72,FIND("+",Q72&amp;"+")+1,99),FIND("t",MID(Q72,FIND("+",Q72&amp;"+")+1,99))-1)*MID(MID(Q72,FIND("+",Q72&amp;"+")+1,99),FIND("t",MID(Q72,FIND("+",Q72&amp;"+")+1,99))+1,2)^2*PI()/400,0)</f>
        <v/>
      </c>
      <c r="R73">
        <f>IFERROR(LEFT(LEFT(R72,FIND("+",R72&amp;"+")-1),FIND("t",LEFT(R72,FIND("+",R72&amp;"+")-1))-1)*MID(LEFT(R72,FIND("+",R72&amp;"+")-1),FIND("t",LEFT(R72,FIND("+",R72&amp;"+")-1))+1,2)^2*PI()/400,0)+IFERROR(LEFT(MID(R72,FIND("+",R72&amp;"+")+1,99),FIND("t",MID(R72,FIND("+",R72&amp;"+")+1,99))-1)*MID(MID(R72,FIND("+",R72&amp;"+")+1,99),FIND("t",MID(R72,FIND("+",R72&amp;"+")+1,99))+1,2)^2*PI()/400,0)</f>
        <v/>
      </c>
      <c r="S73">
        <f>IFERROR(LEFT(LEFT(S72,FIND("+",S72&amp;"+")-1),FIND("t",LEFT(S72,FIND("+",S72&amp;"+")-1))-1)*MID(LEFT(S72,FIND("+",S72&amp;"+")-1),FIND("t",LEFT(S72,FIND("+",S72&amp;"+")-1))+1,2)^2*PI()/400,0)+IFERROR(LEFT(MID(S72,FIND("+",S72&amp;"+")+1,99),FIND("t",MID(S72,FIND("+",S72&amp;"+")+1,99))-1)*MID(MID(S72,FIND("+",S72&amp;"+")+1,99),FIND("t",MID(S72,FIND("+",S72&amp;"+")+1,99))+1,2)^2*PI()/400,0)</f>
        <v/>
      </c>
      <c r="T73">
        <f>IFERROR(LEFT(LEFT(T72,FIND("+",T72&amp;"+")-1),FIND("t",LEFT(T72,FIND("+",T72&amp;"+")-1))-1)*MID(LEFT(T72,FIND("+",T72&amp;"+")-1),FIND("t",LEFT(T72,FIND("+",T72&amp;"+")-1))+1,2)^2*PI()/400,0)+IFERROR(LEFT(MID(T72,FIND("+",T72&amp;"+")+1,99),FIND("t",MID(T72,FIND("+",T72&amp;"+")+1,99))-1)*MID(MID(T72,FIND("+",T72&amp;"+")+1,99),FIND("t",MID(T72,FIND("+",T72&amp;"+")+1,99))+1,2)^2*PI()/400,0)</f>
        <v/>
      </c>
      <c r="U73">
        <f>IFERROR(LEFT(LEFT(U72,FIND("+",U72&amp;"+")-1),FIND("t",LEFT(U72,FIND("+",U72&amp;"+")-1))-1)*MID(LEFT(U72,FIND("+",U72&amp;"+")-1),FIND("t",LEFT(U72,FIND("+",U72&amp;"+")-1))+1,2)^2*PI()/400,0)+IFERROR(LEFT(MID(U72,FIND("+",U72&amp;"+")+1,99),FIND("t",MID(U72,FIND("+",U72&amp;"+")+1,99))-1)*MID(MID(U72,FIND("+",U72&amp;"+")+1,99),FIND("t",MID(U72,FIND("+",U72&amp;"+")+1,99))+1,2)^2*PI()/400,0)</f>
        <v/>
      </c>
      <c r="V73">
        <f>IFERROR(LEFT(LEFT(V72,FIND("+",V72&amp;"+")-1),FIND("t",LEFT(V72,FIND("+",V72&amp;"+")-1))-1)*MID(LEFT(V72,FIND("+",V72&amp;"+")-1),FIND("t",LEFT(V72,FIND("+",V72&amp;"+")-1))+1,2)^2*PI()/400,0)+IFERROR(LEFT(MID(V72,FIND("+",V72&amp;"+")+1,99),FIND("t",MID(V72,FIND("+",V72&amp;"+")+1,99))-1)*MID(MID(V72,FIND("+",V72&amp;"+")+1,99),FIND("t",MID(V72,FIND("+",V72&amp;"+")+1,99))+1,2)^2*PI()/400,0)</f>
        <v/>
      </c>
      <c r="W73">
        <f>IFERROR(LEFT(LEFT(W72,FIND("+",W72&amp;"+")-1),FIND("t",LEFT(W72,FIND("+",W72&amp;"+")-1))-1)*MID(LEFT(W72,FIND("+",W72&amp;"+")-1),FIND("t",LEFT(W72,FIND("+",W72&amp;"+")-1))+1,2)^2*PI()/400,0)+IFERROR(LEFT(MID(W72,FIND("+",W72&amp;"+")+1,99),FIND("t",MID(W72,FIND("+",W72&amp;"+")+1,99))-1)*MID(MID(W72,FIND("+",W72&amp;"+")+1,99),FIND("t",MID(W72,FIND("+",W72&amp;"+")+1,99))+1,2)^2*PI()/400,0)</f>
        <v/>
      </c>
      <c r="X73">
        <f>IFERROR(LEFT(LEFT(X72,FIND("+",X72&amp;"+")-1),FIND("t",LEFT(X72,FIND("+",X72&amp;"+")-1))-1)*MID(LEFT(X72,FIND("+",X72&amp;"+")-1),FIND("t",LEFT(X72,FIND("+",X72&amp;"+")-1))+1,2)^2*PI()/400,0)+IFERROR(LEFT(MID(X72,FIND("+",X72&amp;"+")+1,99),FIND("t",MID(X72,FIND("+",X72&amp;"+")+1,99))-1)*MID(MID(X72,FIND("+",X72&amp;"+")+1,99),FIND("t",MID(X72,FIND("+",X72&amp;"+")+1,99))+1,2)^2*PI()/400,0)</f>
        <v/>
      </c>
      <c r="Y73">
        <f>IFERROR(LEFT(LEFT(Y72,FIND("+",Y72&amp;"+")-1),FIND("t",LEFT(Y72,FIND("+",Y72&amp;"+")-1))-1)*MID(LEFT(Y72,FIND("+",Y72&amp;"+")-1),FIND("t",LEFT(Y72,FIND("+",Y72&amp;"+")-1))+1,2)^2*PI()/400,0)+IFERROR(LEFT(MID(Y72,FIND("+",Y72&amp;"+")+1,99),FIND("t",MID(Y72,FIND("+",Y72&amp;"+")+1,99))-1)*MID(MID(Y72,FIND("+",Y72&amp;"+")+1,99),FIND("t",MID(Y72,FIND("+",Y72&amp;"+")+1,99))+1,2)^2*PI()/400,0)</f>
        <v/>
      </c>
      <c r="Z73">
        <f>IFERROR(LEFT(LEFT(Z72,FIND("+",Z72&amp;"+")-1),FIND("t",LEFT(Z72,FIND("+",Z72&amp;"+")-1))-1)*MID(LEFT(Z72,FIND("+",Z72&amp;"+")-1),FIND("t",LEFT(Z72,FIND("+",Z72&amp;"+")-1))+1,2)^2*PI()/400,0)+IFERROR(LEFT(MID(Z72,FIND("+",Z72&amp;"+")+1,99),FIND("t",MID(Z72,FIND("+",Z72&amp;"+")+1,99))-1)*MID(MID(Z72,FIND("+",Z72&amp;"+")+1,99),FIND("t",MID(Z72,FIND("+",Z72&amp;"+")+1,99))+1,2)^2*PI()/400,0)</f>
        <v/>
      </c>
      <c r="AA73">
        <f>IFERROR(LEFT(LEFT(AA72,FIND("+",AA72&amp;"+")-1),FIND("t",LEFT(AA72,FIND("+",AA72&amp;"+")-1))-1)*MID(LEFT(AA72,FIND("+",AA72&amp;"+")-1),FIND("t",LEFT(AA72,FIND("+",AA72&amp;"+")-1))+1,2)^2*PI()/400,0)+IFERROR(LEFT(MID(AA72,FIND("+",AA72&amp;"+")+1,99),FIND("t",MID(AA72,FIND("+",AA72&amp;"+")+1,99))-1)*MID(MID(AA72,FIND("+",AA72&amp;"+")+1,99),FIND("t",MID(AA72,FIND("+",AA72&amp;"+")+1,99))+1,2)^2*PI()/400,0)</f>
        <v/>
      </c>
      <c r="AB73">
        <f>IFERROR(LEFT(LEFT(AB72,FIND("+",AB72&amp;"+")-1),FIND("t",LEFT(AB72,FIND("+",AB72&amp;"+")-1))-1)*MID(LEFT(AB72,FIND("+",AB72&amp;"+")-1),FIND("t",LEFT(AB72,FIND("+",AB72&amp;"+")-1))+1,2)^2*PI()/400,0)+IFERROR(LEFT(MID(AB72,FIND("+",AB72&amp;"+")+1,99),FIND("t",MID(AB72,FIND("+",AB72&amp;"+")+1,99))-1)*MID(MID(AB72,FIND("+",AB72&amp;"+")+1,99),FIND("t",MID(AB72,FIND("+",AB72&amp;"+")+1,99))+1,2)^2*PI()/400,0)</f>
        <v/>
      </c>
      <c r="AC73">
        <f>IFERROR(LEFT(LEFT(AC72,FIND("+",AC72&amp;"+")-1),FIND("t",LEFT(AC72,FIND("+",AC72&amp;"+")-1))-1)*MID(LEFT(AC72,FIND("+",AC72&amp;"+")-1),FIND("t",LEFT(AC72,FIND("+",AC72&amp;"+")-1))+1,2)^2*PI()/400,0)+IFERROR(LEFT(MID(AC72,FIND("+",AC72&amp;"+")+1,99),FIND("t",MID(AC72,FIND("+",AC72&amp;"+")+1,99))-1)*MID(MID(AC72,FIND("+",AC72&amp;"+")+1,99),FIND("t",MID(AC72,FIND("+",AC72&amp;"+")+1,99))+1,2)^2*PI()/400,0)</f>
        <v/>
      </c>
      <c r="AD73">
        <f>IFERROR(LEFT(LEFT(AD72,FIND("+",AD72&amp;"+")-1),FIND("t",LEFT(AD72,FIND("+",AD72&amp;"+")-1))-1)*MID(LEFT(AD72,FIND("+",AD72&amp;"+")-1),FIND("t",LEFT(AD72,FIND("+",AD72&amp;"+")-1))+1,2)^2*PI()/400,0)+IFERROR(LEFT(MID(AD72,FIND("+",AD72&amp;"+")+1,99),FIND("t",MID(AD72,FIND("+",AD72&amp;"+")+1,99))-1)*MID(MID(AD72,FIND("+",AD72&amp;"+")+1,99),FIND("t",MID(AD72,FIND("+",AD72&amp;"+")+1,99))+1,2)^2*PI()/400,0)</f>
        <v/>
      </c>
      <c r="AE73">
        <f>IFERROR(LEFT(LEFT(AE72,FIND("+",AE72&amp;"+")-1),FIND("t",LEFT(AE72,FIND("+",AE72&amp;"+")-1))-1)*MID(LEFT(AE72,FIND("+",AE72&amp;"+")-1),FIND("t",LEFT(AE72,FIND("+",AE72&amp;"+")-1))+1,2)^2*PI()/400,0)+IFERROR(LEFT(MID(AE72,FIND("+",AE72&amp;"+")+1,99),FIND("t",MID(AE72,FIND("+",AE72&amp;"+")+1,99))-1)*MID(MID(AE72,FIND("+",AE72&amp;"+")+1,99),FIND("t",MID(AE72,FIND("+",AE72&amp;"+")+1,99))+1,2)^2*PI()/400,0)</f>
        <v/>
      </c>
      <c r="AF73">
        <f>IFERROR(LEFT(LEFT(AF72,FIND("+",AF72&amp;"+")-1),FIND("t",LEFT(AF72,FIND("+",AF72&amp;"+")-1))-1)*MID(LEFT(AF72,FIND("+",AF72&amp;"+")-1),FIND("t",LEFT(AF72,FIND("+",AF72&amp;"+")-1))+1,2)^2*PI()/400,0)+IFERROR(LEFT(MID(AF72,FIND("+",AF72&amp;"+")+1,99),FIND("t",MID(AF72,FIND("+",AF72&amp;"+")+1,99))-1)*MID(MID(AF72,FIND("+",AF72&amp;"+")+1,99),FIND("t",MID(AF72,FIND("+",AF72&amp;"+")+1,99))+1,2)^2*PI()/400,0)</f>
        <v/>
      </c>
      <c r="AG73">
        <f>IFERROR(LEFT(LEFT(AG72,FIND("+",AG72&amp;"+")-1),FIND("t",LEFT(AG72,FIND("+",AG72&amp;"+")-1))-1)*MID(LEFT(AG72,FIND("+",AG72&amp;"+")-1),FIND("t",LEFT(AG72,FIND("+",AG72&amp;"+")-1))+1,2)^2*PI()/400,0)+IFERROR(LEFT(MID(AG72,FIND("+",AG72&amp;"+")+1,99),FIND("t",MID(AG72,FIND("+",AG72&amp;"+")+1,99))-1)*MID(MID(AG72,FIND("+",AG72&amp;"+")+1,99),FIND("t",MID(AG72,FIND("+",AG72&amp;"+")+1,99))+1,2)^2*PI()/400,0)</f>
        <v/>
      </c>
    </row>
    <row r="74" hidden="1" outlineLevel="1">
      <c r="A74" s="60" t="inlineStr">
        <is>
          <t>(phụ trợ) N_T1R</t>
        </is>
      </c>
      <c r="C74">
        <f>SUBSTITUTE(SUBSTITUTE(SUBSTITUTE(SUBSTITUTE(SUBSTITUTE(SUBSTITUTE(LOWER(IF(ISNUMBER(FIND(";",C13)),MID(C13,FIND(";",C13)+1,99),C13))," ",""),"%%c","t"),"ø","t"),"φ","t"),"f","t"),"d","t")</f>
        <v/>
      </c>
      <c r="D74">
        <f>SUBSTITUTE(SUBSTITUTE(SUBSTITUTE(SUBSTITUTE(SUBSTITUTE(SUBSTITUTE(LOWER(IF(ISNUMBER(FIND(";",D13)),MID(D13,FIND(";",D13)+1,99),D13))," ",""),"%%c","t"),"ø","t"),"φ","t"),"f","t"),"d","t")</f>
        <v/>
      </c>
      <c r="E74">
        <f>SUBSTITUTE(SUBSTITUTE(SUBSTITUTE(SUBSTITUTE(SUBSTITUTE(SUBSTITUTE(LOWER(IF(ISNUMBER(FIND(";",E13)),MID(E13,FIND(";",E13)+1,99),E13))," ",""),"%%c","t"),"ø","t"),"φ","t"),"f","t"),"d","t")</f>
        <v/>
      </c>
      <c r="F74">
        <f>SUBSTITUTE(SUBSTITUTE(SUBSTITUTE(SUBSTITUTE(SUBSTITUTE(SUBSTITUTE(LOWER(IF(ISNUMBER(FIND(";",F13)),MID(F13,FIND(";",F13)+1,99),F13))," ",""),"%%c","t"),"ø","t"),"φ","t"),"f","t"),"d","t")</f>
        <v/>
      </c>
      <c r="G74">
        <f>SUBSTITUTE(SUBSTITUTE(SUBSTITUTE(SUBSTITUTE(SUBSTITUTE(SUBSTITUTE(LOWER(IF(ISNUMBER(FIND(";",G13)),MID(G13,FIND(";",G13)+1,99),G13))," ",""),"%%c","t"),"ø","t"),"φ","t"),"f","t"),"d","t")</f>
        <v/>
      </c>
      <c r="H74">
        <f>SUBSTITUTE(SUBSTITUTE(SUBSTITUTE(SUBSTITUTE(SUBSTITUTE(SUBSTITUTE(LOWER(IF(ISNUMBER(FIND(";",H13)),MID(H13,FIND(";",H13)+1,99),H13))," ",""),"%%c","t"),"ø","t"),"φ","t"),"f","t"),"d","t")</f>
        <v/>
      </c>
      <c r="I74">
        <f>SUBSTITUTE(SUBSTITUTE(SUBSTITUTE(SUBSTITUTE(SUBSTITUTE(SUBSTITUTE(LOWER(IF(ISNUMBER(FIND(";",I13)),MID(I13,FIND(";",I13)+1,99),I13))," ",""),"%%c","t"),"ø","t"),"φ","t"),"f","t"),"d","t")</f>
        <v/>
      </c>
      <c r="J74">
        <f>SUBSTITUTE(SUBSTITUTE(SUBSTITUTE(SUBSTITUTE(SUBSTITUTE(SUBSTITUTE(LOWER(IF(ISNUMBER(FIND(";",J13)),MID(J13,FIND(";",J13)+1,99),J13))," ",""),"%%c","t"),"ø","t"),"φ","t"),"f","t"),"d","t")</f>
        <v/>
      </c>
      <c r="K74">
        <f>SUBSTITUTE(SUBSTITUTE(SUBSTITUTE(SUBSTITUTE(SUBSTITUTE(SUBSTITUTE(LOWER(IF(ISNUMBER(FIND(";",K13)),MID(K13,FIND(";",K13)+1,99),K13))," ",""),"%%c","t"),"ø","t"),"φ","t"),"f","t"),"d","t")</f>
        <v/>
      </c>
      <c r="L74">
        <f>SUBSTITUTE(SUBSTITUTE(SUBSTITUTE(SUBSTITUTE(SUBSTITUTE(SUBSTITUTE(LOWER(IF(ISNUMBER(FIND(";",L13)),MID(L13,FIND(";",L13)+1,99),L13))," ",""),"%%c","t"),"ø","t"),"φ","t"),"f","t"),"d","t")</f>
        <v/>
      </c>
      <c r="M74">
        <f>SUBSTITUTE(SUBSTITUTE(SUBSTITUTE(SUBSTITUTE(SUBSTITUTE(SUBSTITUTE(LOWER(IF(ISNUMBER(FIND(";",M13)),MID(M13,FIND(";",M13)+1,99),M13))," ",""),"%%c","t"),"ø","t"),"φ","t"),"f","t"),"d","t")</f>
        <v/>
      </c>
      <c r="N74">
        <f>SUBSTITUTE(SUBSTITUTE(SUBSTITUTE(SUBSTITUTE(SUBSTITUTE(SUBSTITUTE(LOWER(IF(ISNUMBER(FIND(";",N13)),MID(N13,FIND(";",N13)+1,99),N13))," ",""),"%%c","t"),"ø","t"),"φ","t"),"f","t"),"d","t")</f>
        <v/>
      </c>
      <c r="O74">
        <f>SUBSTITUTE(SUBSTITUTE(SUBSTITUTE(SUBSTITUTE(SUBSTITUTE(SUBSTITUTE(LOWER(IF(ISNUMBER(FIND(";",O13)),MID(O13,FIND(";",O13)+1,99),O13))," ",""),"%%c","t"),"ø","t"),"φ","t"),"f","t"),"d","t")</f>
        <v/>
      </c>
      <c r="P74">
        <f>SUBSTITUTE(SUBSTITUTE(SUBSTITUTE(SUBSTITUTE(SUBSTITUTE(SUBSTITUTE(LOWER(IF(ISNUMBER(FIND(";",P13)),MID(P13,FIND(";",P13)+1,99),P13))," ",""),"%%c","t"),"ø","t"),"φ","t"),"f","t"),"d","t")</f>
        <v/>
      </c>
      <c r="Q74">
        <f>SUBSTITUTE(SUBSTITUTE(SUBSTITUTE(SUBSTITUTE(SUBSTITUTE(SUBSTITUTE(LOWER(IF(ISNUMBER(FIND(";",Q13)),MID(Q13,FIND(";",Q13)+1,99),Q13))," ",""),"%%c","t"),"ø","t"),"φ","t"),"f","t"),"d","t")</f>
        <v/>
      </c>
      <c r="R74">
        <f>SUBSTITUTE(SUBSTITUTE(SUBSTITUTE(SUBSTITUTE(SUBSTITUTE(SUBSTITUTE(LOWER(IF(ISNUMBER(FIND(";",R13)),MID(R13,FIND(";",R13)+1,99),R13))," ",""),"%%c","t"),"ø","t"),"φ","t"),"f","t"),"d","t")</f>
        <v/>
      </c>
      <c r="S74">
        <f>SUBSTITUTE(SUBSTITUTE(SUBSTITUTE(SUBSTITUTE(SUBSTITUTE(SUBSTITUTE(LOWER(IF(ISNUMBER(FIND(";",S13)),MID(S13,FIND(";",S13)+1,99),S13))," ",""),"%%c","t"),"ø","t"),"φ","t"),"f","t"),"d","t")</f>
        <v/>
      </c>
      <c r="T74">
        <f>SUBSTITUTE(SUBSTITUTE(SUBSTITUTE(SUBSTITUTE(SUBSTITUTE(SUBSTITUTE(LOWER(IF(ISNUMBER(FIND(";",T13)),MID(T13,FIND(";",T13)+1,99),T13))," ",""),"%%c","t"),"ø","t"),"φ","t"),"f","t"),"d","t")</f>
        <v/>
      </c>
      <c r="U74">
        <f>SUBSTITUTE(SUBSTITUTE(SUBSTITUTE(SUBSTITUTE(SUBSTITUTE(SUBSTITUTE(LOWER(IF(ISNUMBER(FIND(";",U13)),MID(U13,FIND(";",U13)+1,99),U13))," ",""),"%%c","t"),"ø","t"),"φ","t"),"f","t"),"d","t")</f>
        <v/>
      </c>
      <c r="V74">
        <f>SUBSTITUTE(SUBSTITUTE(SUBSTITUTE(SUBSTITUTE(SUBSTITUTE(SUBSTITUTE(LOWER(IF(ISNUMBER(FIND(";",V13)),MID(V13,FIND(";",V13)+1,99),V13))," ",""),"%%c","t"),"ø","t"),"φ","t"),"f","t"),"d","t")</f>
        <v/>
      </c>
      <c r="W74">
        <f>SUBSTITUTE(SUBSTITUTE(SUBSTITUTE(SUBSTITUTE(SUBSTITUTE(SUBSTITUTE(LOWER(IF(ISNUMBER(FIND(";",W13)),MID(W13,FIND(";",W13)+1,99),W13))," ",""),"%%c","t"),"ø","t"),"φ","t"),"f","t"),"d","t")</f>
        <v/>
      </c>
      <c r="X74">
        <f>SUBSTITUTE(SUBSTITUTE(SUBSTITUTE(SUBSTITUTE(SUBSTITUTE(SUBSTITUTE(LOWER(IF(ISNUMBER(FIND(";",X13)),MID(X13,FIND(";",X13)+1,99),X13))," ",""),"%%c","t"),"ø","t"),"φ","t"),"f","t"),"d","t")</f>
        <v/>
      </c>
      <c r="Y74">
        <f>SUBSTITUTE(SUBSTITUTE(SUBSTITUTE(SUBSTITUTE(SUBSTITUTE(SUBSTITUTE(LOWER(IF(ISNUMBER(FIND(";",Y13)),MID(Y13,FIND(";",Y13)+1,99),Y13))," ",""),"%%c","t"),"ø","t"),"φ","t"),"f","t"),"d","t")</f>
        <v/>
      </c>
      <c r="Z74">
        <f>SUBSTITUTE(SUBSTITUTE(SUBSTITUTE(SUBSTITUTE(SUBSTITUTE(SUBSTITUTE(LOWER(IF(ISNUMBER(FIND(";",Z13)),MID(Z13,FIND(";",Z13)+1,99),Z13))," ",""),"%%c","t"),"ø","t"),"φ","t"),"f","t"),"d","t")</f>
        <v/>
      </c>
      <c r="AA74">
        <f>SUBSTITUTE(SUBSTITUTE(SUBSTITUTE(SUBSTITUTE(SUBSTITUTE(SUBSTITUTE(LOWER(IF(ISNUMBER(FIND(";",AA13)),MID(AA13,FIND(";",AA13)+1,99),AA13))," ",""),"%%c","t"),"ø","t"),"φ","t"),"f","t"),"d","t")</f>
        <v/>
      </c>
      <c r="AB74">
        <f>SUBSTITUTE(SUBSTITUTE(SUBSTITUTE(SUBSTITUTE(SUBSTITUTE(SUBSTITUTE(LOWER(IF(ISNUMBER(FIND(";",AB13)),MID(AB13,FIND(";",AB13)+1,99),AB13))," ",""),"%%c","t"),"ø","t"),"φ","t"),"f","t"),"d","t")</f>
        <v/>
      </c>
      <c r="AC74">
        <f>SUBSTITUTE(SUBSTITUTE(SUBSTITUTE(SUBSTITUTE(SUBSTITUTE(SUBSTITUTE(LOWER(IF(ISNUMBER(FIND(";",AC13)),MID(AC13,FIND(";",AC13)+1,99),AC13))," ",""),"%%c","t"),"ø","t"),"φ","t"),"f","t"),"d","t")</f>
        <v/>
      </c>
      <c r="AD74">
        <f>SUBSTITUTE(SUBSTITUTE(SUBSTITUTE(SUBSTITUTE(SUBSTITUTE(SUBSTITUTE(LOWER(IF(ISNUMBER(FIND(";",AD13)),MID(AD13,FIND(";",AD13)+1,99),AD13))," ",""),"%%c","t"),"ø","t"),"φ","t"),"f","t"),"d","t")</f>
        <v/>
      </c>
      <c r="AE74">
        <f>SUBSTITUTE(SUBSTITUTE(SUBSTITUTE(SUBSTITUTE(SUBSTITUTE(SUBSTITUTE(LOWER(IF(ISNUMBER(FIND(";",AE13)),MID(AE13,FIND(";",AE13)+1,99),AE13))," ",""),"%%c","t"),"ø","t"),"φ","t"),"f","t"),"d","t")</f>
        <v/>
      </c>
      <c r="AF74">
        <f>SUBSTITUTE(SUBSTITUTE(SUBSTITUTE(SUBSTITUTE(SUBSTITUTE(SUBSTITUTE(LOWER(IF(ISNUMBER(FIND(";",AF13)),MID(AF13,FIND(";",AF13)+1,99),AF13))," ",""),"%%c","t"),"ø","t"),"φ","t"),"f","t"),"d","t")</f>
        <v/>
      </c>
      <c r="AG74">
        <f>SUBSTITUTE(SUBSTITUTE(SUBSTITUTE(SUBSTITUTE(SUBSTITUTE(SUBSTITUTE(LOWER(IF(ISNUMBER(FIND(";",AG13)),MID(AG13,FIND(";",AG13)+1,99),AG13))," ",""),"%%c","t"),"ø","t"),"φ","t"),"f","t"),"d","t")</f>
        <v/>
      </c>
    </row>
    <row r="75" hidden="1" outlineLevel="1">
      <c r="A75" s="60" t="inlineStr">
        <is>
          <t>(phụ trợ) A_T1R</t>
        </is>
      </c>
      <c r="C75">
        <f>IFERROR(LEFT(LEFT(C74,FIND("+",C74&amp;"+")-1),FIND("t",LEFT(C74,FIND("+",C74&amp;"+")-1))-1)*MID(LEFT(C74,FIND("+",C74&amp;"+")-1),FIND("t",LEFT(C74,FIND("+",C74&amp;"+")-1))+1,2)^2*PI()/400,0)+IFERROR(LEFT(MID(C74,FIND("+",C74&amp;"+")+1,99),FIND("t",MID(C74,FIND("+",C74&amp;"+")+1,99))-1)*MID(MID(C74,FIND("+",C74&amp;"+")+1,99),FIND("t",MID(C74,FIND("+",C74&amp;"+")+1,99))+1,2)^2*PI()/400,0)</f>
        <v/>
      </c>
      <c r="D75">
        <f>IFERROR(LEFT(LEFT(D74,FIND("+",D74&amp;"+")-1),FIND("t",LEFT(D74,FIND("+",D74&amp;"+")-1))-1)*MID(LEFT(D74,FIND("+",D74&amp;"+")-1),FIND("t",LEFT(D74,FIND("+",D74&amp;"+")-1))+1,2)^2*PI()/400,0)+IFERROR(LEFT(MID(D74,FIND("+",D74&amp;"+")+1,99),FIND("t",MID(D74,FIND("+",D74&amp;"+")+1,99))-1)*MID(MID(D74,FIND("+",D74&amp;"+")+1,99),FIND("t",MID(D74,FIND("+",D74&amp;"+")+1,99))+1,2)^2*PI()/400,0)</f>
        <v/>
      </c>
      <c r="E75">
        <f>IFERROR(LEFT(LEFT(E74,FIND("+",E74&amp;"+")-1),FIND("t",LEFT(E74,FIND("+",E74&amp;"+")-1))-1)*MID(LEFT(E74,FIND("+",E74&amp;"+")-1),FIND("t",LEFT(E74,FIND("+",E74&amp;"+")-1))+1,2)^2*PI()/400,0)+IFERROR(LEFT(MID(E74,FIND("+",E74&amp;"+")+1,99),FIND("t",MID(E74,FIND("+",E74&amp;"+")+1,99))-1)*MID(MID(E74,FIND("+",E74&amp;"+")+1,99),FIND("t",MID(E74,FIND("+",E74&amp;"+")+1,99))+1,2)^2*PI()/400,0)</f>
        <v/>
      </c>
      <c r="F75">
        <f>IFERROR(LEFT(LEFT(F74,FIND("+",F74&amp;"+")-1),FIND("t",LEFT(F74,FIND("+",F74&amp;"+")-1))-1)*MID(LEFT(F74,FIND("+",F74&amp;"+")-1),FIND("t",LEFT(F74,FIND("+",F74&amp;"+")-1))+1,2)^2*PI()/400,0)+IFERROR(LEFT(MID(F74,FIND("+",F74&amp;"+")+1,99),FIND("t",MID(F74,FIND("+",F74&amp;"+")+1,99))-1)*MID(MID(F74,FIND("+",F74&amp;"+")+1,99),FIND("t",MID(F74,FIND("+",F74&amp;"+")+1,99))+1,2)^2*PI()/400,0)</f>
        <v/>
      </c>
      <c r="G75">
        <f>IFERROR(LEFT(LEFT(G74,FIND("+",G74&amp;"+")-1),FIND("t",LEFT(G74,FIND("+",G74&amp;"+")-1))-1)*MID(LEFT(G74,FIND("+",G74&amp;"+")-1),FIND("t",LEFT(G74,FIND("+",G74&amp;"+")-1))+1,2)^2*PI()/400,0)+IFERROR(LEFT(MID(G74,FIND("+",G74&amp;"+")+1,99),FIND("t",MID(G74,FIND("+",G74&amp;"+")+1,99))-1)*MID(MID(G74,FIND("+",G74&amp;"+")+1,99),FIND("t",MID(G74,FIND("+",G74&amp;"+")+1,99))+1,2)^2*PI()/400,0)</f>
        <v/>
      </c>
      <c r="H75">
        <f>IFERROR(LEFT(LEFT(H74,FIND("+",H74&amp;"+")-1),FIND("t",LEFT(H74,FIND("+",H74&amp;"+")-1))-1)*MID(LEFT(H74,FIND("+",H74&amp;"+")-1),FIND("t",LEFT(H74,FIND("+",H74&amp;"+")-1))+1,2)^2*PI()/400,0)+IFERROR(LEFT(MID(H74,FIND("+",H74&amp;"+")+1,99),FIND("t",MID(H74,FIND("+",H74&amp;"+")+1,99))-1)*MID(MID(H74,FIND("+",H74&amp;"+")+1,99),FIND("t",MID(H74,FIND("+",H74&amp;"+")+1,99))+1,2)^2*PI()/400,0)</f>
        <v/>
      </c>
      <c r="I75">
        <f>IFERROR(LEFT(LEFT(I74,FIND("+",I74&amp;"+")-1),FIND("t",LEFT(I74,FIND("+",I74&amp;"+")-1))-1)*MID(LEFT(I74,FIND("+",I74&amp;"+")-1),FIND("t",LEFT(I74,FIND("+",I74&amp;"+")-1))+1,2)^2*PI()/400,0)+IFERROR(LEFT(MID(I74,FIND("+",I74&amp;"+")+1,99),FIND("t",MID(I74,FIND("+",I74&amp;"+")+1,99))-1)*MID(MID(I74,FIND("+",I74&amp;"+")+1,99),FIND("t",MID(I74,FIND("+",I74&amp;"+")+1,99))+1,2)^2*PI()/400,0)</f>
        <v/>
      </c>
      <c r="J75">
        <f>IFERROR(LEFT(LEFT(J74,FIND("+",J74&amp;"+")-1),FIND("t",LEFT(J74,FIND("+",J74&amp;"+")-1))-1)*MID(LEFT(J74,FIND("+",J74&amp;"+")-1),FIND("t",LEFT(J74,FIND("+",J74&amp;"+")-1))+1,2)^2*PI()/400,0)+IFERROR(LEFT(MID(J74,FIND("+",J74&amp;"+")+1,99),FIND("t",MID(J74,FIND("+",J74&amp;"+")+1,99))-1)*MID(MID(J74,FIND("+",J74&amp;"+")+1,99),FIND("t",MID(J74,FIND("+",J74&amp;"+")+1,99))+1,2)^2*PI()/400,0)</f>
        <v/>
      </c>
      <c r="K75">
        <f>IFERROR(LEFT(LEFT(K74,FIND("+",K74&amp;"+")-1),FIND("t",LEFT(K74,FIND("+",K74&amp;"+")-1))-1)*MID(LEFT(K74,FIND("+",K74&amp;"+")-1),FIND("t",LEFT(K74,FIND("+",K74&amp;"+")-1))+1,2)^2*PI()/400,0)+IFERROR(LEFT(MID(K74,FIND("+",K74&amp;"+")+1,99),FIND("t",MID(K74,FIND("+",K74&amp;"+")+1,99))-1)*MID(MID(K74,FIND("+",K74&amp;"+")+1,99),FIND("t",MID(K74,FIND("+",K74&amp;"+")+1,99))+1,2)^2*PI()/400,0)</f>
        <v/>
      </c>
      <c r="L75">
        <f>IFERROR(LEFT(LEFT(L74,FIND("+",L74&amp;"+")-1),FIND("t",LEFT(L74,FIND("+",L74&amp;"+")-1))-1)*MID(LEFT(L74,FIND("+",L74&amp;"+")-1),FIND("t",LEFT(L74,FIND("+",L74&amp;"+")-1))+1,2)^2*PI()/400,0)+IFERROR(LEFT(MID(L74,FIND("+",L74&amp;"+")+1,99),FIND("t",MID(L74,FIND("+",L74&amp;"+")+1,99))-1)*MID(MID(L74,FIND("+",L74&amp;"+")+1,99),FIND("t",MID(L74,FIND("+",L74&amp;"+")+1,99))+1,2)^2*PI()/400,0)</f>
        <v/>
      </c>
      <c r="M75">
        <f>IFERROR(LEFT(LEFT(M74,FIND("+",M74&amp;"+")-1),FIND("t",LEFT(M74,FIND("+",M74&amp;"+")-1))-1)*MID(LEFT(M74,FIND("+",M74&amp;"+")-1),FIND("t",LEFT(M74,FIND("+",M74&amp;"+")-1))+1,2)^2*PI()/400,0)+IFERROR(LEFT(MID(M74,FIND("+",M74&amp;"+")+1,99),FIND("t",MID(M74,FIND("+",M74&amp;"+")+1,99))-1)*MID(MID(M74,FIND("+",M74&amp;"+")+1,99),FIND("t",MID(M74,FIND("+",M74&amp;"+")+1,99))+1,2)^2*PI()/400,0)</f>
        <v/>
      </c>
      <c r="N75">
        <f>IFERROR(LEFT(LEFT(N74,FIND("+",N74&amp;"+")-1),FIND("t",LEFT(N74,FIND("+",N74&amp;"+")-1))-1)*MID(LEFT(N74,FIND("+",N74&amp;"+")-1),FIND("t",LEFT(N74,FIND("+",N74&amp;"+")-1))+1,2)^2*PI()/400,0)+IFERROR(LEFT(MID(N74,FIND("+",N74&amp;"+")+1,99),FIND("t",MID(N74,FIND("+",N74&amp;"+")+1,99))-1)*MID(MID(N74,FIND("+",N74&amp;"+")+1,99),FIND("t",MID(N74,FIND("+",N74&amp;"+")+1,99))+1,2)^2*PI()/400,0)</f>
        <v/>
      </c>
      <c r="O75">
        <f>IFERROR(LEFT(LEFT(O74,FIND("+",O74&amp;"+")-1),FIND("t",LEFT(O74,FIND("+",O74&amp;"+")-1))-1)*MID(LEFT(O74,FIND("+",O74&amp;"+")-1),FIND("t",LEFT(O74,FIND("+",O74&amp;"+")-1))+1,2)^2*PI()/400,0)+IFERROR(LEFT(MID(O74,FIND("+",O74&amp;"+")+1,99),FIND("t",MID(O74,FIND("+",O74&amp;"+")+1,99))-1)*MID(MID(O74,FIND("+",O74&amp;"+")+1,99),FIND("t",MID(O74,FIND("+",O74&amp;"+")+1,99))+1,2)^2*PI()/400,0)</f>
        <v/>
      </c>
      <c r="P75">
        <f>IFERROR(LEFT(LEFT(P74,FIND("+",P74&amp;"+")-1),FIND("t",LEFT(P74,FIND("+",P74&amp;"+")-1))-1)*MID(LEFT(P74,FIND("+",P74&amp;"+")-1),FIND("t",LEFT(P74,FIND("+",P74&amp;"+")-1))+1,2)^2*PI()/400,0)+IFERROR(LEFT(MID(P74,FIND("+",P74&amp;"+")+1,99),FIND("t",MID(P74,FIND("+",P74&amp;"+")+1,99))-1)*MID(MID(P74,FIND("+",P74&amp;"+")+1,99),FIND("t",MID(P74,FIND("+",P74&amp;"+")+1,99))+1,2)^2*PI()/400,0)</f>
        <v/>
      </c>
      <c r="Q75">
        <f>IFERROR(LEFT(LEFT(Q74,FIND("+",Q74&amp;"+")-1),FIND("t",LEFT(Q74,FIND("+",Q74&amp;"+")-1))-1)*MID(LEFT(Q74,FIND("+",Q74&amp;"+")-1),FIND("t",LEFT(Q74,FIND("+",Q74&amp;"+")-1))+1,2)^2*PI()/400,0)+IFERROR(LEFT(MID(Q74,FIND("+",Q74&amp;"+")+1,99),FIND("t",MID(Q74,FIND("+",Q74&amp;"+")+1,99))-1)*MID(MID(Q74,FIND("+",Q74&amp;"+")+1,99),FIND("t",MID(Q74,FIND("+",Q74&amp;"+")+1,99))+1,2)^2*PI()/400,0)</f>
        <v/>
      </c>
      <c r="R75">
        <f>IFERROR(LEFT(LEFT(R74,FIND("+",R74&amp;"+")-1),FIND("t",LEFT(R74,FIND("+",R74&amp;"+")-1))-1)*MID(LEFT(R74,FIND("+",R74&amp;"+")-1),FIND("t",LEFT(R74,FIND("+",R74&amp;"+")-1))+1,2)^2*PI()/400,0)+IFERROR(LEFT(MID(R74,FIND("+",R74&amp;"+")+1,99),FIND("t",MID(R74,FIND("+",R74&amp;"+")+1,99))-1)*MID(MID(R74,FIND("+",R74&amp;"+")+1,99),FIND("t",MID(R74,FIND("+",R74&amp;"+")+1,99))+1,2)^2*PI()/400,0)</f>
        <v/>
      </c>
      <c r="S75">
        <f>IFERROR(LEFT(LEFT(S74,FIND("+",S74&amp;"+")-1),FIND("t",LEFT(S74,FIND("+",S74&amp;"+")-1))-1)*MID(LEFT(S74,FIND("+",S74&amp;"+")-1),FIND("t",LEFT(S74,FIND("+",S74&amp;"+")-1))+1,2)^2*PI()/400,0)+IFERROR(LEFT(MID(S74,FIND("+",S74&amp;"+")+1,99),FIND("t",MID(S74,FIND("+",S74&amp;"+")+1,99))-1)*MID(MID(S74,FIND("+",S74&amp;"+")+1,99),FIND("t",MID(S74,FIND("+",S74&amp;"+")+1,99))+1,2)^2*PI()/400,0)</f>
        <v/>
      </c>
      <c r="T75">
        <f>IFERROR(LEFT(LEFT(T74,FIND("+",T74&amp;"+")-1),FIND("t",LEFT(T74,FIND("+",T74&amp;"+")-1))-1)*MID(LEFT(T74,FIND("+",T74&amp;"+")-1),FIND("t",LEFT(T74,FIND("+",T74&amp;"+")-1))+1,2)^2*PI()/400,0)+IFERROR(LEFT(MID(T74,FIND("+",T74&amp;"+")+1,99),FIND("t",MID(T74,FIND("+",T74&amp;"+")+1,99))-1)*MID(MID(T74,FIND("+",T74&amp;"+")+1,99),FIND("t",MID(T74,FIND("+",T74&amp;"+")+1,99))+1,2)^2*PI()/400,0)</f>
        <v/>
      </c>
      <c r="U75">
        <f>IFERROR(LEFT(LEFT(U74,FIND("+",U74&amp;"+")-1),FIND("t",LEFT(U74,FIND("+",U74&amp;"+")-1))-1)*MID(LEFT(U74,FIND("+",U74&amp;"+")-1),FIND("t",LEFT(U74,FIND("+",U74&amp;"+")-1))+1,2)^2*PI()/400,0)+IFERROR(LEFT(MID(U74,FIND("+",U74&amp;"+")+1,99),FIND("t",MID(U74,FIND("+",U74&amp;"+")+1,99))-1)*MID(MID(U74,FIND("+",U74&amp;"+")+1,99),FIND("t",MID(U74,FIND("+",U74&amp;"+")+1,99))+1,2)^2*PI()/400,0)</f>
        <v/>
      </c>
      <c r="V75">
        <f>IFERROR(LEFT(LEFT(V74,FIND("+",V74&amp;"+")-1),FIND("t",LEFT(V74,FIND("+",V74&amp;"+")-1))-1)*MID(LEFT(V74,FIND("+",V74&amp;"+")-1),FIND("t",LEFT(V74,FIND("+",V74&amp;"+")-1))+1,2)^2*PI()/400,0)+IFERROR(LEFT(MID(V74,FIND("+",V74&amp;"+")+1,99),FIND("t",MID(V74,FIND("+",V74&amp;"+")+1,99))-1)*MID(MID(V74,FIND("+",V74&amp;"+")+1,99),FIND("t",MID(V74,FIND("+",V74&amp;"+")+1,99))+1,2)^2*PI()/400,0)</f>
        <v/>
      </c>
      <c r="W75">
        <f>IFERROR(LEFT(LEFT(W74,FIND("+",W74&amp;"+")-1),FIND("t",LEFT(W74,FIND("+",W74&amp;"+")-1))-1)*MID(LEFT(W74,FIND("+",W74&amp;"+")-1),FIND("t",LEFT(W74,FIND("+",W74&amp;"+")-1))+1,2)^2*PI()/400,0)+IFERROR(LEFT(MID(W74,FIND("+",W74&amp;"+")+1,99),FIND("t",MID(W74,FIND("+",W74&amp;"+")+1,99))-1)*MID(MID(W74,FIND("+",W74&amp;"+")+1,99),FIND("t",MID(W74,FIND("+",W74&amp;"+")+1,99))+1,2)^2*PI()/400,0)</f>
        <v/>
      </c>
      <c r="X75">
        <f>IFERROR(LEFT(LEFT(X74,FIND("+",X74&amp;"+")-1),FIND("t",LEFT(X74,FIND("+",X74&amp;"+")-1))-1)*MID(LEFT(X74,FIND("+",X74&amp;"+")-1),FIND("t",LEFT(X74,FIND("+",X74&amp;"+")-1))+1,2)^2*PI()/400,0)+IFERROR(LEFT(MID(X74,FIND("+",X74&amp;"+")+1,99),FIND("t",MID(X74,FIND("+",X74&amp;"+")+1,99))-1)*MID(MID(X74,FIND("+",X74&amp;"+")+1,99),FIND("t",MID(X74,FIND("+",X74&amp;"+")+1,99))+1,2)^2*PI()/400,0)</f>
        <v/>
      </c>
      <c r="Y75">
        <f>IFERROR(LEFT(LEFT(Y74,FIND("+",Y74&amp;"+")-1),FIND("t",LEFT(Y74,FIND("+",Y74&amp;"+")-1))-1)*MID(LEFT(Y74,FIND("+",Y74&amp;"+")-1),FIND("t",LEFT(Y74,FIND("+",Y74&amp;"+")-1))+1,2)^2*PI()/400,0)+IFERROR(LEFT(MID(Y74,FIND("+",Y74&amp;"+")+1,99),FIND("t",MID(Y74,FIND("+",Y74&amp;"+")+1,99))-1)*MID(MID(Y74,FIND("+",Y74&amp;"+")+1,99),FIND("t",MID(Y74,FIND("+",Y74&amp;"+")+1,99))+1,2)^2*PI()/400,0)</f>
        <v/>
      </c>
      <c r="Z75">
        <f>IFERROR(LEFT(LEFT(Z74,FIND("+",Z74&amp;"+")-1),FIND("t",LEFT(Z74,FIND("+",Z74&amp;"+")-1))-1)*MID(LEFT(Z74,FIND("+",Z74&amp;"+")-1),FIND("t",LEFT(Z74,FIND("+",Z74&amp;"+")-1))+1,2)^2*PI()/400,0)+IFERROR(LEFT(MID(Z74,FIND("+",Z74&amp;"+")+1,99),FIND("t",MID(Z74,FIND("+",Z74&amp;"+")+1,99))-1)*MID(MID(Z74,FIND("+",Z74&amp;"+")+1,99),FIND("t",MID(Z74,FIND("+",Z74&amp;"+")+1,99))+1,2)^2*PI()/400,0)</f>
        <v/>
      </c>
      <c r="AA75">
        <f>IFERROR(LEFT(LEFT(AA74,FIND("+",AA74&amp;"+")-1),FIND("t",LEFT(AA74,FIND("+",AA74&amp;"+")-1))-1)*MID(LEFT(AA74,FIND("+",AA74&amp;"+")-1),FIND("t",LEFT(AA74,FIND("+",AA74&amp;"+")-1))+1,2)^2*PI()/400,0)+IFERROR(LEFT(MID(AA74,FIND("+",AA74&amp;"+")+1,99),FIND("t",MID(AA74,FIND("+",AA74&amp;"+")+1,99))-1)*MID(MID(AA74,FIND("+",AA74&amp;"+")+1,99),FIND("t",MID(AA74,FIND("+",AA74&amp;"+")+1,99))+1,2)^2*PI()/400,0)</f>
        <v/>
      </c>
      <c r="AB75">
        <f>IFERROR(LEFT(LEFT(AB74,FIND("+",AB74&amp;"+")-1),FIND("t",LEFT(AB74,FIND("+",AB74&amp;"+")-1))-1)*MID(LEFT(AB74,FIND("+",AB74&amp;"+")-1),FIND("t",LEFT(AB74,FIND("+",AB74&amp;"+")-1))+1,2)^2*PI()/400,0)+IFERROR(LEFT(MID(AB74,FIND("+",AB74&amp;"+")+1,99),FIND("t",MID(AB74,FIND("+",AB74&amp;"+")+1,99))-1)*MID(MID(AB74,FIND("+",AB74&amp;"+")+1,99),FIND("t",MID(AB74,FIND("+",AB74&amp;"+")+1,99))+1,2)^2*PI()/400,0)</f>
        <v/>
      </c>
      <c r="AC75">
        <f>IFERROR(LEFT(LEFT(AC74,FIND("+",AC74&amp;"+")-1),FIND("t",LEFT(AC74,FIND("+",AC74&amp;"+")-1))-1)*MID(LEFT(AC74,FIND("+",AC74&amp;"+")-1),FIND("t",LEFT(AC74,FIND("+",AC74&amp;"+")-1))+1,2)^2*PI()/400,0)+IFERROR(LEFT(MID(AC74,FIND("+",AC74&amp;"+")+1,99),FIND("t",MID(AC74,FIND("+",AC74&amp;"+")+1,99))-1)*MID(MID(AC74,FIND("+",AC74&amp;"+")+1,99),FIND("t",MID(AC74,FIND("+",AC74&amp;"+")+1,99))+1,2)^2*PI()/400,0)</f>
        <v/>
      </c>
      <c r="AD75">
        <f>IFERROR(LEFT(LEFT(AD74,FIND("+",AD74&amp;"+")-1),FIND("t",LEFT(AD74,FIND("+",AD74&amp;"+")-1))-1)*MID(LEFT(AD74,FIND("+",AD74&amp;"+")-1),FIND("t",LEFT(AD74,FIND("+",AD74&amp;"+")-1))+1,2)^2*PI()/400,0)+IFERROR(LEFT(MID(AD74,FIND("+",AD74&amp;"+")+1,99),FIND("t",MID(AD74,FIND("+",AD74&amp;"+")+1,99))-1)*MID(MID(AD74,FIND("+",AD74&amp;"+")+1,99),FIND("t",MID(AD74,FIND("+",AD74&amp;"+")+1,99))+1,2)^2*PI()/400,0)</f>
        <v/>
      </c>
      <c r="AE75">
        <f>IFERROR(LEFT(LEFT(AE74,FIND("+",AE74&amp;"+")-1),FIND("t",LEFT(AE74,FIND("+",AE74&amp;"+")-1))-1)*MID(LEFT(AE74,FIND("+",AE74&amp;"+")-1),FIND("t",LEFT(AE74,FIND("+",AE74&amp;"+")-1))+1,2)^2*PI()/400,0)+IFERROR(LEFT(MID(AE74,FIND("+",AE74&amp;"+")+1,99),FIND("t",MID(AE74,FIND("+",AE74&amp;"+")+1,99))-1)*MID(MID(AE74,FIND("+",AE74&amp;"+")+1,99),FIND("t",MID(AE74,FIND("+",AE74&amp;"+")+1,99))+1,2)^2*PI()/400,0)</f>
        <v/>
      </c>
      <c r="AF75">
        <f>IFERROR(LEFT(LEFT(AF74,FIND("+",AF74&amp;"+")-1),FIND("t",LEFT(AF74,FIND("+",AF74&amp;"+")-1))-1)*MID(LEFT(AF74,FIND("+",AF74&amp;"+")-1),FIND("t",LEFT(AF74,FIND("+",AF74&amp;"+")-1))+1,2)^2*PI()/400,0)+IFERROR(LEFT(MID(AF74,FIND("+",AF74&amp;"+")+1,99),FIND("t",MID(AF74,FIND("+",AF74&amp;"+")+1,99))-1)*MID(MID(AF74,FIND("+",AF74&amp;"+")+1,99),FIND("t",MID(AF74,FIND("+",AF74&amp;"+")+1,99))+1,2)^2*PI()/400,0)</f>
        <v/>
      </c>
      <c r="AG75">
        <f>IFERROR(LEFT(LEFT(AG74,FIND("+",AG74&amp;"+")-1),FIND("t",LEFT(AG74,FIND("+",AG74&amp;"+")-1))-1)*MID(LEFT(AG74,FIND("+",AG74&amp;"+")-1),FIND("t",LEFT(AG74,FIND("+",AG74&amp;"+")-1))+1,2)^2*PI()/400,0)+IFERROR(LEFT(MID(AG74,FIND("+",AG74&amp;"+")+1,99),FIND("t",MID(AG74,FIND("+",AG74&amp;"+")+1,99))-1)*MID(MID(AG74,FIND("+",AG74&amp;"+")+1,99),FIND("t",MID(AG74,FIND("+",AG74&amp;"+")+1,99))+1,2)^2*PI()/400,0)</f>
        <v/>
      </c>
    </row>
    <row r="76" hidden="1" outlineLevel="1">
      <c r="A76" s="60" t="inlineStr">
        <is>
          <t>(phụ trợ) N_T2L</t>
        </is>
      </c>
      <c r="C76">
        <f>SUBSTITUTE(SUBSTITUTE(SUBSTITUTE(SUBSTITUTE(SUBSTITUTE(SUBSTITUTE(LOWER(IF(ISNUMBER(FIND(";",C14)),LEFT(C14,FIND(";",C14)-1),C14))," ",""),"%%c","t"),"ø","t"),"φ","t"),"f","t"),"d","t")</f>
        <v/>
      </c>
      <c r="D76">
        <f>SUBSTITUTE(SUBSTITUTE(SUBSTITUTE(SUBSTITUTE(SUBSTITUTE(SUBSTITUTE(LOWER(IF(ISNUMBER(FIND(";",D14)),LEFT(D14,FIND(";",D14)-1),D14))," ",""),"%%c","t"),"ø","t"),"φ","t"),"f","t"),"d","t")</f>
        <v/>
      </c>
      <c r="E76">
        <f>SUBSTITUTE(SUBSTITUTE(SUBSTITUTE(SUBSTITUTE(SUBSTITUTE(SUBSTITUTE(LOWER(IF(ISNUMBER(FIND(";",E14)),LEFT(E14,FIND(";",E14)-1),E14))," ",""),"%%c","t"),"ø","t"),"φ","t"),"f","t"),"d","t")</f>
        <v/>
      </c>
      <c r="F76">
        <f>SUBSTITUTE(SUBSTITUTE(SUBSTITUTE(SUBSTITUTE(SUBSTITUTE(SUBSTITUTE(LOWER(IF(ISNUMBER(FIND(";",F14)),LEFT(F14,FIND(";",F14)-1),F14))," ",""),"%%c","t"),"ø","t"),"φ","t"),"f","t"),"d","t")</f>
        <v/>
      </c>
      <c r="G76">
        <f>SUBSTITUTE(SUBSTITUTE(SUBSTITUTE(SUBSTITUTE(SUBSTITUTE(SUBSTITUTE(LOWER(IF(ISNUMBER(FIND(";",G14)),LEFT(G14,FIND(";",G14)-1),G14))," ",""),"%%c","t"),"ø","t"),"φ","t"),"f","t"),"d","t")</f>
        <v/>
      </c>
      <c r="H76">
        <f>SUBSTITUTE(SUBSTITUTE(SUBSTITUTE(SUBSTITUTE(SUBSTITUTE(SUBSTITUTE(LOWER(IF(ISNUMBER(FIND(";",H14)),LEFT(H14,FIND(";",H14)-1),H14))," ",""),"%%c","t"),"ø","t"),"φ","t"),"f","t"),"d","t")</f>
        <v/>
      </c>
      <c r="I76">
        <f>SUBSTITUTE(SUBSTITUTE(SUBSTITUTE(SUBSTITUTE(SUBSTITUTE(SUBSTITUTE(LOWER(IF(ISNUMBER(FIND(";",I14)),LEFT(I14,FIND(";",I14)-1),I14))," ",""),"%%c","t"),"ø","t"),"φ","t"),"f","t"),"d","t")</f>
        <v/>
      </c>
      <c r="J76">
        <f>SUBSTITUTE(SUBSTITUTE(SUBSTITUTE(SUBSTITUTE(SUBSTITUTE(SUBSTITUTE(LOWER(IF(ISNUMBER(FIND(";",J14)),LEFT(J14,FIND(";",J14)-1),J14))," ",""),"%%c","t"),"ø","t"),"φ","t"),"f","t"),"d","t")</f>
        <v/>
      </c>
      <c r="K76">
        <f>SUBSTITUTE(SUBSTITUTE(SUBSTITUTE(SUBSTITUTE(SUBSTITUTE(SUBSTITUTE(LOWER(IF(ISNUMBER(FIND(";",K14)),LEFT(K14,FIND(";",K14)-1),K14))," ",""),"%%c","t"),"ø","t"),"φ","t"),"f","t"),"d","t")</f>
        <v/>
      </c>
      <c r="L76">
        <f>SUBSTITUTE(SUBSTITUTE(SUBSTITUTE(SUBSTITUTE(SUBSTITUTE(SUBSTITUTE(LOWER(IF(ISNUMBER(FIND(";",L14)),LEFT(L14,FIND(";",L14)-1),L14))," ",""),"%%c","t"),"ø","t"),"φ","t"),"f","t"),"d","t")</f>
        <v/>
      </c>
      <c r="M76">
        <f>SUBSTITUTE(SUBSTITUTE(SUBSTITUTE(SUBSTITUTE(SUBSTITUTE(SUBSTITUTE(LOWER(IF(ISNUMBER(FIND(";",M14)),LEFT(M14,FIND(";",M14)-1),M14))," ",""),"%%c","t"),"ø","t"),"φ","t"),"f","t"),"d","t")</f>
        <v/>
      </c>
      <c r="N76">
        <f>SUBSTITUTE(SUBSTITUTE(SUBSTITUTE(SUBSTITUTE(SUBSTITUTE(SUBSTITUTE(LOWER(IF(ISNUMBER(FIND(";",N14)),LEFT(N14,FIND(";",N14)-1),N14))," ",""),"%%c","t"),"ø","t"),"φ","t"),"f","t"),"d","t")</f>
        <v/>
      </c>
      <c r="O76">
        <f>SUBSTITUTE(SUBSTITUTE(SUBSTITUTE(SUBSTITUTE(SUBSTITUTE(SUBSTITUTE(LOWER(IF(ISNUMBER(FIND(";",O14)),LEFT(O14,FIND(";",O14)-1),O14))," ",""),"%%c","t"),"ø","t"),"φ","t"),"f","t"),"d","t")</f>
        <v/>
      </c>
      <c r="P76">
        <f>SUBSTITUTE(SUBSTITUTE(SUBSTITUTE(SUBSTITUTE(SUBSTITUTE(SUBSTITUTE(LOWER(IF(ISNUMBER(FIND(";",P14)),LEFT(P14,FIND(";",P14)-1),P14))," ",""),"%%c","t"),"ø","t"),"φ","t"),"f","t"),"d","t")</f>
        <v/>
      </c>
      <c r="Q76">
        <f>SUBSTITUTE(SUBSTITUTE(SUBSTITUTE(SUBSTITUTE(SUBSTITUTE(SUBSTITUTE(LOWER(IF(ISNUMBER(FIND(";",Q14)),LEFT(Q14,FIND(";",Q14)-1),Q14))," ",""),"%%c","t"),"ø","t"),"φ","t"),"f","t"),"d","t")</f>
        <v/>
      </c>
      <c r="R76">
        <f>SUBSTITUTE(SUBSTITUTE(SUBSTITUTE(SUBSTITUTE(SUBSTITUTE(SUBSTITUTE(LOWER(IF(ISNUMBER(FIND(";",R14)),LEFT(R14,FIND(";",R14)-1),R14))," ",""),"%%c","t"),"ø","t"),"φ","t"),"f","t"),"d","t")</f>
        <v/>
      </c>
      <c r="S76">
        <f>SUBSTITUTE(SUBSTITUTE(SUBSTITUTE(SUBSTITUTE(SUBSTITUTE(SUBSTITUTE(LOWER(IF(ISNUMBER(FIND(";",S14)),LEFT(S14,FIND(";",S14)-1),S14))," ",""),"%%c","t"),"ø","t"),"φ","t"),"f","t"),"d","t")</f>
        <v/>
      </c>
      <c r="T76">
        <f>SUBSTITUTE(SUBSTITUTE(SUBSTITUTE(SUBSTITUTE(SUBSTITUTE(SUBSTITUTE(LOWER(IF(ISNUMBER(FIND(";",T14)),LEFT(T14,FIND(";",T14)-1),T14))," ",""),"%%c","t"),"ø","t"),"φ","t"),"f","t"),"d","t")</f>
        <v/>
      </c>
      <c r="U76">
        <f>SUBSTITUTE(SUBSTITUTE(SUBSTITUTE(SUBSTITUTE(SUBSTITUTE(SUBSTITUTE(LOWER(IF(ISNUMBER(FIND(";",U14)),LEFT(U14,FIND(";",U14)-1),U14))," ",""),"%%c","t"),"ø","t"),"φ","t"),"f","t"),"d","t")</f>
        <v/>
      </c>
      <c r="V76">
        <f>SUBSTITUTE(SUBSTITUTE(SUBSTITUTE(SUBSTITUTE(SUBSTITUTE(SUBSTITUTE(LOWER(IF(ISNUMBER(FIND(";",V14)),LEFT(V14,FIND(";",V14)-1),V14))," ",""),"%%c","t"),"ø","t"),"φ","t"),"f","t"),"d","t")</f>
        <v/>
      </c>
      <c r="W76">
        <f>SUBSTITUTE(SUBSTITUTE(SUBSTITUTE(SUBSTITUTE(SUBSTITUTE(SUBSTITUTE(LOWER(IF(ISNUMBER(FIND(";",W14)),LEFT(W14,FIND(";",W14)-1),W14))," ",""),"%%c","t"),"ø","t"),"φ","t"),"f","t"),"d","t")</f>
        <v/>
      </c>
      <c r="X76">
        <f>SUBSTITUTE(SUBSTITUTE(SUBSTITUTE(SUBSTITUTE(SUBSTITUTE(SUBSTITUTE(LOWER(IF(ISNUMBER(FIND(";",X14)),LEFT(X14,FIND(";",X14)-1),X14))," ",""),"%%c","t"),"ø","t"),"φ","t"),"f","t"),"d","t")</f>
        <v/>
      </c>
      <c r="Y76">
        <f>SUBSTITUTE(SUBSTITUTE(SUBSTITUTE(SUBSTITUTE(SUBSTITUTE(SUBSTITUTE(LOWER(IF(ISNUMBER(FIND(";",Y14)),LEFT(Y14,FIND(";",Y14)-1),Y14))," ",""),"%%c","t"),"ø","t"),"φ","t"),"f","t"),"d","t")</f>
        <v/>
      </c>
      <c r="Z76">
        <f>SUBSTITUTE(SUBSTITUTE(SUBSTITUTE(SUBSTITUTE(SUBSTITUTE(SUBSTITUTE(LOWER(IF(ISNUMBER(FIND(";",Z14)),LEFT(Z14,FIND(";",Z14)-1),Z14))," ",""),"%%c","t"),"ø","t"),"φ","t"),"f","t"),"d","t")</f>
        <v/>
      </c>
      <c r="AA76">
        <f>SUBSTITUTE(SUBSTITUTE(SUBSTITUTE(SUBSTITUTE(SUBSTITUTE(SUBSTITUTE(LOWER(IF(ISNUMBER(FIND(";",AA14)),LEFT(AA14,FIND(";",AA14)-1),AA14))," ",""),"%%c","t"),"ø","t"),"φ","t"),"f","t"),"d","t")</f>
        <v/>
      </c>
      <c r="AB76">
        <f>SUBSTITUTE(SUBSTITUTE(SUBSTITUTE(SUBSTITUTE(SUBSTITUTE(SUBSTITUTE(LOWER(IF(ISNUMBER(FIND(";",AB14)),LEFT(AB14,FIND(";",AB14)-1),AB14))," ",""),"%%c","t"),"ø","t"),"φ","t"),"f","t"),"d","t")</f>
        <v/>
      </c>
      <c r="AC76">
        <f>SUBSTITUTE(SUBSTITUTE(SUBSTITUTE(SUBSTITUTE(SUBSTITUTE(SUBSTITUTE(LOWER(IF(ISNUMBER(FIND(";",AC14)),LEFT(AC14,FIND(";",AC14)-1),AC14))," ",""),"%%c","t"),"ø","t"),"φ","t"),"f","t"),"d","t")</f>
        <v/>
      </c>
      <c r="AD76">
        <f>SUBSTITUTE(SUBSTITUTE(SUBSTITUTE(SUBSTITUTE(SUBSTITUTE(SUBSTITUTE(LOWER(IF(ISNUMBER(FIND(";",AD14)),LEFT(AD14,FIND(";",AD14)-1),AD14))," ",""),"%%c","t"),"ø","t"),"φ","t"),"f","t"),"d","t")</f>
        <v/>
      </c>
      <c r="AE76">
        <f>SUBSTITUTE(SUBSTITUTE(SUBSTITUTE(SUBSTITUTE(SUBSTITUTE(SUBSTITUTE(LOWER(IF(ISNUMBER(FIND(";",AE14)),LEFT(AE14,FIND(";",AE14)-1),AE14))," ",""),"%%c","t"),"ø","t"),"φ","t"),"f","t"),"d","t")</f>
        <v/>
      </c>
      <c r="AF76">
        <f>SUBSTITUTE(SUBSTITUTE(SUBSTITUTE(SUBSTITUTE(SUBSTITUTE(SUBSTITUTE(LOWER(IF(ISNUMBER(FIND(";",AF14)),LEFT(AF14,FIND(";",AF14)-1),AF14))," ",""),"%%c","t"),"ø","t"),"φ","t"),"f","t"),"d","t")</f>
        <v/>
      </c>
      <c r="AG76">
        <f>SUBSTITUTE(SUBSTITUTE(SUBSTITUTE(SUBSTITUTE(SUBSTITUTE(SUBSTITUTE(LOWER(IF(ISNUMBER(FIND(";",AG14)),LEFT(AG14,FIND(";",AG14)-1),AG14))," ",""),"%%c","t"),"ø","t"),"φ","t"),"f","t"),"d","t")</f>
        <v/>
      </c>
    </row>
    <row r="77" hidden="1" outlineLevel="1">
      <c r="A77" s="60" t="inlineStr">
        <is>
          <t>(phụ trợ) A_T2L</t>
        </is>
      </c>
      <c r="C77">
        <f>IFERROR(LEFT(LEFT(C76,FIND("+",C76&amp;"+")-1),FIND("t",LEFT(C76,FIND("+",C76&amp;"+")-1))-1)*MID(LEFT(C76,FIND("+",C76&amp;"+")-1),FIND("t",LEFT(C76,FIND("+",C76&amp;"+")-1))+1,2)^2*PI()/400,0)+IFERROR(LEFT(MID(C76,FIND("+",C76&amp;"+")+1,99),FIND("t",MID(C76,FIND("+",C76&amp;"+")+1,99))-1)*MID(MID(C76,FIND("+",C76&amp;"+")+1,99),FIND("t",MID(C76,FIND("+",C76&amp;"+")+1,99))+1,2)^2*PI()/400,0)</f>
        <v/>
      </c>
      <c r="D77">
        <f>IFERROR(LEFT(LEFT(D76,FIND("+",D76&amp;"+")-1),FIND("t",LEFT(D76,FIND("+",D76&amp;"+")-1))-1)*MID(LEFT(D76,FIND("+",D76&amp;"+")-1),FIND("t",LEFT(D76,FIND("+",D76&amp;"+")-1))+1,2)^2*PI()/400,0)+IFERROR(LEFT(MID(D76,FIND("+",D76&amp;"+")+1,99),FIND("t",MID(D76,FIND("+",D76&amp;"+")+1,99))-1)*MID(MID(D76,FIND("+",D76&amp;"+")+1,99),FIND("t",MID(D76,FIND("+",D76&amp;"+")+1,99))+1,2)^2*PI()/400,0)</f>
        <v/>
      </c>
      <c r="E77">
        <f>IFERROR(LEFT(LEFT(E76,FIND("+",E76&amp;"+")-1),FIND("t",LEFT(E76,FIND("+",E76&amp;"+")-1))-1)*MID(LEFT(E76,FIND("+",E76&amp;"+")-1),FIND("t",LEFT(E76,FIND("+",E76&amp;"+")-1))+1,2)^2*PI()/400,0)+IFERROR(LEFT(MID(E76,FIND("+",E76&amp;"+")+1,99),FIND("t",MID(E76,FIND("+",E76&amp;"+")+1,99))-1)*MID(MID(E76,FIND("+",E76&amp;"+")+1,99),FIND("t",MID(E76,FIND("+",E76&amp;"+")+1,99))+1,2)^2*PI()/400,0)</f>
        <v/>
      </c>
      <c r="F77">
        <f>IFERROR(LEFT(LEFT(F76,FIND("+",F76&amp;"+")-1),FIND("t",LEFT(F76,FIND("+",F76&amp;"+")-1))-1)*MID(LEFT(F76,FIND("+",F76&amp;"+")-1),FIND("t",LEFT(F76,FIND("+",F76&amp;"+")-1))+1,2)^2*PI()/400,0)+IFERROR(LEFT(MID(F76,FIND("+",F76&amp;"+")+1,99),FIND("t",MID(F76,FIND("+",F76&amp;"+")+1,99))-1)*MID(MID(F76,FIND("+",F76&amp;"+")+1,99),FIND("t",MID(F76,FIND("+",F76&amp;"+")+1,99))+1,2)^2*PI()/400,0)</f>
        <v/>
      </c>
      <c r="G77">
        <f>IFERROR(LEFT(LEFT(G76,FIND("+",G76&amp;"+")-1),FIND("t",LEFT(G76,FIND("+",G76&amp;"+")-1))-1)*MID(LEFT(G76,FIND("+",G76&amp;"+")-1),FIND("t",LEFT(G76,FIND("+",G76&amp;"+")-1))+1,2)^2*PI()/400,0)+IFERROR(LEFT(MID(G76,FIND("+",G76&amp;"+")+1,99),FIND("t",MID(G76,FIND("+",G76&amp;"+")+1,99))-1)*MID(MID(G76,FIND("+",G76&amp;"+")+1,99),FIND("t",MID(G76,FIND("+",G76&amp;"+")+1,99))+1,2)^2*PI()/400,0)</f>
        <v/>
      </c>
      <c r="H77">
        <f>IFERROR(LEFT(LEFT(H76,FIND("+",H76&amp;"+")-1),FIND("t",LEFT(H76,FIND("+",H76&amp;"+")-1))-1)*MID(LEFT(H76,FIND("+",H76&amp;"+")-1),FIND("t",LEFT(H76,FIND("+",H76&amp;"+")-1))+1,2)^2*PI()/400,0)+IFERROR(LEFT(MID(H76,FIND("+",H76&amp;"+")+1,99),FIND("t",MID(H76,FIND("+",H76&amp;"+")+1,99))-1)*MID(MID(H76,FIND("+",H76&amp;"+")+1,99),FIND("t",MID(H76,FIND("+",H76&amp;"+")+1,99))+1,2)^2*PI()/400,0)</f>
        <v/>
      </c>
      <c r="I77">
        <f>IFERROR(LEFT(LEFT(I76,FIND("+",I76&amp;"+")-1),FIND("t",LEFT(I76,FIND("+",I76&amp;"+")-1))-1)*MID(LEFT(I76,FIND("+",I76&amp;"+")-1),FIND("t",LEFT(I76,FIND("+",I76&amp;"+")-1))+1,2)^2*PI()/400,0)+IFERROR(LEFT(MID(I76,FIND("+",I76&amp;"+")+1,99),FIND("t",MID(I76,FIND("+",I76&amp;"+")+1,99))-1)*MID(MID(I76,FIND("+",I76&amp;"+")+1,99),FIND("t",MID(I76,FIND("+",I76&amp;"+")+1,99))+1,2)^2*PI()/400,0)</f>
        <v/>
      </c>
      <c r="J77">
        <f>IFERROR(LEFT(LEFT(J76,FIND("+",J76&amp;"+")-1),FIND("t",LEFT(J76,FIND("+",J76&amp;"+")-1))-1)*MID(LEFT(J76,FIND("+",J76&amp;"+")-1),FIND("t",LEFT(J76,FIND("+",J76&amp;"+")-1))+1,2)^2*PI()/400,0)+IFERROR(LEFT(MID(J76,FIND("+",J76&amp;"+")+1,99),FIND("t",MID(J76,FIND("+",J76&amp;"+")+1,99))-1)*MID(MID(J76,FIND("+",J76&amp;"+")+1,99),FIND("t",MID(J76,FIND("+",J76&amp;"+")+1,99))+1,2)^2*PI()/400,0)</f>
        <v/>
      </c>
      <c r="K77">
        <f>IFERROR(LEFT(LEFT(K76,FIND("+",K76&amp;"+")-1),FIND("t",LEFT(K76,FIND("+",K76&amp;"+")-1))-1)*MID(LEFT(K76,FIND("+",K76&amp;"+")-1),FIND("t",LEFT(K76,FIND("+",K76&amp;"+")-1))+1,2)^2*PI()/400,0)+IFERROR(LEFT(MID(K76,FIND("+",K76&amp;"+")+1,99),FIND("t",MID(K76,FIND("+",K76&amp;"+")+1,99))-1)*MID(MID(K76,FIND("+",K76&amp;"+")+1,99),FIND("t",MID(K76,FIND("+",K76&amp;"+")+1,99))+1,2)^2*PI()/400,0)</f>
        <v/>
      </c>
      <c r="L77">
        <f>IFERROR(LEFT(LEFT(L76,FIND("+",L76&amp;"+")-1),FIND("t",LEFT(L76,FIND("+",L76&amp;"+")-1))-1)*MID(LEFT(L76,FIND("+",L76&amp;"+")-1),FIND("t",LEFT(L76,FIND("+",L76&amp;"+")-1))+1,2)^2*PI()/400,0)+IFERROR(LEFT(MID(L76,FIND("+",L76&amp;"+")+1,99),FIND("t",MID(L76,FIND("+",L76&amp;"+")+1,99))-1)*MID(MID(L76,FIND("+",L76&amp;"+")+1,99),FIND("t",MID(L76,FIND("+",L76&amp;"+")+1,99))+1,2)^2*PI()/400,0)</f>
        <v/>
      </c>
      <c r="M77">
        <f>IFERROR(LEFT(LEFT(M76,FIND("+",M76&amp;"+")-1),FIND("t",LEFT(M76,FIND("+",M76&amp;"+")-1))-1)*MID(LEFT(M76,FIND("+",M76&amp;"+")-1),FIND("t",LEFT(M76,FIND("+",M76&amp;"+")-1))+1,2)^2*PI()/400,0)+IFERROR(LEFT(MID(M76,FIND("+",M76&amp;"+")+1,99),FIND("t",MID(M76,FIND("+",M76&amp;"+")+1,99))-1)*MID(MID(M76,FIND("+",M76&amp;"+")+1,99),FIND("t",MID(M76,FIND("+",M76&amp;"+")+1,99))+1,2)^2*PI()/400,0)</f>
        <v/>
      </c>
      <c r="N77">
        <f>IFERROR(LEFT(LEFT(N76,FIND("+",N76&amp;"+")-1),FIND("t",LEFT(N76,FIND("+",N76&amp;"+")-1))-1)*MID(LEFT(N76,FIND("+",N76&amp;"+")-1),FIND("t",LEFT(N76,FIND("+",N76&amp;"+")-1))+1,2)^2*PI()/400,0)+IFERROR(LEFT(MID(N76,FIND("+",N76&amp;"+")+1,99),FIND("t",MID(N76,FIND("+",N76&amp;"+")+1,99))-1)*MID(MID(N76,FIND("+",N76&amp;"+")+1,99),FIND("t",MID(N76,FIND("+",N76&amp;"+")+1,99))+1,2)^2*PI()/400,0)</f>
        <v/>
      </c>
      <c r="O77">
        <f>IFERROR(LEFT(LEFT(O76,FIND("+",O76&amp;"+")-1),FIND("t",LEFT(O76,FIND("+",O76&amp;"+")-1))-1)*MID(LEFT(O76,FIND("+",O76&amp;"+")-1),FIND("t",LEFT(O76,FIND("+",O76&amp;"+")-1))+1,2)^2*PI()/400,0)+IFERROR(LEFT(MID(O76,FIND("+",O76&amp;"+")+1,99),FIND("t",MID(O76,FIND("+",O76&amp;"+")+1,99))-1)*MID(MID(O76,FIND("+",O76&amp;"+")+1,99),FIND("t",MID(O76,FIND("+",O76&amp;"+")+1,99))+1,2)^2*PI()/400,0)</f>
        <v/>
      </c>
      <c r="P77">
        <f>IFERROR(LEFT(LEFT(P76,FIND("+",P76&amp;"+")-1),FIND("t",LEFT(P76,FIND("+",P76&amp;"+")-1))-1)*MID(LEFT(P76,FIND("+",P76&amp;"+")-1),FIND("t",LEFT(P76,FIND("+",P76&amp;"+")-1))+1,2)^2*PI()/400,0)+IFERROR(LEFT(MID(P76,FIND("+",P76&amp;"+")+1,99),FIND("t",MID(P76,FIND("+",P76&amp;"+")+1,99))-1)*MID(MID(P76,FIND("+",P76&amp;"+")+1,99),FIND("t",MID(P76,FIND("+",P76&amp;"+")+1,99))+1,2)^2*PI()/400,0)</f>
        <v/>
      </c>
      <c r="Q77">
        <f>IFERROR(LEFT(LEFT(Q76,FIND("+",Q76&amp;"+")-1),FIND("t",LEFT(Q76,FIND("+",Q76&amp;"+")-1))-1)*MID(LEFT(Q76,FIND("+",Q76&amp;"+")-1),FIND("t",LEFT(Q76,FIND("+",Q76&amp;"+")-1))+1,2)^2*PI()/400,0)+IFERROR(LEFT(MID(Q76,FIND("+",Q76&amp;"+")+1,99),FIND("t",MID(Q76,FIND("+",Q76&amp;"+")+1,99))-1)*MID(MID(Q76,FIND("+",Q76&amp;"+")+1,99),FIND("t",MID(Q76,FIND("+",Q76&amp;"+")+1,99))+1,2)^2*PI()/400,0)</f>
        <v/>
      </c>
      <c r="R77">
        <f>IFERROR(LEFT(LEFT(R76,FIND("+",R76&amp;"+")-1),FIND("t",LEFT(R76,FIND("+",R76&amp;"+")-1))-1)*MID(LEFT(R76,FIND("+",R76&amp;"+")-1),FIND("t",LEFT(R76,FIND("+",R76&amp;"+")-1))+1,2)^2*PI()/400,0)+IFERROR(LEFT(MID(R76,FIND("+",R76&amp;"+")+1,99),FIND("t",MID(R76,FIND("+",R76&amp;"+")+1,99))-1)*MID(MID(R76,FIND("+",R76&amp;"+")+1,99),FIND("t",MID(R76,FIND("+",R76&amp;"+")+1,99))+1,2)^2*PI()/400,0)</f>
        <v/>
      </c>
      <c r="S77">
        <f>IFERROR(LEFT(LEFT(S76,FIND("+",S76&amp;"+")-1),FIND("t",LEFT(S76,FIND("+",S76&amp;"+")-1))-1)*MID(LEFT(S76,FIND("+",S76&amp;"+")-1),FIND("t",LEFT(S76,FIND("+",S76&amp;"+")-1))+1,2)^2*PI()/400,0)+IFERROR(LEFT(MID(S76,FIND("+",S76&amp;"+")+1,99),FIND("t",MID(S76,FIND("+",S76&amp;"+")+1,99))-1)*MID(MID(S76,FIND("+",S76&amp;"+")+1,99),FIND("t",MID(S76,FIND("+",S76&amp;"+")+1,99))+1,2)^2*PI()/400,0)</f>
        <v/>
      </c>
      <c r="T77">
        <f>IFERROR(LEFT(LEFT(T76,FIND("+",T76&amp;"+")-1),FIND("t",LEFT(T76,FIND("+",T76&amp;"+")-1))-1)*MID(LEFT(T76,FIND("+",T76&amp;"+")-1),FIND("t",LEFT(T76,FIND("+",T76&amp;"+")-1))+1,2)^2*PI()/400,0)+IFERROR(LEFT(MID(T76,FIND("+",T76&amp;"+")+1,99),FIND("t",MID(T76,FIND("+",T76&amp;"+")+1,99))-1)*MID(MID(T76,FIND("+",T76&amp;"+")+1,99),FIND("t",MID(T76,FIND("+",T76&amp;"+")+1,99))+1,2)^2*PI()/400,0)</f>
        <v/>
      </c>
      <c r="U77">
        <f>IFERROR(LEFT(LEFT(U76,FIND("+",U76&amp;"+")-1),FIND("t",LEFT(U76,FIND("+",U76&amp;"+")-1))-1)*MID(LEFT(U76,FIND("+",U76&amp;"+")-1),FIND("t",LEFT(U76,FIND("+",U76&amp;"+")-1))+1,2)^2*PI()/400,0)+IFERROR(LEFT(MID(U76,FIND("+",U76&amp;"+")+1,99),FIND("t",MID(U76,FIND("+",U76&amp;"+")+1,99))-1)*MID(MID(U76,FIND("+",U76&amp;"+")+1,99),FIND("t",MID(U76,FIND("+",U76&amp;"+")+1,99))+1,2)^2*PI()/400,0)</f>
        <v/>
      </c>
      <c r="V77">
        <f>IFERROR(LEFT(LEFT(V76,FIND("+",V76&amp;"+")-1),FIND("t",LEFT(V76,FIND("+",V76&amp;"+")-1))-1)*MID(LEFT(V76,FIND("+",V76&amp;"+")-1),FIND("t",LEFT(V76,FIND("+",V76&amp;"+")-1))+1,2)^2*PI()/400,0)+IFERROR(LEFT(MID(V76,FIND("+",V76&amp;"+")+1,99),FIND("t",MID(V76,FIND("+",V76&amp;"+")+1,99))-1)*MID(MID(V76,FIND("+",V76&amp;"+")+1,99),FIND("t",MID(V76,FIND("+",V76&amp;"+")+1,99))+1,2)^2*PI()/400,0)</f>
        <v/>
      </c>
      <c r="W77">
        <f>IFERROR(LEFT(LEFT(W76,FIND("+",W76&amp;"+")-1),FIND("t",LEFT(W76,FIND("+",W76&amp;"+")-1))-1)*MID(LEFT(W76,FIND("+",W76&amp;"+")-1),FIND("t",LEFT(W76,FIND("+",W76&amp;"+")-1))+1,2)^2*PI()/400,0)+IFERROR(LEFT(MID(W76,FIND("+",W76&amp;"+")+1,99),FIND("t",MID(W76,FIND("+",W76&amp;"+")+1,99))-1)*MID(MID(W76,FIND("+",W76&amp;"+")+1,99),FIND("t",MID(W76,FIND("+",W76&amp;"+")+1,99))+1,2)^2*PI()/400,0)</f>
        <v/>
      </c>
      <c r="X77">
        <f>IFERROR(LEFT(LEFT(X76,FIND("+",X76&amp;"+")-1),FIND("t",LEFT(X76,FIND("+",X76&amp;"+")-1))-1)*MID(LEFT(X76,FIND("+",X76&amp;"+")-1),FIND("t",LEFT(X76,FIND("+",X76&amp;"+")-1))+1,2)^2*PI()/400,0)+IFERROR(LEFT(MID(X76,FIND("+",X76&amp;"+")+1,99),FIND("t",MID(X76,FIND("+",X76&amp;"+")+1,99))-1)*MID(MID(X76,FIND("+",X76&amp;"+")+1,99),FIND("t",MID(X76,FIND("+",X76&amp;"+")+1,99))+1,2)^2*PI()/400,0)</f>
        <v/>
      </c>
      <c r="Y77">
        <f>IFERROR(LEFT(LEFT(Y76,FIND("+",Y76&amp;"+")-1),FIND("t",LEFT(Y76,FIND("+",Y76&amp;"+")-1))-1)*MID(LEFT(Y76,FIND("+",Y76&amp;"+")-1),FIND("t",LEFT(Y76,FIND("+",Y76&amp;"+")-1))+1,2)^2*PI()/400,0)+IFERROR(LEFT(MID(Y76,FIND("+",Y76&amp;"+")+1,99),FIND("t",MID(Y76,FIND("+",Y76&amp;"+")+1,99))-1)*MID(MID(Y76,FIND("+",Y76&amp;"+")+1,99),FIND("t",MID(Y76,FIND("+",Y76&amp;"+")+1,99))+1,2)^2*PI()/400,0)</f>
        <v/>
      </c>
      <c r="Z77">
        <f>IFERROR(LEFT(LEFT(Z76,FIND("+",Z76&amp;"+")-1),FIND("t",LEFT(Z76,FIND("+",Z76&amp;"+")-1))-1)*MID(LEFT(Z76,FIND("+",Z76&amp;"+")-1),FIND("t",LEFT(Z76,FIND("+",Z76&amp;"+")-1))+1,2)^2*PI()/400,0)+IFERROR(LEFT(MID(Z76,FIND("+",Z76&amp;"+")+1,99),FIND("t",MID(Z76,FIND("+",Z76&amp;"+")+1,99))-1)*MID(MID(Z76,FIND("+",Z76&amp;"+")+1,99),FIND("t",MID(Z76,FIND("+",Z76&amp;"+")+1,99))+1,2)^2*PI()/400,0)</f>
        <v/>
      </c>
      <c r="AA77">
        <f>IFERROR(LEFT(LEFT(AA76,FIND("+",AA76&amp;"+")-1),FIND("t",LEFT(AA76,FIND("+",AA76&amp;"+")-1))-1)*MID(LEFT(AA76,FIND("+",AA76&amp;"+")-1),FIND("t",LEFT(AA76,FIND("+",AA76&amp;"+")-1))+1,2)^2*PI()/400,0)+IFERROR(LEFT(MID(AA76,FIND("+",AA76&amp;"+")+1,99),FIND("t",MID(AA76,FIND("+",AA76&amp;"+")+1,99))-1)*MID(MID(AA76,FIND("+",AA76&amp;"+")+1,99),FIND("t",MID(AA76,FIND("+",AA76&amp;"+")+1,99))+1,2)^2*PI()/400,0)</f>
        <v/>
      </c>
      <c r="AB77">
        <f>IFERROR(LEFT(LEFT(AB76,FIND("+",AB76&amp;"+")-1),FIND("t",LEFT(AB76,FIND("+",AB76&amp;"+")-1))-1)*MID(LEFT(AB76,FIND("+",AB76&amp;"+")-1),FIND("t",LEFT(AB76,FIND("+",AB76&amp;"+")-1))+1,2)^2*PI()/400,0)+IFERROR(LEFT(MID(AB76,FIND("+",AB76&amp;"+")+1,99),FIND("t",MID(AB76,FIND("+",AB76&amp;"+")+1,99))-1)*MID(MID(AB76,FIND("+",AB76&amp;"+")+1,99),FIND("t",MID(AB76,FIND("+",AB76&amp;"+")+1,99))+1,2)^2*PI()/400,0)</f>
        <v/>
      </c>
      <c r="AC77">
        <f>IFERROR(LEFT(LEFT(AC76,FIND("+",AC76&amp;"+")-1),FIND("t",LEFT(AC76,FIND("+",AC76&amp;"+")-1))-1)*MID(LEFT(AC76,FIND("+",AC76&amp;"+")-1),FIND("t",LEFT(AC76,FIND("+",AC76&amp;"+")-1))+1,2)^2*PI()/400,0)+IFERROR(LEFT(MID(AC76,FIND("+",AC76&amp;"+")+1,99),FIND("t",MID(AC76,FIND("+",AC76&amp;"+")+1,99))-1)*MID(MID(AC76,FIND("+",AC76&amp;"+")+1,99),FIND("t",MID(AC76,FIND("+",AC76&amp;"+")+1,99))+1,2)^2*PI()/400,0)</f>
        <v/>
      </c>
      <c r="AD77">
        <f>IFERROR(LEFT(LEFT(AD76,FIND("+",AD76&amp;"+")-1),FIND("t",LEFT(AD76,FIND("+",AD76&amp;"+")-1))-1)*MID(LEFT(AD76,FIND("+",AD76&amp;"+")-1),FIND("t",LEFT(AD76,FIND("+",AD76&amp;"+")-1))+1,2)^2*PI()/400,0)+IFERROR(LEFT(MID(AD76,FIND("+",AD76&amp;"+")+1,99),FIND("t",MID(AD76,FIND("+",AD76&amp;"+")+1,99))-1)*MID(MID(AD76,FIND("+",AD76&amp;"+")+1,99),FIND("t",MID(AD76,FIND("+",AD76&amp;"+")+1,99))+1,2)^2*PI()/400,0)</f>
        <v/>
      </c>
      <c r="AE77">
        <f>IFERROR(LEFT(LEFT(AE76,FIND("+",AE76&amp;"+")-1),FIND("t",LEFT(AE76,FIND("+",AE76&amp;"+")-1))-1)*MID(LEFT(AE76,FIND("+",AE76&amp;"+")-1),FIND("t",LEFT(AE76,FIND("+",AE76&amp;"+")-1))+1,2)^2*PI()/400,0)+IFERROR(LEFT(MID(AE76,FIND("+",AE76&amp;"+")+1,99),FIND("t",MID(AE76,FIND("+",AE76&amp;"+")+1,99))-1)*MID(MID(AE76,FIND("+",AE76&amp;"+")+1,99),FIND("t",MID(AE76,FIND("+",AE76&amp;"+")+1,99))+1,2)^2*PI()/400,0)</f>
        <v/>
      </c>
      <c r="AF77">
        <f>IFERROR(LEFT(LEFT(AF76,FIND("+",AF76&amp;"+")-1),FIND("t",LEFT(AF76,FIND("+",AF76&amp;"+")-1))-1)*MID(LEFT(AF76,FIND("+",AF76&amp;"+")-1),FIND("t",LEFT(AF76,FIND("+",AF76&amp;"+")-1))+1,2)^2*PI()/400,0)+IFERROR(LEFT(MID(AF76,FIND("+",AF76&amp;"+")+1,99),FIND("t",MID(AF76,FIND("+",AF76&amp;"+")+1,99))-1)*MID(MID(AF76,FIND("+",AF76&amp;"+")+1,99),FIND("t",MID(AF76,FIND("+",AF76&amp;"+")+1,99))+1,2)^2*PI()/400,0)</f>
        <v/>
      </c>
      <c r="AG77">
        <f>IFERROR(LEFT(LEFT(AG76,FIND("+",AG76&amp;"+")-1),FIND("t",LEFT(AG76,FIND("+",AG76&amp;"+")-1))-1)*MID(LEFT(AG76,FIND("+",AG76&amp;"+")-1),FIND("t",LEFT(AG76,FIND("+",AG76&amp;"+")-1))+1,2)^2*PI()/400,0)+IFERROR(LEFT(MID(AG76,FIND("+",AG76&amp;"+")+1,99),FIND("t",MID(AG76,FIND("+",AG76&amp;"+")+1,99))-1)*MID(MID(AG76,FIND("+",AG76&amp;"+")+1,99),FIND("t",MID(AG76,FIND("+",AG76&amp;"+")+1,99))+1,2)^2*PI()/400,0)</f>
        <v/>
      </c>
    </row>
    <row r="78" hidden="1" outlineLevel="1">
      <c r="A78" s="60" t="inlineStr">
        <is>
          <t>(phụ trợ) N_T2R</t>
        </is>
      </c>
      <c r="C78">
        <f>SUBSTITUTE(SUBSTITUTE(SUBSTITUTE(SUBSTITUTE(SUBSTITUTE(SUBSTITUTE(LOWER(IF(ISNUMBER(FIND(";",C14)),MID(C14,FIND(";",C14)+1,99),C14))," ",""),"%%c","t"),"ø","t"),"φ","t"),"f","t"),"d","t")</f>
        <v/>
      </c>
      <c r="D78">
        <f>SUBSTITUTE(SUBSTITUTE(SUBSTITUTE(SUBSTITUTE(SUBSTITUTE(SUBSTITUTE(LOWER(IF(ISNUMBER(FIND(";",D14)),MID(D14,FIND(";",D14)+1,99),D14))," ",""),"%%c","t"),"ø","t"),"φ","t"),"f","t"),"d","t")</f>
        <v/>
      </c>
      <c r="E78">
        <f>SUBSTITUTE(SUBSTITUTE(SUBSTITUTE(SUBSTITUTE(SUBSTITUTE(SUBSTITUTE(LOWER(IF(ISNUMBER(FIND(";",E14)),MID(E14,FIND(";",E14)+1,99),E14))," ",""),"%%c","t"),"ø","t"),"φ","t"),"f","t"),"d","t")</f>
        <v/>
      </c>
      <c r="F78">
        <f>SUBSTITUTE(SUBSTITUTE(SUBSTITUTE(SUBSTITUTE(SUBSTITUTE(SUBSTITUTE(LOWER(IF(ISNUMBER(FIND(";",F14)),MID(F14,FIND(";",F14)+1,99),F14))," ",""),"%%c","t"),"ø","t"),"φ","t"),"f","t"),"d","t")</f>
        <v/>
      </c>
      <c r="G78">
        <f>SUBSTITUTE(SUBSTITUTE(SUBSTITUTE(SUBSTITUTE(SUBSTITUTE(SUBSTITUTE(LOWER(IF(ISNUMBER(FIND(";",G14)),MID(G14,FIND(";",G14)+1,99),G14))," ",""),"%%c","t"),"ø","t"),"φ","t"),"f","t"),"d","t")</f>
        <v/>
      </c>
      <c r="H78">
        <f>SUBSTITUTE(SUBSTITUTE(SUBSTITUTE(SUBSTITUTE(SUBSTITUTE(SUBSTITUTE(LOWER(IF(ISNUMBER(FIND(";",H14)),MID(H14,FIND(";",H14)+1,99),H14))," ",""),"%%c","t"),"ø","t"),"φ","t"),"f","t"),"d","t")</f>
        <v/>
      </c>
      <c r="I78">
        <f>SUBSTITUTE(SUBSTITUTE(SUBSTITUTE(SUBSTITUTE(SUBSTITUTE(SUBSTITUTE(LOWER(IF(ISNUMBER(FIND(";",I14)),MID(I14,FIND(";",I14)+1,99),I14))," ",""),"%%c","t"),"ø","t"),"φ","t"),"f","t"),"d","t")</f>
        <v/>
      </c>
      <c r="J78">
        <f>SUBSTITUTE(SUBSTITUTE(SUBSTITUTE(SUBSTITUTE(SUBSTITUTE(SUBSTITUTE(LOWER(IF(ISNUMBER(FIND(";",J14)),MID(J14,FIND(";",J14)+1,99),J14))," ",""),"%%c","t"),"ø","t"),"φ","t"),"f","t"),"d","t")</f>
        <v/>
      </c>
      <c r="K78">
        <f>SUBSTITUTE(SUBSTITUTE(SUBSTITUTE(SUBSTITUTE(SUBSTITUTE(SUBSTITUTE(LOWER(IF(ISNUMBER(FIND(";",K14)),MID(K14,FIND(";",K14)+1,99),K14))," ",""),"%%c","t"),"ø","t"),"φ","t"),"f","t"),"d","t")</f>
        <v/>
      </c>
      <c r="L78">
        <f>SUBSTITUTE(SUBSTITUTE(SUBSTITUTE(SUBSTITUTE(SUBSTITUTE(SUBSTITUTE(LOWER(IF(ISNUMBER(FIND(";",L14)),MID(L14,FIND(";",L14)+1,99),L14))," ",""),"%%c","t"),"ø","t"),"φ","t"),"f","t"),"d","t")</f>
        <v/>
      </c>
      <c r="M78">
        <f>SUBSTITUTE(SUBSTITUTE(SUBSTITUTE(SUBSTITUTE(SUBSTITUTE(SUBSTITUTE(LOWER(IF(ISNUMBER(FIND(";",M14)),MID(M14,FIND(";",M14)+1,99),M14))," ",""),"%%c","t"),"ø","t"),"φ","t"),"f","t"),"d","t")</f>
        <v/>
      </c>
      <c r="N78">
        <f>SUBSTITUTE(SUBSTITUTE(SUBSTITUTE(SUBSTITUTE(SUBSTITUTE(SUBSTITUTE(LOWER(IF(ISNUMBER(FIND(";",N14)),MID(N14,FIND(";",N14)+1,99),N14))," ",""),"%%c","t"),"ø","t"),"φ","t"),"f","t"),"d","t")</f>
        <v/>
      </c>
      <c r="O78">
        <f>SUBSTITUTE(SUBSTITUTE(SUBSTITUTE(SUBSTITUTE(SUBSTITUTE(SUBSTITUTE(LOWER(IF(ISNUMBER(FIND(";",O14)),MID(O14,FIND(";",O14)+1,99),O14))," ",""),"%%c","t"),"ø","t"),"φ","t"),"f","t"),"d","t")</f>
        <v/>
      </c>
      <c r="P78">
        <f>SUBSTITUTE(SUBSTITUTE(SUBSTITUTE(SUBSTITUTE(SUBSTITUTE(SUBSTITUTE(LOWER(IF(ISNUMBER(FIND(";",P14)),MID(P14,FIND(";",P14)+1,99),P14))," ",""),"%%c","t"),"ø","t"),"φ","t"),"f","t"),"d","t")</f>
        <v/>
      </c>
      <c r="Q78">
        <f>SUBSTITUTE(SUBSTITUTE(SUBSTITUTE(SUBSTITUTE(SUBSTITUTE(SUBSTITUTE(LOWER(IF(ISNUMBER(FIND(";",Q14)),MID(Q14,FIND(";",Q14)+1,99),Q14))," ",""),"%%c","t"),"ø","t"),"φ","t"),"f","t"),"d","t")</f>
        <v/>
      </c>
      <c r="R78">
        <f>SUBSTITUTE(SUBSTITUTE(SUBSTITUTE(SUBSTITUTE(SUBSTITUTE(SUBSTITUTE(LOWER(IF(ISNUMBER(FIND(";",R14)),MID(R14,FIND(";",R14)+1,99),R14))," ",""),"%%c","t"),"ø","t"),"φ","t"),"f","t"),"d","t")</f>
        <v/>
      </c>
      <c r="S78">
        <f>SUBSTITUTE(SUBSTITUTE(SUBSTITUTE(SUBSTITUTE(SUBSTITUTE(SUBSTITUTE(LOWER(IF(ISNUMBER(FIND(";",S14)),MID(S14,FIND(";",S14)+1,99),S14))," ",""),"%%c","t"),"ø","t"),"φ","t"),"f","t"),"d","t")</f>
        <v/>
      </c>
      <c r="T78">
        <f>SUBSTITUTE(SUBSTITUTE(SUBSTITUTE(SUBSTITUTE(SUBSTITUTE(SUBSTITUTE(LOWER(IF(ISNUMBER(FIND(";",T14)),MID(T14,FIND(";",T14)+1,99),T14))," ",""),"%%c","t"),"ø","t"),"φ","t"),"f","t"),"d","t")</f>
        <v/>
      </c>
      <c r="U78">
        <f>SUBSTITUTE(SUBSTITUTE(SUBSTITUTE(SUBSTITUTE(SUBSTITUTE(SUBSTITUTE(LOWER(IF(ISNUMBER(FIND(";",U14)),MID(U14,FIND(";",U14)+1,99),U14))," ",""),"%%c","t"),"ø","t"),"φ","t"),"f","t"),"d","t")</f>
        <v/>
      </c>
      <c r="V78">
        <f>SUBSTITUTE(SUBSTITUTE(SUBSTITUTE(SUBSTITUTE(SUBSTITUTE(SUBSTITUTE(LOWER(IF(ISNUMBER(FIND(";",V14)),MID(V14,FIND(";",V14)+1,99),V14))," ",""),"%%c","t"),"ø","t"),"φ","t"),"f","t"),"d","t")</f>
        <v/>
      </c>
      <c r="W78">
        <f>SUBSTITUTE(SUBSTITUTE(SUBSTITUTE(SUBSTITUTE(SUBSTITUTE(SUBSTITUTE(LOWER(IF(ISNUMBER(FIND(";",W14)),MID(W14,FIND(";",W14)+1,99),W14))," ",""),"%%c","t"),"ø","t"),"φ","t"),"f","t"),"d","t")</f>
        <v/>
      </c>
      <c r="X78">
        <f>SUBSTITUTE(SUBSTITUTE(SUBSTITUTE(SUBSTITUTE(SUBSTITUTE(SUBSTITUTE(LOWER(IF(ISNUMBER(FIND(";",X14)),MID(X14,FIND(";",X14)+1,99),X14))," ",""),"%%c","t"),"ø","t"),"φ","t"),"f","t"),"d","t")</f>
        <v/>
      </c>
      <c r="Y78">
        <f>SUBSTITUTE(SUBSTITUTE(SUBSTITUTE(SUBSTITUTE(SUBSTITUTE(SUBSTITUTE(LOWER(IF(ISNUMBER(FIND(";",Y14)),MID(Y14,FIND(";",Y14)+1,99),Y14))," ",""),"%%c","t"),"ø","t"),"φ","t"),"f","t"),"d","t")</f>
        <v/>
      </c>
      <c r="Z78">
        <f>SUBSTITUTE(SUBSTITUTE(SUBSTITUTE(SUBSTITUTE(SUBSTITUTE(SUBSTITUTE(LOWER(IF(ISNUMBER(FIND(";",Z14)),MID(Z14,FIND(";",Z14)+1,99),Z14))," ",""),"%%c","t"),"ø","t"),"φ","t"),"f","t"),"d","t")</f>
        <v/>
      </c>
      <c r="AA78">
        <f>SUBSTITUTE(SUBSTITUTE(SUBSTITUTE(SUBSTITUTE(SUBSTITUTE(SUBSTITUTE(LOWER(IF(ISNUMBER(FIND(";",AA14)),MID(AA14,FIND(";",AA14)+1,99),AA14))," ",""),"%%c","t"),"ø","t"),"φ","t"),"f","t"),"d","t")</f>
        <v/>
      </c>
      <c r="AB78">
        <f>SUBSTITUTE(SUBSTITUTE(SUBSTITUTE(SUBSTITUTE(SUBSTITUTE(SUBSTITUTE(LOWER(IF(ISNUMBER(FIND(";",AB14)),MID(AB14,FIND(";",AB14)+1,99),AB14))," ",""),"%%c","t"),"ø","t"),"φ","t"),"f","t"),"d","t")</f>
        <v/>
      </c>
      <c r="AC78">
        <f>SUBSTITUTE(SUBSTITUTE(SUBSTITUTE(SUBSTITUTE(SUBSTITUTE(SUBSTITUTE(LOWER(IF(ISNUMBER(FIND(";",AC14)),MID(AC14,FIND(";",AC14)+1,99),AC14))," ",""),"%%c","t"),"ø","t"),"φ","t"),"f","t"),"d","t")</f>
        <v/>
      </c>
      <c r="AD78">
        <f>SUBSTITUTE(SUBSTITUTE(SUBSTITUTE(SUBSTITUTE(SUBSTITUTE(SUBSTITUTE(LOWER(IF(ISNUMBER(FIND(";",AD14)),MID(AD14,FIND(";",AD14)+1,99),AD14))," ",""),"%%c","t"),"ø","t"),"φ","t"),"f","t"),"d","t")</f>
        <v/>
      </c>
      <c r="AE78">
        <f>SUBSTITUTE(SUBSTITUTE(SUBSTITUTE(SUBSTITUTE(SUBSTITUTE(SUBSTITUTE(LOWER(IF(ISNUMBER(FIND(";",AE14)),MID(AE14,FIND(";",AE14)+1,99),AE14))," ",""),"%%c","t"),"ø","t"),"φ","t"),"f","t"),"d","t")</f>
        <v/>
      </c>
      <c r="AF78">
        <f>SUBSTITUTE(SUBSTITUTE(SUBSTITUTE(SUBSTITUTE(SUBSTITUTE(SUBSTITUTE(LOWER(IF(ISNUMBER(FIND(";",AF14)),MID(AF14,FIND(";",AF14)+1,99),AF14))," ",""),"%%c","t"),"ø","t"),"φ","t"),"f","t"),"d","t")</f>
        <v/>
      </c>
      <c r="AG78">
        <f>SUBSTITUTE(SUBSTITUTE(SUBSTITUTE(SUBSTITUTE(SUBSTITUTE(SUBSTITUTE(LOWER(IF(ISNUMBER(FIND(";",AG14)),MID(AG14,FIND(";",AG14)+1,99),AG14))," ",""),"%%c","t"),"ø","t"),"φ","t"),"f","t"),"d","t")</f>
        <v/>
      </c>
    </row>
    <row r="79" hidden="1" outlineLevel="1">
      <c r="A79" s="60" t="inlineStr">
        <is>
          <t>(phụ trợ) A_T2R</t>
        </is>
      </c>
      <c r="C79">
        <f>IFERROR(LEFT(LEFT(C78,FIND("+",C78&amp;"+")-1),FIND("t",LEFT(C78,FIND("+",C78&amp;"+")-1))-1)*MID(LEFT(C78,FIND("+",C78&amp;"+")-1),FIND("t",LEFT(C78,FIND("+",C78&amp;"+")-1))+1,2)^2*PI()/400,0)+IFERROR(LEFT(MID(C78,FIND("+",C78&amp;"+")+1,99),FIND("t",MID(C78,FIND("+",C78&amp;"+")+1,99))-1)*MID(MID(C78,FIND("+",C78&amp;"+")+1,99),FIND("t",MID(C78,FIND("+",C78&amp;"+")+1,99))+1,2)^2*PI()/400,0)</f>
        <v/>
      </c>
      <c r="D79">
        <f>IFERROR(LEFT(LEFT(D78,FIND("+",D78&amp;"+")-1),FIND("t",LEFT(D78,FIND("+",D78&amp;"+")-1))-1)*MID(LEFT(D78,FIND("+",D78&amp;"+")-1),FIND("t",LEFT(D78,FIND("+",D78&amp;"+")-1))+1,2)^2*PI()/400,0)+IFERROR(LEFT(MID(D78,FIND("+",D78&amp;"+")+1,99),FIND("t",MID(D78,FIND("+",D78&amp;"+")+1,99))-1)*MID(MID(D78,FIND("+",D78&amp;"+")+1,99),FIND("t",MID(D78,FIND("+",D78&amp;"+")+1,99))+1,2)^2*PI()/400,0)</f>
        <v/>
      </c>
      <c r="E79">
        <f>IFERROR(LEFT(LEFT(E78,FIND("+",E78&amp;"+")-1),FIND("t",LEFT(E78,FIND("+",E78&amp;"+")-1))-1)*MID(LEFT(E78,FIND("+",E78&amp;"+")-1),FIND("t",LEFT(E78,FIND("+",E78&amp;"+")-1))+1,2)^2*PI()/400,0)+IFERROR(LEFT(MID(E78,FIND("+",E78&amp;"+")+1,99),FIND("t",MID(E78,FIND("+",E78&amp;"+")+1,99))-1)*MID(MID(E78,FIND("+",E78&amp;"+")+1,99),FIND("t",MID(E78,FIND("+",E78&amp;"+")+1,99))+1,2)^2*PI()/400,0)</f>
        <v/>
      </c>
      <c r="F79">
        <f>IFERROR(LEFT(LEFT(F78,FIND("+",F78&amp;"+")-1),FIND("t",LEFT(F78,FIND("+",F78&amp;"+")-1))-1)*MID(LEFT(F78,FIND("+",F78&amp;"+")-1),FIND("t",LEFT(F78,FIND("+",F78&amp;"+")-1))+1,2)^2*PI()/400,0)+IFERROR(LEFT(MID(F78,FIND("+",F78&amp;"+")+1,99),FIND("t",MID(F78,FIND("+",F78&amp;"+")+1,99))-1)*MID(MID(F78,FIND("+",F78&amp;"+")+1,99),FIND("t",MID(F78,FIND("+",F78&amp;"+")+1,99))+1,2)^2*PI()/400,0)</f>
        <v/>
      </c>
      <c r="G79">
        <f>IFERROR(LEFT(LEFT(G78,FIND("+",G78&amp;"+")-1),FIND("t",LEFT(G78,FIND("+",G78&amp;"+")-1))-1)*MID(LEFT(G78,FIND("+",G78&amp;"+")-1),FIND("t",LEFT(G78,FIND("+",G78&amp;"+")-1))+1,2)^2*PI()/400,0)+IFERROR(LEFT(MID(G78,FIND("+",G78&amp;"+")+1,99),FIND("t",MID(G78,FIND("+",G78&amp;"+")+1,99))-1)*MID(MID(G78,FIND("+",G78&amp;"+")+1,99),FIND("t",MID(G78,FIND("+",G78&amp;"+")+1,99))+1,2)^2*PI()/400,0)</f>
        <v/>
      </c>
      <c r="H79">
        <f>IFERROR(LEFT(LEFT(H78,FIND("+",H78&amp;"+")-1),FIND("t",LEFT(H78,FIND("+",H78&amp;"+")-1))-1)*MID(LEFT(H78,FIND("+",H78&amp;"+")-1),FIND("t",LEFT(H78,FIND("+",H78&amp;"+")-1))+1,2)^2*PI()/400,0)+IFERROR(LEFT(MID(H78,FIND("+",H78&amp;"+")+1,99),FIND("t",MID(H78,FIND("+",H78&amp;"+")+1,99))-1)*MID(MID(H78,FIND("+",H78&amp;"+")+1,99),FIND("t",MID(H78,FIND("+",H78&amp;"+")+1,99))+1,2)^2*PI()/400,0)</f>
        <v/>
      </c>
      <c r="I79">
        <f>IFERROR(LEFT(LEFT(I78,FIND("+",I78&amp;"+")-1),FIND("t",LEFT(I78,FIND("+",I78&amp;"+")-1))-1)*MID(LEFT(I78,FIND("+",I78&amp;"+")-1),FIND("t",LEFT(I78,FIND("+",I78&amp;"+")-1))+1,2)^2*PI()/400,0)+IFERROR(LEFT(MID(I78,FIND("+",I78&amp;"+")+1,99),FIND("t",MID(I78,FIND("+",I78&amp;"+")+1,99))-1)*MID(MID(I78,FIND("+",I78&amp;"+")+1,99),FIND("t",MID(I78,FIND("+",I78&amp;"+")+1,99))+1,2)^2*PI()/400,0)</f>
        <v/>
      </c>
      <c r="J79">
        <f>IFERROR(LEFT(LEFT(J78,FIND("+",J78&amp;"+")-1),FIND("t",LEFT(J78,FIND("+",J78&amp;"+")-1))-1)*MID(LEFT(J78,FIND("+",J78&amp;"+")-1),FIND("t",LEFT(J78,FIND("+",J78&amp;"+")-1))+1,2)^2*PI()/400,0)+IFERROR(LEFT(MID(J78,FIND("+",J78&amp;"+")+1,99),FIND("t",MID(J78,FIND("+",J78&amp;"+")+1,99))-1)*MID(MID(J78,FIND("+",J78&amp;"+")+1,99),FIND("t",MID(J78,FIND("+",J78&amp;"+")+1,99))+1,2)^2*PI()/400,0)</f>
        <v/>
      </c>
      <c r="K79">
        <f>IFERROR(LEFT(LEFT(K78,FIND("+",K78&amp;"+")-1),FIND("t",LEFT(K78,FIND("+",K78&amp;"+")-1))-1)*MID(LEFT(K78,FIND("+",K78&amp;"+")-1),FIND("t",LEFT(K78,FIND("+",K78&amp;"+")-1))+1,2)^2*PI()/400,0)+IFERROR(LEFT(MID(K78,FIND("+",K78&amp;"+")+1,99),FIND("t",MID(K78,FIND("+",K78&amp;"+")+1,99))-1)*MID(MID(K78,FIND("+",K78&amp;"+")+1,99),FIND("t",MID(K78,FIND("+",K78&amp;"+")+1,99))+1,2)^2*PI()/400,0)</f>
        <v/>
      </c>
      <c r="L79">
        <f>IFERROR(LEFT(LEFT(L78,FIND("+",L78&amp;"+")-1),FIND("t",LEFT(L78,FIND("+",L78&amp;"+")-1))-1)*MID(LEFT(L78,FIND("+",L78&amp;"+")-1),FIND("t",LEFT(L78,FIND("+",L78&amp;"+")-1))+1,2)^2*PI()/400,0)+IFERROR(LEFT(MID(L78,FIND("+",L78&amp;"+")+1,99),FIND("t",MID(L78,FIND("+",L78&amp;"+")+1,99))-1)*MID(MID(L78,FIND("+",L78&amp;"+")+1,99),FIND("t",MID(L78,FIND("+",L78&amp;"+")+1,99))+1,2)^2*PI()/400,0)</f>
        <v/>
      </c>
      <c r="M79">
        <f>IFERROR(LEFT(LEFT(M78,FIND("+",M78&amp;"+")-1),FIND("t",LEFT(M78,FIND("+",M78&amp;"+")-1))-1)*MID(LEFT(M78,FIND("+",M78&amp;"+")-1),FIND("t",LEFT(M78,FIND("+",M78&amp;"+")-1))+1,2)^2*PI()/400,0)+IFERROR(LEFT(MID(M78,FIND("+",M78&amp;"+")+1,99),FIND("t",MID(M78,FIND("+",M78&amp;"+")+1,99))-1)*MID(MID(M78,FIND("+",M78&amp;"+")+1,99),FIND("t",MID(M78,FIND("+",M78&amp;"+")+1,99))+1,2)^2*PI()/400,0)</f>
        <v/>
      </c>
      <c r="N79">
        <f>IFERROR(LEFT(LEFT(N78,FIND("+",N78&amp;"+")-1),FIND("t",LEFT(N78,FIND("+",N78&amp;"+")-1))-1)*MID(LEFT(N78,FIND("+",N78&amp;"+")-1),FIND("t",LEFT(N78,FIND("+",N78&amp;"+")-1))+1,2)^2*PI()/400,0)+IFERROR(LEFT(MID(N78,FIND("+",N78&amp;"+")+1,99),FIND("t",MID(N78,FIND("+",N78&amp;"+")+1,99))-1)*MID(MID(N78,FIND("+",N78&amp;"+")+1,99),FIND("t",MID(N78,FIND("+",N78&amp;"+")+1,99))+1,2)^2*PI()/400,0)</f>
        <v/>
      </c>
      <c r="O79">
        <f>IFERROR(LEFT(LEFT(O78,FIND("+",O78&amp;"+")-1),FIND("t",LEFT(O78,FIND("+",O78&amp;"+")-1))-1)*MID(LEFT(O78,FIND("+",O78&amp;"+")-1),FIND("t",LEFT(O78,FIND("+",O78&amp;"+")-1))+1,2)^2*PI()/400,0)+IFERROR(LEFT(MID(O78,FIND("+",O78&amp;"+")+1,99),FIND("t",MID(O78,FIND("+",O78&amp;"+")+1,99))-1)*MID(MID(O78,FIND("+",O78&amp;"+")+1,99),FIND("t",MID(O78,FIND("+",O78&amp;"+")+1,99))+1,2)^2*PI()/400,0)</f>
        <v/>
      </c>
      <c r="P79">
        <f>IFERROR(LEFT(LEFT(P78,FIND("+",P78&amp;"+")-1),FIND("t",LEFT(P78,FIND("+",P78&amp;"+")-1))-1)*MID(LEFT(P78,FIND("+",P78&amp;"+")-1),FIND("t",LEFT(P78,FIND("+",P78&amp;"+")-1))+1,2)^2*PI()/400,0)+IFERROR(LEFT(MID(P78,FIND("+",P78&amp;"+")+1,99),FIND("t",MID(P78,FIND("+",P78&amp;"+")+1,99))-1)*MID(MID(P78,FIND("+",P78&amp;"+")+1,99),FIND("t",MID(P78,FIND("+",P78&amp;"+")+1,99))+1,2)^2*PI()/400,0)</f>
        <v/>
      </c>
      <c r="Q79">
        <f>IFERROR(LEFT(LEFT(Q78,FIND("+",Q78&amp;"+")-1),FIND("t",LEFT(Q78,FIND("+",Q78&amp;"+")-1))-1)*MID(LEFT(Q78,FIND("+",Q78&amp;"+")-1),FIND("t",LEFT(Q78,FIND("+",Q78&amp;"+")-1))+1,2)^2*PI()/400,0)+IFERROR(LEFT(MID(Q78,FIND("+",Q78&amp;"+")+1,99),FIND("t",MID(Q78,FIND("+",Q78&amp;"+")+1,99))-1)*MID(MID(Q78,FIND("+",Q78&amp;"+")+1,99),FIND("t",MID(Q78,FIND("+",Q78&amp;"+")+1,99))+1,2)^2*PI()/400,0)</f>
        <v/>
      </c>
      <c r="R79">
        <f>IFERROR(LEFT(LEFT(R78,FIND("+",R78&amp;"+")-1),FIND("t",LEFT(R78,FIND("+",R78&amp;"+")-1))-1)*MID(LEFT(R78,FIND("+",R78&amp;"+")-1),FIND("t",LEFT(R78,FIND("+",R78&amp;"+")-1))+1,2)^2*PI()/400,0)+IFERROR(LEFT(MID(R78,FIND("+",R78&amp;"+")+1,99),FIND("t",MID(R78,FIND("+",R78&amp;"+")+1,99))-1)*MID(MID(R78,FIND("+",R78&amp;"+")+1,99),FIND("t",MID(R78,FIND("+",R78&amp;"+")+1,99))+1,2)^2*PI()/400,0)</f>
        <v/>
      </c>
      <c r="S79">
        <f>IFERROR(LEFT(LEFT(S78,FIND("+",S78&amp;"+")-1),FIND("t",LEFT(S78,FIND("+",S78&amp;"+")-1))-1)*MID(LEFT(S78,FIND("+",S78&amp;"+")-1),FIND("t",LEFT(S78,FIND("+",S78&amp;"+")-1))+1,2)^2*PI()/400,0)+IFERROR(LEFT(MID(S78,FIND("+",S78&amp;"+")+1,99),FIND("t",MID(S78,FIND("+",S78&amp;"+")+1,99))-1)*MID(MID(S78,FIND("+",S78&amp;"+")+1,99),FIND("t",MID(S78,FIND("+",S78&amp;"+")+1,99))+1,2)^2*PI()/400,0)</f>
        <v/>
      </c>
      <c r="T79">
        <f>IFERROR(LEFT(LEFT(T78,FIND("+",T78&amp;"+")-1),FIND("t",LEFT(T78,FIND("+",T78&amp;"+")-1))-1)*MID(LEFT(T78,FIND("+",T78&amp;"+")-1),FIND("t",LEFT(T78,FIND("+",T78&amp;"+")-1))+1,2)^2*PI()/400,0)+IFERROR(LEFT(MID(T78,FIND("+",T78&amp;"+")+1,99),FIND("t",MID(T78,FIND("+",T78&amp;"+")+1,99))-1)*MID(MID(T78,FIND("+",T78&amp;"+")+1,99),FIND("t",MID(T78,FIND("+",T78&amp;"+")+1,99))+1,2)^2*PI()/400,0)</f>
        <v/>
      </c>
      <c r="U79">
        <f>IFERROR(LEFT(LEFT(U78,FIND("+",U78&amp;"+")-1),FIND("t",LEFT(U78,FIND("+",U78&amp;"+")-1))-1)*MID(LEFT(U78,FIND("+",U78&amp;"+")-1),FIND("t",LEFT(U78,FIND("+",U78&amp;"+")-1))+1,2)^2*PI()/400,0)+IFERROR(LEFT(MID(U78,FIND("+",U78&amp;"+")+1,99),FIND("t",MID(U78,FIND("+",U78&amp;"+")+1,99))-1)*MID(MID(U78,FIND("+",U78&amp;"+")+1,99),FIND("t",MID(U78,FIND("+",U78&amp;"+")+1,99))+1,2)^2*PI()/400,0)</f>
        <v/>
      </c>
      <c r="V79">
        <f>IFERROR(LEFT(LEFT(V78,FIND("+",V78&amp;"+")-1),FIND("t",LEFT(V78,FIND("+",V78&amp;"+")-1))-1)*MID(LEFT(V78,FIND("+",V78&amp;"+")-1),FIND("t",LEFT(V78,FIND("+",V78&amp;"+")-1))+1,2)^2*PI()/400,0)+IFERROR(LEFT(MID(V78,FIND("+",V78&amp;"+")+1,99),FIND("t",MID(V78,FIND("+",V78&amp;"+")+1,99))-1)*MID(MID(V78,FIND("+",V78&amp;"+")+1,99),FIND("t",MID(V78,FIND("+",V78&amp;"+")+1,99))+1,2)^2*PI()/400,0)</f>
        <v/>
      </c>
      <c r="W79">
        <f>IFERROR(LEFT(LEFT(W78,FIND("+",W78&amp;"+")-1),FIND("t",LEFT(W78,FIND("+",W78&amp;"+")-1))-1)*MID(LEFT(W78,FIND("+",W78&amp;"+")-1),FIND("t",LEFT(W78,FIND("+",W78&amp;"+")-1))+1,2)^2*PI()/400,0)+IFERROR(LEFT(MID(W78,FIND("+",W78&amp;"+")+1,99),FIND("t",MID(W78,FIND("+",W78&amp;"+")+1,99))-1)*MID(MID(W78,FIND("+",W78&amp;"+")+1,99),FIND("t",MID(W78,FIND("+",W78&amp;"+")+1,99))+1,2)^2*PI()/400,0)</f>
        <v/>
      </c>
      <c r="X79">
        <f>IFERROR(LEFT(LEFT(X78,FIND("+",X78&amp;"+")-1),FIND("t",LEFT(X78,FIND("+",X78&amp;"+")-1))-1)*MID(LEFT(X78,FIND("+",X78&amp;"+")-1),FIND("t",LEFT(X78,FIND("+",X78&amp;"+")-1))+1,2)^2*PI()/400,0)+IFERROR(LEFT(MID(X78,FIND("+",X78&amp;"+")+1,99),FIND("t",MID(X78,FIND("+",X78&amp;"+")+1,99))-1)*MID(MID(X78,FIND("+",X78&amp;"+")+1,99),FIND("t",MID(X78,FIND("+",X78&amp;"+")+1,99))+1,2)^2*PI()/400,0)</f>
        <v/>
      </c>
      <c r="Y79">
        <f>IFERROR(LEFT(LEFT(Y78,FIND("+",Y78&amp;"+")-1),FIND("t",LEFT(Y78,FIND("+",Y78&amp;"+")-1))-1)*MID(LEFT(Y78,FIND("+",Y78&amp;"+")-1),FIND("t",LEFT(Y78,FIND("+",Y78&amp;"+")-1))+1,2)^2*PI()/400,0)+IFERROR(LEFT(MID(Y78,FIND("+",Y78&amp;"+")+1,99),FIND("t",MID(Y78,FIND("+",Y78&amp;"+")+1,99))-1)*MID(MID(Y78,FIND("+",Y78&amp;"+")+1,99),FIND("t",MID(Y78,FIND("+",Y78&amp;"+")+1,99))+1,2)^2*PI()/400,0)</f>
        <v/>
      </c>
      <c r="Z79">
        <f>IFERROR(LEFT(LEFT(Z78,FIND("+",Z78&amp;"+")-1),FIND("t",LEFT(Z78,FIND("+",Z78&amp;"+")-1))-1)*MID(LEFT(Z78,FIND("+",Z78&amp;"+")-1),FIND("t",LEFT(Z78,FIND("+",Z78&amp;"+")-1))+1,2)^2*PI()/400,0)+IFERROR(LEFT(MID(Z78,FIND("+",Z78&amp;"+")+1,99),FIND("t",MID(Z78,FIND("+",Z78&amp;"+")+1,99))-1)*MID(MID(Z78,FIND("+",Z78&amp;"+")+1,99),FIND("t",MID(Z78,FIND("+",Z78&amp;"+")+1,99))+1,2)^2*PI()/400,0)</f>
        <v/>
      </c>
      <c r="AA79">
        <f>IFERROR(LEFT(LEFT(AA78,FIND("+",AA78&amp;"+")-1),FIND("t",LEFT(AA78,FIND("+",AA78&amp;"+")-1))-1)*MID(LEFT(AA78,FIND("+",AA78&amp;"+")-1),FIND("t",LEFT(AA78,FIND("+",AA78&amp;"+")-1))+1,2)^2*PI()/400,0)+IFERROR(LEFT(MID(AA78,FIND("+",AA78&amp;"+")+1,99),FIND("t",MID(AA78,FIND("+",AA78&amp;"+")+1,99))-1)*MID(MID(AA78,FIND("+",AA78&amp;"+")+1,99),FIND("t",MID(AA78,FIND("+",AA78&amp;"+")+1,99))+1,2)^2*PI()/400,0)</f>
        <v/>
      </c>
      <c r="AB79">
        <f>IFERROR(LEFT(LEFT(AB78,FIND("+",AB78&amp;"+")-1),FIND("t",LEFT(AB78,FIND("+",AB78&amp;"+")-1))-1)*MID(LEFT(AB78,FIND("+",AB78&amp;"+")-1),FIND("t",LEFT(AB78,FIND("+",AB78&amp;"+")-1))+1,2)^2*PI()/400,0)+IFERROR(LEFT(MID(AB78,FIND("+",AB78&amp;"+")+1,99),FIND("t",MID(AB78,FIND("+",AB78&amp;"+")+1,99))-1)*MID(MID(AB78,FIND("+",AB78&amp;"+")+1,99),FIND("t",MID(AB78,FIND("+",AB78&amp;"+")+1,99))+1,2)^2*PI()/400,0)</f>
        <v/>
      </c>
      <c r="AC79">
        <f>IFERROR(LEFT(LEFT(AC78,FIND("+",AC78&amp;"+")-1),FIND("t",LEFT(AC78,FIND("+",AC78&amp;"+")-1))-1)*MID(LEFT(AC78,FIND("+",AC78&amp;"+")-1),FIND("t",LEFT(AC78,FIND("+",AC78&amp;"+")-1))+1,2)^2*PI()/400,0)+IFERROR(LEFT(MID(AC78,FIND("+",AC78&amp;"+")+1,99),FIND("t",MID(AC78,FIND("+",AC78&amp;"+")+1,99))-1)*MID(MID(AC78,FIND("+",AC78&amp;"+")+1,99),FIND("t",MID(AC78,FIND("+",AC78&amp;"+")+1,99))+1,2)^2*PI()/400,0)</f>
        <v/>
      </c>
      <c r="AD79">
        <f>IFERROR(LEFT(LEFT(AD78,FIND("+",AD78&amp;"+")-1),FIND("t",LEFT(AD78,FIND("+",AD78&amp;"+")-1))-1)*MID(LEFT(AD78,FIND("+",AD78&amp;"+")-1),FIND("t",LEFT(AD78,FIND("+",AD78&amp;"+")-1))+1,2)^2*PI()/400,0)+IFERROR(LEFT(MID(AD78,FIND("+",AD78&amp;"+")+1,99),FIND("t",MID(AD78,FIND("+",AD78&amp;"+")+1,99))-1)*MID(MID(AD78,FIND("+",AD78&amp;"+")+1,99),FIND("t",MID(AD78,FIND("+",AD78&amp;"+")+1,99))+1,2)^2*PI()/400,0)</f>
        <v/>
      </c>
      <c r="AE79">
        <f>IFERROR(LEFT(LEFT(AE78,FIND("+",AE78&amp;"+")-1),FIND("t",LEFT(AE78,FIND("+",AE78&amp;"+")-1))-1)*MID(LEFT(AE78,FIND("+",AE78&amp;"+")-1),FIND("t",LEFT(AE78,FIND("+",AE78&amp;"+")-1))+1,2)^2*PI()/400,0)+IFERROR(LEFT(MID(AE78,FIND("+",AE78&amp;"+")+1,99),FIND("t",MID(AE78,FIND("+",AE78&amp;"+")+1,99))-1)*MID(MID(AE78,FIND("+",AE78&amp;"+")+1,99),FIND("t",MID(AE78,FIND("+",AE78&amp;"+")+1,99))+1,2)^2*PI()/400,0)</f>
        <v/>
      </c>
      <c r="AF79">
        <f>IFERROR(LEFT(LEFT(AF78,FIND("+",AF78&amp;"+")-1),FIND("t",LEFT(AF78,FIND("+",AF78&amp;"+")-1))-1)*MID(LEFT(AF78,FIND("+",AF78&amp;"+")-1),FIND("t",LEFT(AF78,FIND("+",AF78&amp;"+")-1))+1,2)^2*PI()/400,0)+IFERROR(LEFT(MID(AF78,FIND("+",AF78&amp;"+")+1,99),FIND("t",MID(AF78,FIND("+",AF78&amp;"+")+1,99))-1)*MID(MID(AF78,FIND("+",AF78&amp;"+")+1,99),FIND("t",MID(AF78,FIND("+",AF78&amp;"+")+1,99))+1,2)^2*PI()/400,0)</f>
        <v/>
      </c>
      <c r="AG79">
        <f>IFERROR(LEFT(LEFT(AG78,FIND("+",AG78&amp;"+")-1),FIND("t",LEFT(AG78,FIND("+",AG78&amp;"+")-1))-1)*MID(LEFT(AG78,FIND("+",AG78&amp;"+")-1),FIND("t",LEFT(AG78,FIND("+",AG78&amp;"+")-1))+1,2)^2*PI()/400,0)+IFERROR(LEFT(MID(AG78,FIND("+",AG78&amp;"+")+1,99),FIND("t",MID(AG78,FIND("+",AG78&amp;"+")+1,99))-1)*MID(MID(AG78,FIND("+",AG78&amp;"+")+1,99),FIND("t",MID(AG78,FIND("+",AG78&amp;"+")+1,99))+1,2)^2*PI()/400,0)</f>
        <v/>
      </c>
    </row>
    <row r="80" hidden="1" outlineLevel="1">
      <c r="A80" s="60" t="inlineStr">
        <is>
          <t>(phụ trợ) N_T3L</t>
        </is>
      </c>
      <c r="C80">
        <f>SUBSTITUTE(SUBSTITUTE(SUBSTITUTE(SUBSTITUTE(SUBSTITUTE(SUBSTITUTE(LOWER(IF(ISNUMBER(FIND(";",C15)),LEFT(C15,FIND(";",C15)-1),C15))," ",""),"%%c","t"),"ø","t"),"φ","t"),"f","t"),"d","t")</f>
        <v/>
      </c>
      <c r="D80">
        <f>SUBSTITUTE(SUBSTITUTE(SUBSTITUTE(SUBSTITUTE(SUBSTITUTE(SUBSTITUTE(LOWER(IF(ISNUMBER(FIND(";",D15)),LEFT(D15,FIND(";",D15)-1),D15))," ",""),"%%c","t"),"ø","t"),"φ","t"),"f","t"),"d","t")</f>
        <v/>
      </c>
      <c r="E80">
        <f>SUBSTITUTE(SUBSTITUTE(SUBSTITUTE(SUBSTITUTE(SUBSTITUTE(SUBSTITUTE(LOWER(IF(ISNUMBER(FIND(";",E15)),LEFT(E15,FIND(";",E15)-1),E15))," ",""),"%%c","t"),"ø","t"),"φ","t"),"f","t"),"d","t")</f>
        <v/>
      </c>
      <c r="F80">
        <f>SUBSTITUTE(SUBSTITUTE(SUBSTITUTE(SUBSTITUTE(SUBSTITUTE(SUBSTITUTE(LOWER(IF(ISNUMBER(FIND(";",F15)),LEFT(F15,FIND(";",F15)-1),F15))," ",""),"%%c","t"),"ø","t"),"φ","t"),"f","t"),"d","t")</f>
        <v/>
      </c>
      <c r="G80">
        <f>SUBSTITUTE(SUBSTITUTE(SUBSTITUTE(SUBSTITUTE(SUBSTITUTE(SUBSTITUTE(LOWER(IF(ISNUMBER(FIND(";",G15)),LEFT(G15,FIND(";",G15)-1),G15))," ",""),"%%c","t"),"ø","t"),"φ","t"),"f","t"),"d","t")</f>
        <v/>
      </c>
      <c r="H80">
        <f>SUBSTITUTE(SUBSTITUTE(SUBSTITUTE(SUBSTITUTE(SUBSTITUTE(SUBSTITUTE(LOWER(IF(ISNUMBER(FIND(";",H15)),LEFT(H15,FIND(";",H15)-1),H15))," ",""),"%%c","t"),"ø","t"),"φ","t"),"f","t"),"d","t")</f>
        <v/>
      </c>
      <c r="I80">
        <f>SUBSTITUTE(SUBSTITUTE(SUBSTITUTE(SUBSTITUTE(SUBSTITUTE(SUBSTITUTE(LOWER(IF(ISNUMBER(FIND(";",I15)),LEFT(I15,FIND(";",I15)-1),I15))," ",""),"%%c","t"),"ø","t"),"φ","t"),"f","t"),"d","t")</f>
        <v/>
      </c>
      <c r="J80">
        <f>SUBSTITUTE(SUBSTITUTE(SUBSTITUTE(SUBSTITUTE(SUBSTITUTE(SUBSTITUTE(LOWER(IF(ISNUMBER(FIND(";",J15)),LEFT(J15,FIND(";",J15)-1),J15))," ",""),"%%c","t"),"ø","t"),"φ","t"),"f","t"),"d","t")</f>
        <v/>
      </c>
      <c r="K80">
        <f>SUBSTITUTE(SUBSTITUTE(SUBSTITUTE(SUBSTITUTE(SUBSTITUTE(SUBSTITUTE(LOWER(IF(ISNUMBER(FIND(";",K15)),LEFT(K15,FIND(";",K15)-1),K15))," ",""),"%%c","t"),"ø","t"),"φ","t"),"f","t"),"d","t")</f>
        <v/>
      </c>
      <c r="L80">
        <f>SUBSTITUTE(SUBSTITUTE(SUBSTITUTE(SUBSTITUTE(SUBSTITUTE(SUBSTITUTE(LOWER(IF(ISNUMBER(FIND(";",L15)),LEFT(L15,FIND(";",L15)-1),L15))," ",""),"%%c","t"),"ø","t"),"φ","t"),"f","t"),"d","t")</f>
        <v/>
      </c>
      <c r="M80">
        <f>SUBSTITUTE(SUBSTITUTE(SUBSTITUTE(SUBSTITUTE(SUBSTITUTE(SUBSTITUTE(LOWER(IF(ISNUMBER(FIND(";",M15)),LEFT(M15,FIND(";",M15)-1),M15))," ",""),"%%c","t"),"ø","t"),"φ","t"),"f","t"),"d","t")</f>
        <v/>
      </c>
      <c r="N80">
        <f>SUBSTITUTE(SUBSTITUTE(SUBSTITUTE(SUBSTITUTE(SUBSTITUTE(SUBSTITUTE(LOWER(IF(ISNUMBER(FIND(";",N15)),LEFT(N15,FIND(";",N15)-1),N15))," ",""),"%%c","t"),"ø","t"),"φ","t"),"f","t"),"d","t")</f>
        <v/>
      </c>
      <c r="O80">
        <f>SUBSTITUTE(SUBSTITUTE(SUBSTITUTE(SUBSTITUTE(SUBSTITUTE(SUBSTITUTE(LOWER(IF(ISNUMBER(FIND(";",O15)),LEFT(O15,FIND(";",O15)-1),O15))," ",""),"%%c","t"),"ø","t"),"φ","t"),"f","t"),"d","t")</f>
        <v/>
      </c>
      <c r="P80">
        <f>SUBSTITUTE(SUBSTITUTE(SUBSTITUTE(SUBSTITUTE(SUBSTITUTE(SUBSTITUTE(LOWER(IF(ISNUMBER(FIND(";",P15)),LEFT(P15,FIND(";",P15)-1),P15))," ",""),"%%c","t"),"ø","t"),"φ","t"),"f","t"),"d","t")</f>
        <v/>
      </c>
      <c r="Q80">
        <f>SUBSTITUTE(SUBSTITUTE(SUBSTITUTE(SUBSTITUTE(SUBSTITUTE(SUBSTITUTE(LOWER(IF(ISNUMBER(FIND(";",Q15)),LEFT(Q15,FIND(";",Q15)-1),Q15))," ",""),"%%c","t"),"ø","t"),"φ","t"),"f","t"),"d","t")</f>
        <v/>
      </c>
      <c r="R80">
        <f>SUBSTITUTE(SUBSTITUTE(SUBSTITUTE(SUBSTITUTE(SUBSTITUTE(SUBSTITUTE(LOWER(IF(ISNUMBER(FIND(";",R15)),LEFT(R15,FIND(";",R15)-1),R15))," ",""),"%%c","t"),"ø","t"),"φ","t"),"f","t"),"d","t")</f>
        <v/>
      </c>
      <c r="S80">
        <f>SUBSTITUTE(SUBSTITUTE(SUBSTITUTE(SUBSTITUTE(SUBSTITUTE(SUBSTITUTE(LOWER(IF(ISNUMBER(FIND(";",S15)),LEFT(S15,FIND(";",S15)-1),S15))," ",""),"%%c","t"),"ø","t"),"φ","t"),"f","t"),"d","t")</f>
        <v/>
      </c>
      <c r="T80">
        <f>SUBSTITUTE(SUBSTITUTE(SUBSTITUTE(SUBSTITUTE(SUBSTITUTE(SUBSTITUTE(LOWER(IF(ISNUMBER(FIND(";",T15)),LEFT(T15,FIND(";",T15)-1),T15))," ",""),"%%c","t"),"ø","t"),"φ","t"),"f","t"),"d","t")</f>
        <v/>
      </c>
      <c r="U80">
        <f>SUBSTITUTE(SUBSTITUTE(SUBSTITUTE(SUBSTITUTE(SUBSTITUTE(SUBSTITUTE(LOWER(IF(ISNUMBER(FIND(";",U15)),LEFT(U15,FIND(";",U15)-1),U15))," ",""),"%%c","t"),"ø","t"),"φ","t"),"f","t"),"d","t")</f>
        <v/>
      </c>
      <c r="V80">
        <f>SUBSTITUTE(SUBSTITUTE(SUBSTITUTE(SUBSTITUTE(SUBSTITUTE(SUBSTITUTE(LOWER(IF(ISNUMBER(FIND(";",V15)),LEFT(V15,FIND(";",V15)-1),V15))," ",""),"%%c","t"),"ø","t"),"φ","t"),"f","t"),"d","t")</f>
        <v/>
      </c>
      <c r="W80">
        <f>SUBSTITUTE(SUBSTITUTE(SUBSTITUTE(SUBSTITUTE(SUBSTITUTE(SUBSTITUTE(LOWER(IF(ISNUMBER(FIND(";",W15)),LEFT(W15,FIND(";",W15)-1),W15))," ",""),"%%c","t"),"ø","t"),"φ","t"),"f","t"),"d","t")</f>
        <v/>
      </c>
      <c r="X80">
        <f>SUBSTITUTE(SUBSTITUTE(SUBSTITUTE(SUBSTITUTE(SUBSTITUTE(SUBSTITUTE(LOWER(IF(ISNUMBER(FIND(";",X15)),LEFT(X15,FIND(";",X15)-1),X15))," ",""),"%%c","t"),"ø","t"),"φ","t"),"f","t"),"d","t")</f>
        <v/>
      </c>
      <c r="Y80">
        <f>SUBSTITUTE(SUBSTITUTE(SUBSTITUTE(SUBSTITUTE(SUBSTITUTE(SUBSTITUTE(LOWER(IF(ISNUMBER(FIND(";",Y15)),LEFT(Y15,FIND(";",Y15)-1),Y15))," ",""),"%%c","t"),"ø","t"),"φ","t"),"f","t"),"d","t")</f>
        <v/>
      </c>
      <c r="Z80">
        <f>SUBSTITUTE(SUBSTITUTE(SUBSTITUTE(SUBSTITUTE(SUBSTITUTE(SUBSTITUTE(LOWER(IF(ISNUMBER(FIND(";",Z15)),LEFT(Z15,FIND(";",Z15)-1),Z15))," ",""),"%%c","t"),"ø","t"),"φ","t"),"f","t"),"d","t")</f>
        <v/>
      </c>
      <c r="AA80">
        <f>SUBSTITUTE(SUBSTITUTE(SUBSTITUTE(SUBSTITUTE(SUBSTITUTE(SUBSTITUTE(LOWER(IF(ISNUMBER(FIND(";",AA15)),LEFT(AA15,FIND(";",AA15)-1),AA15))," ",""),"%%c","t"),"ø","t"),"φ","t"),"f","t"),"d","t")</f>
        <v/>
      </c>
      <c r="AB80">
        <f>SUBSTITUTE(SUBSTITUTE(SUBSTITUTE(SUBSTITUTE(SUBSTITUTE(SUBSTITUTE(LOWER(IF(ISNUMBER(FIND(";",AB15)),LEFT(AB15,FIND(";",AB15)-1),AB15))," ",""),"%%c","t"),"ø","t"),"φ","t"),"f","t"),"d","t")</f>
        <v/>
      </c>
      <c r="AC80">
        <f>SUBSTITUTE(SUBSTITUTE(SUBSTITUTE(SUBSTITUTE(SUBSTITUTE(SUBSTITUTE(LOWER(IF(ISNUMBER(FIND(";",AC15)),LEFT(AC15,FIND(";",AC15)-1),AC15))," ",""),"%%c","t"),"ø","t"),"φ","t"),"f","t"),"d","t")</f>
        <v/>
      </c>
      <c r="AD80">
        <f>SUBSTITUTE(SUBSTITUTE(SUBSTITUTE(SUBSTITUTE(SUBSTITUTE(SUBSTITUTE(LOWER(IF(ISNUMBER(FIND(";",AD15)),LEFT(AD15,FIND(";",AD15)-1),AD15))," ",""),"%%c","t"),"ø","t"),"φ","t"),"f","t"),"d","t")</f>
        <v/>
      </c>
      <c r="AE80">
        <f>SUBSTITUTE(SUBSTITUTE(SUBSTITUTE(SUBSTITUTE(SUBSTITUTE(SUBSTITUTE(LOWER(IF(ISNUMBER(FIND(";",AE15)),LEFT(AE15,FIND(";",AE15)-1),AE15))," ",""),"%%c","t"),"ø","t"),"φ","t"),"f","t"),"d","t")</f>
        <v/>
      </c>
      <c r="AF80">
        <f>SUBSTITUTE(SUBSTITUTE(SUBSTITUTE(SUBSTITUTE(SUBSTITUTE(SUBSTITUTE(LOWER(IF(ISNUMBER(FIND(";",AF15)),LEFT(AF15,FIND(";",AF15)-1),AF15))," ",""),"%%c","t"),"ø","t"),"φ","t"),"f","t"),"d","t")</f>
        <v/>
      </c>
      <c r="AG80">
        <f>SUBSTITUTE(SUBSTITUTE(SUBSTITUTE(SUBSTITUTE(SUBSTITUTE(SUBSTITUTE(LOWER(IF(ISNUMBER(FIND(";",AG15)),LEFT(AG15,FIND(";",AG15)-1),AG15))," ",""),"%%c","t"),"ø","t"),"φ","t"),"f","t"),"d","t")</f>
        <v/>
      </c>
    </row>
    <row r="81" hidden="1" outlineLevel="1">
      <c r="A81" s="60" t="inlineStr">
        <is>
          <t>(phụ trợ) A_T3L</t>
        </is>
      </c>
      <c r="C81">
        <f>IFERROR(LEFT(LEFT(C80,FIND("+",C80&amp;"+")-1),FIND("t",LEFT(C80,FIND("+",C80&amp;"+")-1))-1)*MID(LEFT(C80,FIND("+",C80&amp;"+")-1),FIND("t",LEFT(C80,FIND("+",C80&amp;"+")-1))+1,2)^2*PI()/400,0)+IFERROR(LEFT(MID(C80,FIND("+",C80&amp;"+")+1,99),FIND("t",MID(C80,FIND("+",C80&amp;"+")+1,99))-1)*MID(MID(C80,FIND("+",C80&amp;"+")+1,99),FIND("t",MID(C80,FIND("+",C80&amp;"+")+1,99))+1,2)^2*PI()/400,0)</f>
        <v/>
      </c>
      <c r="D81">
        <f>IFERROR(LEFT(LEFT(D80,FIND("+",D80&amp;"+")-1),FIND("t",LEFT(D80,FIND("+",D80&amp;"+")-1))-1)*MID(LEFT(D80,FIND("+",D80&amp;"+")-1),FIND("t",LEFT(D80,FIND("+",D80&amp;"+")-1))+1,2)^2*PI()/400,0)+IFERROR(LEFT(MID(D80,FIND("+",D80&amp;"+")+1,99),FIND("t",MID(D80,FIND("+",D80&amp;"+")+1,99))-1)*MID(MID(D80,FIND("+",D80&amp;"+")+1,99),FIND("t",MID(D80,FIND("+",D80&amp;"+")+1,99))+1,2)^2*PI()/400,0)</f>
        <v/>
      </c>
      <c r="E81">
        <f>IFERROR(LEFT(LEFT(E80,FIND("+",E80&amp;"+")-1),FIND("t",LEFT(E80,FIND("+",E80&amp;"+")-1))-1)*MID(LEFT(E80,FIND("+",E80&amp;"+")-1),FIND("t",LEFT(E80,FIND("+",E80&amp;"+")-1))+1,2)^2*PI()/400,0)+IFERROR(LEFT(MID(E80,FIND("+",E80&amp;"+")+1,99),FIND("t",MID(E80,FIND("+",E80&amp;"+")+1,99))-1)*MID(MID(E80,FIND("+",E80&amp;"+")+1,99),FIND("t",MID(E80,FIND("+",E80&amp;"+")+1,99))+1,2)^2*PI()/400,0)</f>
        <v/>
      </c>
      <c r="F81">
        <f>IFERROR(LEFT(LEFT(F80,FIND("+",F80&amp;"+")-1),FIND("t",LEFT(F80,FIND("+",F80&amp;"+")-1))-1)*MID(LEFT(F80,FIND("+",F80&amp;"+")-1),FIND("t",LEFT(F80,FIND("+",F80&amp;"+")-1))+1,2)^2*PI()/400,0)+IFERROR(LEFT(MID(F80,FIND("+",F80&amp;"+")+1,99),FIND("t",MID(F80,FIND("+",F80&amp;"+")+1,99))-1)*MID(MID(F80,FIND("+",F80&amp;"+")+1,99),FIND("t",MID(F80,FIND("+",F80&amp;"+")+1,99))+1,2)^2*PI()/400,0)</f>
        <v/>
      </c>
      <c r="G81">
        <f>IFERROR(LEFT(LEFT(G80,FIND("+",G80&amp;"+")-1),FIND("t",LEFT(G80,FIND("+",G80&amp;"+")-1))-1)*MID(LEFT(G80,FIND("+",G80&amp;"+")-1),FIND("t",LEFT(G80,FIND("+",G80&amp;"+")-1))+1,2)^2*PI()/400,0)+IFERROR(LEFT(MID(G80,FIND("+",G80&amp;"+")+1,99),FIND("t",MID(G80,FIND("+",G80&amp;"+")+1,99))-1)*MID(MID(G80,FIND("+",G80&amp;"+")+1,99),FIND("t",MID(G80,FIND("+",G80&amp;"+")+1,99))+1,2)^2*PI()/400,0)</f>
        <v/>
      </c>
      <c r="H81">
        <f>IFERROR(LEFT(LEFT(H80,FIND("+",H80&amp;"+")-1),FIND("t",LEFT(H80,FIND("+",H80&amp;"+")-1))-1)*MID(LEFT(H80,FIND("+",H80&amp;"+")-1),FIND("t",LEFT(H80,FIND("+",H80&amp;"+")-1))+1,2)^2*PI()/400,0)+IFERROR(LEFT(MID(H80,FIND("+",H80&amp;"+")+1,99),FIND("t",MID(H80,FIND("+",H80&amp;"+")+1,99))-1)*MID(MID(H80,FIND("+",H80&amp;"+")+1,99),FIND("t",MID(H80,FIND("+",H80&amp;"+")+1,99))+1,2)^2*PI()/400,0)</f>
        <v/>
      </c>
      <c r="I81">
        <f>IFERROR(LEFT(LEFT(I80,FIND("+",I80&amp;"+")-1),FIND("t",LEFT(I80,FIND("+",I80&amp;"+")-1))-1)*MID(LEFT(I80,FIND("+",I80&amp;"+")-1),FIND("t",LEFT(I80,FIND("+",I80&amp;"+")-1))+1,2)^2*PI()/400,0)+IFERROR(LEFT(MID(I80,FIND("+",I80&amp;"+")+1,99),FIND("t",MID(I80,FIND("+",I80&amp;"+")+1,99))-1)*MID(MID(I80,FIND("+",I80&amp;"+")+1,99),FIND("t",MID(I80,FIND("+",I80&amp;"+")+1,99))+1,2)^2*PI()/400,0)</f>
        <v/>
      </c>
      <c r="J81">
        <f>IFERROR(LEFT(LEFT(J80,FIND("+",J80&amp;"+")-1),FIND("t",LEFT(J80,FIND("+",J80&amp;"+")-1))-1)*MID(LEFT(J80,FIND("+",J80&amp;"+")-1),FIND("t",LEFT(J80,FIND("+",J80&amp;"+")-1))+1,2)^2*PI()/400,0)+IFERROR(LEFT(MID(J80,FIND("+",J80&amp;"+")+1,99),FIND("t",MID(J80,FIND("+",J80&amp;"+")+1,99))-1)*MID(MID(J80,FIND("+",J80&amp;"+")+1,99),FIND("t",MID(J80,FIND("+",J80&amp;"+")+1,99))+1,2)^2*PI()/400,0)</f>
        <v/>
      </c>
      <c r="K81">
        <f>IFERROR(LEFT(LEFT(K80,FIND("+",K80&amp;"+")-1),FIND("t",LEFT(K80,FIND("+",K80&amp;"+")-1))-1)*MID(LEFT(K80,FIND("+",K80&amp;"+")-1),FIND("t",LEFT(K80,FIND("+",K80&amp;"+")-1))+1,2)^2*PI()/400,0)+IFERROR(LEFT(MID(K80,FIND("+",K80&amp;"+")+1,99),FIND("t",MID(K80,FIND("+",K80&amp;"+")+1,99))-1)*MID(MID(K80,FIND("+",K80&amp;"+")+1,99),FIND("t",MID(K80,FIND("+",K80&amp;"+")+1,99))+1,2)^2*PI()/400,0)</f>
        <v/>
      </c>
      <c r="L81">
        <f>IFERROR(LEFT(LEFT(L80,FIND("+",L80&amp;"+")-1),FIND("t",LEFT(L80,FIND("+",L80&amp;"+")-1))-1)*MID(LEFT(L80,FIND("+",L80&amp;"+")-1),FIND("t",LEFT(L80,FIND("+",L80&amp;"+")-1))+1,2)^2*PI()/400,0)+IFERROR(LEFT(MID(L80,FIND("+",L80&amp;"+")+1,99),FIND("t",MID(L80,FIND("+",L80&amp;"+")+1,99))-1)*MID(MID(L80,FIND("+",L80&amp;"+")+1,99),FIND("t",MID(L80,FIND("+",L80&amp;"+")+1,99))+1,2)^2*PI()/400,0)</f>
        <v/>
      </c>
      <c r="M81">
        <f>IFERROR(LEFT(LEFT(M80,FIND("+",M80&amp;"+")-1),FIND("t",LEFT(M80,FIND("+",M80&amp;"+")-1))-1)*MID(LEFT(M80,FIND("+",M80&amp;"+")-1),FIND("t",LEFT(M80,FIND("+",M80&amp;"+")-1))+1,2)^2*PI()/400,0)+IFERROR(LEFT(MID(M80,FIND("+",M80&amp;"+")+1,99),FIND("t",MID(M80,FIND("+",M80&amp;"+")+1,99))-1)*MID(MID(M80,FIND("+",M80&amp;"+")+1,99),FIND("t",MID(M80,FIND("+",M80&amp;"+")+1,99))+1,2)^2*PI()/400,0)</f>
        <v/>
      </c>
      <c r="N81">
        <f>IFERROR(LEFT(LEFT(N80,FIND("+",N80&amp;"+")-1),FIND("t",LEFT(N80,FIND("+",N80&amp;"+")-1))-1)*MID(LEFT(N80,FIND("+",N80&amp;"+")-1),FIND("t",LEFT(N80,FIND("+",N80&amp;"+")-1))+1,2)^2*PI()/400,0)+IFERROR(LEFT(MID(N80,FIND("+",N80&amp;"+")+1,99),FIND("t",MID(N80,FIND("+",N80&amp;"+")+1,99))-1)*MID(MID(N80,FIND("+",N80&amp;"+")+1,99),FIND("t",MID(N80,FIND("+",N80&amp;"+")+1,99))+1,2)^2*PI()/400,0)</f>
        <v/>
      </c>
      <c r="O81">
        <f>IFERROR(LEFT(LEFT(O80,FIND("+",O80&amp;"+")-1),FIND("t",LEFT(O80,FIND("+",O80&amp;"+")-1))-1)*MID(LEFT(O80,FIND("+",O80&amp;"+")-1),FIND("t",LEFT(O80,FIND("+",O80&amp;"+")-1))+1,2)^2*PI()/400,0)+IFERROR(LEFT(MID(O80,FIND("+",O80&amp;"+")+1,99),FIND("t",MID(O80,FIND("+",O80&amp;"+")+1,99))-1)*MID(MID(O80,FIND("+",O80&amp;"+")+1,99),FIND("t",MID(O80,FIND("+",O80&amp;"+")+1,99))+1,2)^2*PI()/400,0)</f>
        <v/>
      </c>
      <c r="P81">
        <f>IFERROR(LEFT(LEFT(P80,FIND("+",P80&amp;"+")-1),FIND("t",LEFT(P80,FIND("+",P80&amp;"+")-1))-1)*MID(LEFT(P80,FIND("+",P80&amp;"+")-1),FIND("t",LEFT(P80,FIND("+",P80&amp;"+")-1))+1,2)^2*PI()/400,0)+IFERROR(LEFT(MID(P80,FIND("+",P80&amp;"+")+1,99),FIND("t",MID(P80,FIND("+",P80&amp;"+")+1,99))-1)*MID(MID(P80,FIND("+",P80&amp;"+")+1,99),FIND("t",MID(P80,FIND("+",P80&amp;"+")+1,99))+1,2)^2*PI()/400,0)</f>
        <v/>
      </c>
      <c r="Q81">
        <f>IFERROR(LEFT(LEFT(Q80,FIND("+",Q80&amp;"+")-1),FIND("t",LEFT(Q80,FIND("+",Q80&amp;"+")-1))-1)*MID(LEFT(Q80,FIND("+",Q80&amp;"+")-1),FIND("t",LEFT(Q80,FIND("+",Q80&amp;"+")-1))+1,2)^2*PI()/400,0)+IFERROR(LEFT(MID(Q80,FIND("+",Q80&amp;"+")+1,99),FIND("t",MID(Q80,FIND("+",Q80&amp;"+")+1,99))-1)*MID(MID(Q80,FIND("+",Q80&amp;"+")+1,99),FIND("t",MID(Q80,FIND("+",Q80&amp;"+")+1,99))+1,2)^2*PI()/400,0)</f>
        <v/>
      </c>
      <c r="R81">
        <f>IFERROR(LEFT(LEFT(R80,FIND("+",R80&amp;"+")-1),FIND("t",LEFT(R80,FIND("+",R80&amp;"+")-1))-1)*MID(LEFT(R80,FIND("+",R80&amp;"+")-1),FIND("t",LEFT(R80,FIND("+",R80&amp;"+")-1))+1,2)^2*PI()/400,0)+IFERROR(LEFT(MID(R80,FIND("+",R80&amp;"+")+1,99),FIND("t",MID(R80,FIND("+",R80&amp;"+")+1,99))-1)*MID(MID(R80,FIND("+",R80&amp;"+")+1,99),FIND("t",MID(R80,FIND("+",R80&amp;"+")+1,99))+1,2)^2*PI()/400,0)</f>
        <v/>
      </c>
      <c r="S81">
        <f>IFERROR(LEFT(LEFT(S80,FIND("+",S80&amp;"+")-1),FIND("t",LEFT(S80,FIND("+",S80&amp;"+")-1))-1)*MID(LEFT(S80,FIND("+",S80&amp;"+")-1),FIND("t",LEFT(S80,FIND("+",S80&amp;"+")-1))+1,2)^2*PI()/400,0)+IFERROR(LEFT(MID(S80,FIND("+",S80&amp;"+")+1,99),FIND("t",MID(S80,FIND("+",S80&amp;"+")+1,99))-1)*MID(MID(S80,FIND("+",S80&amp;"+")+1,99),FIND("t",MID(S80,FIND("+",S80&amp;"+")+1,99))+1,2)^2*PI()/400,0)</f>
        <v/>
      </c>
      <c r="T81">
        <f>IFERROR(LEFT(LEFT(T80,FIND("+",T80&amp;"+")-1),FIND("t",LEFT(T80,FIND("+",T80&amp;"+")-1))-1)*MID(LEFT(T80,FIND("+",T80&amp;"+")-1),FIND("t",LEFT(T80,FIND("+",T80&amp;"+")-1))+1,2)^2*PI()/400,0)+IFERROR(LEFT(MID(T80,FIND("+",T80&amp;"+")+1,99),FIND("t",MID(T80,FIND("+",T80&amp;"+")+1,99))-1)*MID(MID(T80,FIND("+",T80&amp;"+")+1,99),FIND("t",MID(T80,FIND("+",T80&amp;"+")+1,99))+1,2)^2*PI()/400,0)</f>
        <v/>
      </c>
      <c r="U81">
        <f>IFERROR(LEFT(LEFT(U80,FIND("+",U80&amp;"+")-1),FIND("t",LEFT(U80,FIND("+",U80&amp;"+")-1))-1)*MID(LEFT(U80,FIND("+",U80&amp;"+")-1),FIND("t",LEFT(U80,FIND("+",U80&amp;"+")-1))+1,2)^2*PI()/400,0)+IFERROR(LEFT(MID(U80,FIND("+",U80&amp;"+")+1,99),FIND("t",MID(U80,FIND("+",U80&amp;"+")+1,99))-1)*MID(MID(U80,FIND("+",U80&amp;"+")+1,99),FIND("t",MID(U80,FIND("+",U80&amp;"+")+1,99))+1,2)^2*PI()/400,0)</f>
        <v/>
      </c>
      <c r="V81">
        <f>IFERROR(LEFT(LEFT(V80,FIND("+",V80&amp;"+")-1),FIND("t",LEFT(V80,FIND("+",V80&amp;"+")-1))-1)*MID(LEFT(V80,FIND("+",V80&amp;"+")-1),FIND("t",LEFT(V80,FIND("+",V80&amp;"+")-1))+1,2)^2*PI()/400,0)+IFERROR(LEFT(MID(V80,FIND("+",V80&amp;"+")+1,99),FIND("t",MID(V80,FIND("+",V80&amp;"+")+1,99))-1)*MID(MID(V80,FIND("+",V80&amp;"+")+1,99),FIND("t",MID(V80,FIND("+",V80&amp;"+")+1,99))+1,2)^2*PI()/400,0)</f>
        <v/>
      </c>
      <c r="W81">
        <f>IFERROR(LEFT(LEFT(W80,FIND("+",W80&amp;"+")-1),FIND("t",LEFT(W80,FIND("+",W80&amp;"+")-1))-1)*MID(LEFT(W80,FIND("+",W80&amp;"+")-1),FIND("t",LEFT(W80,FIND("+",W80&amp;"+")-1))+1,2)^2*PI()/400,0)+IFERROR(LEFT(MID(W80,FIND("+",W80&amp;"+")+1,99),FIND("t",MID(W80,FIND("+",W80&amp;"+")+1,99))-1)*MID(MID(W80,FIND("+",W80&amp;"+")+1,99),FIND("t",MID(W80,FIND("+",W80&amp;"+")+1,99))+1,2)^2*PI()/400,0)</f>
        <v/>
      </c>
      <c r="X81">
        <f>IFERROR(LEFT(LEFT(X80,FIND("+",X80&amp;"+")-1),FIND("t",LEFT(X80,FIND("+",X80&amp;"+")-1))-1)*MID(LEFT(X80,FIND("+",X80&amp;"+")-1),FIND("t",LEFT(X80,FIND("+",X80&amp;"+")-1))+1,2)^2*PI()/400,0)+IFERROR(LEFT(MID(X80,FIND("+",X80&amp;"+")+1,99),FIND("t",MID(X80,FIND("+",X80&amp;"+")+1,99))-1)*MID(MID(X80,FIND("+",X80&amp;"+")+1,99),FIND("t",MID(X80,FIND("+",X80&amp;"+")+1,99))+1,2)^2*PI()/400,0)</f>
        <v/>
      </c>
      <c r="Y81">
        <f>IFERROR(LEFT(LEFT(Y80,FIND("+",Y80&amp;"+")-1),FIND("t",LEFT(Y80,FIND("+",Y80&amp;"+")-1))-1)*MID(LEFT(Y80,FIND("+",Y80&amp;"+")-1),FIND("t",LEFT(Y80,FIND("+",Y80&amp;"+")-1))+1,2)^2*PI()/400,0)+IFERROR(LEFT(MID(Y80,FIND("+",Y80&amp;"+")+1,99),FIND("t",MID(Y80,FIND("+",Y80&amp;"+")+1,99))-1)*MID(MID(Y80,FIND("+",Y80&amp;"+")+1,99),FIND("t",MID(Y80,FIND("+",Y80&amp;"+")+1,99))+1,2)^2*PI()/400,0)</f>
        <v/>
      </c>
      <c r="Z81">
        <f>IFERROR(LEFT(LEFT(Z80,FIND("+",Z80&amp;"+")-1),FIND("t",LEFT(Z80,FIND("+",Z80&amp;"+")-1))-1)*MID(LEFT(Z80,FIND("+",Z80&amp;"+")-1),FIND("t",LEFT(Z80,FIND("+",Z80&amp;"+")-1))+1,2)^2*PI()/400,0)+IFERROR(LEFT(MID(Z80,FIND("+",Z80&amp;"+")+1,99),FIND("t",MID(Z80,FIND("+",Z80&amp;"+")+1,99))-1)*MID(MID(Z80,FIND("+",Z80&amp;"+")+1,99),FIND("t",MID(Z80,FIND("+",Z80&amp;"+")+1,99))+1,2)^2*PI()/400,0)</f>
        <v/>
      </c>
      <c r="AA81">
        <f>IFERROR(LEFT(LEFT(AA80,FIND("+",AA80&amp;"+")-1),FIND("t",LEFT(AA80,FIND("+",AA80&amp;"+")-1))-1)*MID(LEFT(AA80,FIND("+",AA80&amp;"+")-1),FIND("t",LEFT(AA80,FIND("+",AA80&amp;"+")-1))+1,2)^2*PI()/400,0)+IFERROR(LEFT(MID(AA80,FIND("+",AA80&amp;"+")+1,99),FIND("t",MID(AA80,FIND("+",AA80&amp;"+")+1,99))-1)*MID(MID(AA80,FIND("+",AA80&amp;"+")+1,99),FIND("t",MID(AA80,FIND("+",AA80&amp;"+")+1,99))+1,2)^2*PI()/400,0)</f>
        <v/>
      </c>
      <c r="AB81">
        <f>IFERROR(LEFT(LEFT(AB80,FIND("+",AB80&amp;"+")-1),FIND("t",LEFT(AB80,FIND("+",AB80&amp;"+")-1))-1)*MID(LEFT(AB80,FIND("+",AB80&amp;"+")-1),FIND("t",LEFT(AB80,FIND("+",AB80&amp;"+")-1))+1,2)^2*PI()/400,0)+IFERROR(LEFT(MID(AB80,FIND("+",AB80&amp;"+")+1,99),FIND("t",MID(AB80,FIND("+",AB80&amp;"+")+1,99))-1)*MID(MID(AB80,FIND("+",AB80&amp;"+")+1,99),FIND("t",MID(AB80,FIND("+",AB80&amp;"+")+1,99))+1,2)^2*PI()/400,0)</f>
        <v/>
      </c>
      <c r="AC81">
        <f>IFERROR(LEFT(LEFT(AC80,FIND("+",AC80&amp;"+")-1),FIND("t",LEFT(AC80,FIND("+",AC80&amp;"+")-1))-1)*MID(LEFT(AC80,FIND("+",AC80&amp;"+")-1),FIND("t",LEFT(AC80,FIND("+",AC80&amp;"+")-1))+1,2)^2*PI()/400,0)+IFERROR(LEFT(MID(AC80,FIND("+",AC80&amp;"+")+1,99),FIND("t",MID(AC80,FIND("+",AC80&amp;"+")+1,99))-1)*MID(MID(AC80,FIND("+",AC80&amp;"+")+1,99),FIND("t",MID(AC80,FIND("+",AC80&amp;"+")+1,99))+1,2)^2*PI()/400,0)</f>
        <v/>
      </c>
      <c r="AD81">
        <f>IFERROR(LEFT(LEFT(AD80,FIND("+",AD80&amp;"+")-1),FIND("t",LEFT(AD80,FIND("+",AD80&amp;"+")-1))-1)*MID(LEFT(AD80,FIND("+",AD80&amp;"+")-1),FIND("t",LEFT(AD80,FIND("+",AD80&amp;"+")-1))+1,2)^2*PI()/400,0)+IFERROR(LEFT(MID(AD80,FIND("+",AD80&amp;"+")+1,99),FIND("t",MID(AD80,FIND("+",AD80&amp;"+")+1,99))-1)*MID(MID(AD80,FIND("+",AD80&amp;"+")+1,99),FIND("t",MID(AD80,FIND("+",AD80&amp;"+")+1,99))+1,2)^2*PI()/400,0)</f>
        <v/>
      </c>
      <c r="AE81">
        <f>IFERROR(LEFT(LEFT(AE80,FIND("+",AE80&amp;"+")-1),FIND("t",LEFT(AE80,FIND("+",AE80&amp;"+")-1))-1)*MID(LEFT(AE80,FIND("+",AE80&amp;"+")-1),FIND("t",LEFT(AE80,FIND("+",AE80&amp;"+")-1))+1,2)^2*PI()/400,0)+IFERROR(LEFT(MID(AE80,FIND("+",AE80&amp;"+")+1,99),FIND("t",MID(AE80,FIND("+",AE80&amp;"+")+1,99))-1)*MID(MID(AE80,FIND("+",AE80&amp;"+")+1,99),FIND("t",MID(AE80,FIND("+",AE80&amp;"+")+1,99))+1,2)^2*PI()/400,0)</f>
        <v/>
      </c>
      <c r="AF81">
        <f>IFERROR(LEFT(LEFT(AF80,FIND("+",AF80&amp;"+")-1),FIND("t",LEFT(AF80,FIND("+",AF80&amp;"+")-1))-1)*MID(LEFT(AF80,FIND("+",AF80&amp;"+")-1),FIND("t",LEFT(AF80,FIND("+",AF80&amp;"+")-1))+1,2)^2*PI()/400,0)+IFERROR(LEFT(MID(AF80,FIND("+",AF80&amp;"+")+1,99),FIND("t",MID(AF80,FIND("+",AF80&amp;"+")+1,99))-1)*MID(MID(AF80,FIND("+",AF80&amp;"+")+1,99),FIND("t",MID(AF80,FIND("+",AF80&amp;"+")+1,99))+1,2)^2*PI()/400,0)</f>
        <v/>
      </c>
      <c r="AG81">
        <f>IFERROR(LEFT(LEFT(AG80,FIND("+",AG80&amp;"+")-1),FIND("t",LEFT(AG80,FIND("+",AG80&amp;"+")-1))-1)*MID(LEFT(AG80,FIND("+",AG80&amp;"+")-1),FIND("t",LEFT(AG80,FIND("+",AG80&amp;"+")-1))+1,2)^2*PI()/400,0)+IFERROR(LEFT(MID(AG80,FIND("+",AG80&amp;"+")+1,99),FIND("t",MID(AG80,FIND("+",AG80&amp;"+")+1,99))-1)*MID(MID(AG80,FIND("+",AG80&amp;"+")+1,99),FIND("t",MID(AG80,FIND("+",AG80&amp;"+")+1,99))+1,2)^2*PI()/400,0)</f>
        <v/>
      </c>
    </row>
    <row r="82" hidden="1" outlineLevel="1">
      <c r="A82" s="60" t="inlineStr">
        <is>
          <t>(phụ trợ) N_T3R</t>
        </is>
      </c>
      <c r="C82">
        <f>SUBSTITUTE(SUBSTITUTE(SUBSTITUTE(SUBSTITUTE(SUBSTITUTE(SUBSTITUTE(LOWER(IF(ISNUMBER(FIND(";",C15)),MID(C15,FIND(";",C15)+1,99),C15))," ",""),"%%c","t"),"ø","t"),"φ","t"),"f","t"),"d","t")</f>
        <v/>
      </c>
      <c r="D82">
        <f>SUBSTITUTE(SUBSTITUTE(SUBSTITUTE(SUBSTITUTE(SUBSTITUTE(SUBSTITUTE(LOWER(IF(ISNUMBER(FIND(";",D15)),MID(D15,FIND(";",D15)+1,99),D15))," ",""),"%%c","t"),"ø","t"),"φ","t"),"f","t"),"d","t")</f>
        <v/>
      </c>
      <c r="E82">
        <f>SUBSTITUTE(SUBSTITUTE(SUBSTITUTE(SUBSTITUTE(SUBSTITUTE(SUBSTITUTE(LOWER(IF(ISNUMBER(FIND(";",E15)),MID(E15,FIND(";",E15)+1,99),E15))," ",""),"%%c","t"),"ø","t"),"φ","t"),"f","t"),"d","t")</f>
        <v/>
      </c>
      <c r="F82">
        <f>SUBSTITUTE(SUBSTITUTE(SUBSTITUTE(SUBSTITUTE(SUBSTITUTE(SUBSTITUTE(LOWER(IF(ISNUMBER(FIND(";",F15)),MID(F15,FIND(";",F15)+1,99),F15))," ",""),"%%c","t"),"ø","t"),"φ","t"),"f","t"),"d","t")</f>
        <v/>
      </c>
      <c r="G82">
        <f>SUBSTITUTE(SUBSTITUTE(SUBSTITUTE(SUBSTITUTE(SUBSTITUTE(SUBSTITUTE(LOWER(IF(ISNUMBER(FIND(";",G15)),MID(G15,FIND(";",G15)+1,99),G15))," ",""),"%%c","t"),"ø","t"),"φ","t"),"f","t"),"d","t")</f>
        <v/>
      </c>
      <c r="H82">
        <f>SUBSTITUTE(SUBSTITUTE(SUBSTITUTE(SUBSTITUTE(SUBSTITUTE(SUBSTITUTE(LOWER(IF(ISNUMBER(FIND(";",H15)),MID(H15,FIND(";",H15)+1,99),H15))," ",""),"%%c","t"),"ø","t"),"φ","t"),"f","t"),"d","t")</f>
        <v/>
      </c>
      <c r="I82">
        <f>SUBSTITUTE(SUBSTITUTE(SUBSTITUTE(SUBSTITUTE(SUBSTITUTE(SUBSTITUTE(LOWER(IF(ISNUMBER(FIND(";",I15)),MID(I15,FIND(";",I15)+1,99),I15))," ",""),"%%c","t"),"ø","t"),"φ","t"),"f","t"),"d","t")</f>
        <v/>
      </c>
      <c r="J82">
        <f>SUBSTITUTE(SUBSTITUTE(SUBSTITUTE(SUBSTITUTE(SUBSTITUTE(SUBSTITUTE(LOWER(IF(ISNUMBER(FIND(";",J15)),MID(J15,FIND(";",J15)+1,99),J15))," ",""),"%%c","t"),"ø","t"),"φ","t"),"f","t"),"d","t")</f>
        <v/>
      </c>
      <c r="K82">
        <f>SUBSTITUTE(SUBSTITUTE(SUBSTITUTE(SUBSTITUTE(SUBSTITUTE(SUBSTITUTE(LOWER(IF(ISNUMBER(FIND(";",K15)),MID(K15,FIND(";",K15)+1,99),K15))," ",""),"%%c","t"),"ø","t"),"φ","t"),"f","t"),"d","t")</f>
        <v/>
      </c>
      <c r="L82">
        <f>SUBSTITUTE(SUBSTITUTE(SUBSTITUTE(SUBSTITUTE(SUBSTITUTE(SUBSTITUTE(LOWER(IF(ISNUMBER(FIND(";",L15)),MID(L15,FIND(";",L15)+1,99),L15))," ",""),"%%c","t"),"ø","t"),"φ","t"),"f","t"),"d","t")</f>
        <v/>
      </c>
      <c r="M82">
        <f>SUBSTITUTE(SUBSTITUTE(SUBSTITUTE(SUBSTITUTE(SUBSTITUTE(SUBSTITUTE(LOWER(IF(ISNUMBER(FIND(";",M15)),MID(M15,FIND(";",M15)+1,99),M15))," ",""),"%%c","t"),"ø","t"),"φ","t"),"f","t"),"d","t")</f>
        <v/>
      </c>
      <c r="N82">
        <f>SUBSTITUTE(SUBSTITUTE(SUBSTITUTE(SUBSTITUTE(SUBSTITUTE(SUBSTITUTE(LOWER(IF(ISNUMBER(FIND(";",N15)),MID(N15,FIND(";",N15)+1,99),N15))," ",""),"%%c","t"),"ø","t"),"φ","t"),"f","t"),"d","t")</f>
        <v/>
      </c>
      <c r="O82">
        <f>SUBSTITUTE(SUBSTITUTE(SUBSTITUTE(SUBSTITUTE(SUBSTITUTE(SUBSTITUTE(LOWER(IF(ISNUMBER(FIND(";",O15)),MID(O15,FIND(";",O15)+1,99),O15))," ",""),"%%c","t"),"ø","t"),"φ","t"),"f","t"),"d","t")</f>
        <v/>
      </c>
      <c r="P82">
        <f>SUBSTITUTE(SUBSTITUTE(SUBSTITUTE(SUBSTITUTE(SUBSTITUTE(SUBSTITUTE(LOWER(IF(ISNUMBER(FIND(";",P15)),MID(P15,FIND(";",P15)+1,99),P15))," ",""),"%%c","t"),"ø","t"),"φ","t"),"f","t"),"d","t")</f>
        <v/>
      </c>
      <c r="Q82">
        <f>SUBSTITUTE(SUBSTITUTE(SUBSTITUTE(SUBSTITUTE(SUBSTITUTE(SUBSTITUTE(LOWER(IF(ISNUMBER(FIND(";",Q15)),MID(Q15,FIND(";",Q15)+1,99),Q15))," ",""),"%%c","t"),"ø","t"),"φ","t"),"f","t"),"d","t")</f>
        <v/>
      </c>
      <c r="R82">
        <f>SUBSTITUTE(SUBSTITUTE(SUBSTITUTE(SUBSTITUTE(SUBSTITUTE(SUBSTITUTE(LOWER(IF(ISNUMBER(FIND(";",R15)),MID(R15,FIND(";",R15)+1,99),R15))," ",""),"%%c","t"),"ø","t"),"φ","t"),"f","t"),"d","t")</f>
        <v/>
      </c>
      <c r="S82">
        <f>SUBSTITUTE(SUBSTITUTE(SUBSTITUTE(SUBSTITUTE(SUBSTITUTE(SUBSTITUTE(LOWER(IF(ISNUMBER(FIND(";",S15)),MID(S15,FIND(";",S15)+1,99),S15))," ",""),"%%c","t"),"ø","t"),"φ","t"),"f","t"),"d","t")</f>
        <v/>
      </c>
      <c r="T82">
        <f>SUBSTITUTE(SUBSTITUTE(SUBSTITUTE(SUBSTITUTE(SUBSTITUTE(SUBSTITUTE(LOWER(IF(ISNUMBER(FIND(";",T15)),MID(T15,FIND(";",T15)+1,99),T15))," ",""),"%%c","t"),"ø","t"),"φ","t"),"f","t"),"d","t")</f>
        <v/>
      </c>
      <c r="U82">
        <f>SUBSTITUTE(SUBSTITUTE(SUBSTITUTE(SUBSTITUTE(SUBSTITUTE(SUBSTITUTE(LOWER(IF(ISNUMBER(FIND(";",U15)),MID(U15,FIND(";",U15)+1,99),U15))," ",""),"%%c","t"),"ø","t"),"φ","t"),"f","t"),"d","t")</f>
        <v/>
      </c>
      <c r="V82">
        <f>SUBSTITUTE(SUBSTITUTE(SUBSTITUTE(SUBSTITUTE(SUBSTITUTE(SUBSTITUTE(LOWER(IF(ISNUMBER(FIND(";",V15)),MID(V15,FIND(";",V15)+1,99),V15))," ",""),"%%c","t"),"ø","t"),"φ","t"),"f","t"),"d","t")</f>
        <v/>
      </c>
      <c r="W82">
        <f>SUBSTITUTE(SUBSTITUTE(SUBSTITUTE(SUBSTITUTE(SUBSTITUTE(SUBSTITUTE(LOWER(IF(ISNUMBER(FIND(";",W15)),MID(W15,FIND(";",W15)+1,99),W15))," ",""),"%%c","t"),"ø","t"),"φ","t"),"f","t"),"d","t")</f>
        <v/>
      </c>
      <c r="X82">
        <f>SUBSTITUTE(SUBSTITUTE(SUBSTITUTE(SUBSTITUTE(SUBSTITUTE(SUBSTITUTE(LOWER(IF(ISNUMBER(FIND(";",X15)),MID(X15,FIND(";",X15)+1,99),X15))," ",""),"%%c","t"),"ø","t"),"φ","t"),"f","t"),"d","t")</f>
        <v/>
      </c>
      <c r="Y82">
        <f>SUBSTITUTE(SUBSTITUTE(SUBSTITUTE(SUBSTITUTE(SUBSTITUTE(SUBSTITUTE(LOWER(IF(ISNUMBER(FIND(";",Y15)),MID(Y15,FIND(";",Y15)+1,99),Y15))," ",""),"%%c","t"),"ø","t"),"φ","t"),"f","t"),"d","t")</f>
        <v/>
      </c>
      <c r="Z82">
        <f>SUBSTITUTE(SUBSTITUTE(SUBSTITUTE(SUBSTITUTE(SUBSTITUTE(SUBSTITUTE(LOWER(IF(ISNUMBER(FIND(";",Z15)),MID(Z15,FIND(";",Z15)+1,99),Z15))," ",""),"%%c","t"),"ø","t"),"φ","t"),"f","t"),"d","t")</f>
        <v/>
      </c>
      <c r="AA82">
        <f>SUBSTITUTE(SUBSTITUTE(SUBSTITUTE(SUBSTITUTE(SUBSTITUTE(SUBSTITUTE(LOWER(IF(ISNUMBER(FIND(";",AA15)),MID(AA15,FIND(";",AA15)+1,99),AA15))," ",""),"%%c","t"),"ø","t"),"φ","t"),"f","t"),"d","t")</f>
        <v/>
      </c>
      <c r="AB82">
        <f>SUBSTITUTE(SUBSTITUTE(SUBSTITUTE(SUBSTITUTE(SUBSTITUTE(SUBSTITUTE(LOWER(IF(ISNUMBER(FIND(";",AB15)),MID(AB15,FIND(";",AB15)+1,99),AB15))," ",""),"%%c","t"),"ø","t"),"φ","t"),"f","t"),"d","t")</f>
        <v/>
      </c>
      <c r="AC82">
        <f>SUBSTITUTE(SUBSTITUTE(SUBSTITUTE(SUBSTITUTE(SUBSTITUTE(SUBSTITUTE(LOWER(IF(ISNUMBER(FIND(";",AC15)),MID(AC15,FIND(";",AC15)+1,99),AC15))," ",""),"%%c","t"),"ø","t"),"φ","t"),"f","t"),"d","t")</f>
        <v/>
      </c>
      <c r="AD82">
        <f>SUBSTITUTE(SUBSTITUTE(SUBSTITUTE(SUBSTITUTE(SUBSTITUTE(SUBSTITUTE(LOWER(IF(ISNUMBER(FIND(";",AD15)),MID(AD15,FIND(";",AD15)+1,99),AD15))," ",""),"%%c","t"),"ø","t"),"φ","t"),"f","t"),"d","t")</f>
        <v/>
      </c>
      <c r="AE82">
        <f>SUBSTITUTE(SUBSTITUTE(SUBSTITUTE(SUBSTITUTE(SUBSTITUTE(SUBSTITUTE(LOWER(IF(ISNUMBER(FIND(";",AE15)),MID(AE15,FIND(";",AE15)+1,99),AE15))," ",""),"%%c","t"),"ø","t"),"φ","t"),"f","t"),"d","t")</f>
        <v/>
      </c>
      <c r="AF82">
        <f>SUBSTITUTE(SUBSTITUTE(SUBSTITUTE(SUBSTITUTE(SUBSTITUTE(SUBSTITUTE(LOWER(IF(ISNUMBER(FIND(";",AF15)),MID(AF15,FIND(";",AF15)+1,99),AF15))," ",""),"%%c","t"),"ø","t"),"φ","t"),"f","t"),"d","t")</f>
        <v/>
      </c>
      <c r="AG82">
        <f>SUBSTITUTE(SUBSTITUTE(SUBSTITUTE(SUBSTITUTE(SUBSTITUTE(SUBSTITUTE(LOWER(IF(ISNUMBER(FIND(";",AG15)),MID(AG15,FIND(";",AG15)+1,99),AG15))," ",""),"%%c","t"),"ø","t"),"φ","t"),"f","t"),"d","t")</f>
        <v/>
      </c>
    </row>
    <row r="83" hidden="1" outlineLevel="1">
      <c r="A83" s="60" t="inlineStr">
        <is>
          <t>(phụ trợ) A_T3R</t>
        </is>
      </c>
      <c r="C83">
        <f>IFERROR(LEFT(LEFT(C82,FIND("+",C82&amp;"+")-1),FIND("t",LEFT(C82,FIND("+",C82&amp;"+")-1))-1)*MID(LEFT(C82,FIND("+",C82&amp;"+")-1),FIND("t",LEFT(C82,FIND("+",C82&amp;"+")-1))+1,2)^2*PI()/400,0)+IFERROR(LEFT(MID(C82,FIND("+",C82&amp;"+")+1,99),FIND("t",MID(C82,FIND("+",C82&amp;"+")+1,99))-1)*MID(MID(C82,FIND("+",C82&amp;"+")+1,99),FIND("t",MID(C82,FIND("+",C82&amp;"+")+1,99))+1,2)^2*PI()/400,0)</f>
        <v/>
      </c>
      <c r="D83">
        <f>IFERROR(LEFT(LEFT(D82,FIND("+",D82&amp;"+")-1),FIND("t",LEFT(D82,FIND("+",D82&amp;"+")-1))-1)*MID(LEFT(D82,FIND("+",D82&amp;"+")-1),FIND("t",LEFT(D82,FIND("+",D82&amp;"+")-1))+1,2)^2*PI()/400,0)+IFERROR(LEFT(MID(D82,FIND("+",D82&amp;"+")+1,99),FIND("t",MID(D82,FIND("+",D82&amp;"+")+1,99))-1)*MID(MID(D82,FIND("+",D82&amp;"+")+1,99),FIND("t",MID(D82,FIND("+",D82&amp;"+")+1,99))+1,2)^2*PI()/400,0)</f>
        <v/>
      </c>
      <c r="E83">
        <f>IFERROR(LEFT(LEFT(E82,FIND("+",E82&amp;"+")-1),FIND("t",LEFT(E82,FIND("+",E82&amp;"+")-1))-1)*MID(LEFT(E82,FIND("+",E82&amp;"+")-1),FIND("t",LEFT(E82,FIND("+",E82&amp;"+")-1))+1,2)^2*PI()/400,0)+IFERROR(LEFT(MID(E82,FIND("+",E82&amp;"+")+1,99),FIND("t",MID(E82,FIND("+",E82&amp;"+")+1,99))-1)*MID(MID(E82,FIND("+",E82&amp;"+")+1,99),FIND("t",MID(E82,FIND("+",E82&amp;"+")+1,99))+1,2)^2*PI()/400,0)</f>
        <v/>
      </c>
      <c r="F83">
        <f>IFERROR(LEFT(LEFT(F82,FIND("+",F82&amp;"+")-1),FIND("t",LEFT(F82,FIND("+",F82&amp;"+")-1))-1)*MID(LEFT(F82,FIND("+",F82&amp;"+")-1),FIND("t",LEFT(F82,FIND("+",F82&amp;"+")-1))+1,2)^2*PI()/400,0)+IFERROR(LEFT(MID(F82,FIND("+",F82&amp;"+")+1,99),FIND("t",MID(F82,FIND("+",F82&amp;"+")+1,99))-1)*MID(MID(F82,FIND("+",F82&amp;"+")+1,99),FIND("t",MID(F82,FIND("+",F82&amp;"+")+1,99))+1,2)^2*PI()/400,0)</f>
        <v/>
      </c>
      <c r="G83">
        <f>IFERROR(LEFT(LEFT(G82,FIND("+",G82&amp;"+")-1),FIND("t",LEFT(G82,FIND("+",G82&amp;"+")-1))-1)*MID(LEFT(G82,FIND("+",G82&amp;"+")-1),FIND("t",LEFT(G82,FIND("+",G82&amp;"+")-1))+1,2)^2*PI()/400,0)+IFERROR(LEFT(MID(G82,FIND("+",G82&amp;"+")+1,99),FIND("t",MID(G82,FIND("+",G82&amp;"+")+1,99))-1)*MID(MID(G82,FIND("+",G82&amp;"+")+1,99),FIND("t",MID(G82,FIND("+",G82&amp;"+")+1,99))+1,2)^2*PI()/400,0)</f>
        <v/>
      </c>
      <c r="H83">
        <f>IFERROR(LEFT(LEFT(H82,FIND("+",H82&amp;"+")-1),FIND("t",LEFT(H82,FIND("+",H82&amp;"+")-1))-1)*MID(LEFT(H82,FIND("+",H82&amp;"+")-1),FIND("t",LEFT(H82,FIND("+",H82&amp;"+")-1))+1,2)^2*PI()/400,0)+IFERROR(LEFT(MID(H82,FIND("+",H82&amp;"+")+1,99),FIND("t",MID(H82,FIND("+",H82&amp;"+")+1,99))-1)*MID(MID(H82,FIND("+",H82&amp;"+")+1,99),FIND("t",MID(H82,FIND("+",H82&amp;"+")+1,99))+1,2)^2*PI()/400,0)</f>
        <v/>
      </c>
      <c r="I83">
        <f>IFERROR(LEFT(LEFT(I82,FIND("+",I82&amp;"+")-1),FIND("t",LEFT(I82,FIND("+",I82&amp;"+")-1))-1)*MID(LEFT(I82,FIND("+",I82&amp;"+")-1),FIND("t",LEFT(I82,FIND("+",I82&amp;"+")-1))+1,2)^2*PI()/400,0)+IFERROR(LEFT(MID(I82,FIND("+",I82&amp;"+")+1,99),FIND("t",MID(I82,FIND("+",I82&amp;"+")+1,99))-1)*MID(MID(I82,FIND("+",I82&amp;"+")+1,99),FIND("t",MID(I82,FIND("+",I82&amp;"+")+1,99))+1,2)^2*PI()/400,0)</f>
        <v/>
      </c>
      <c r="J83">
        <f>IFERROR(LEFT(LEFT(J82,FIND("+",J82&amp;"+")-1),FIND("t",LEFT(J82,FIND("+",J82&amp;"+")-1))-1)*MID(LEFT(J82,FIND("+",J82&amp;"+")-1),FIND("t",LEFT(J82,FIND("+",J82&amp;"+")-1))+1,2)^2*PI()/400,0)+IFERROR(LEFT(MID(J82,FIND("+",J82&amp;"+")+1,99),FIND("t",MID(J82,FIND("+",J82&amp;"+")+1,99))-1)*MID(MID(J82,FIND("+",J82&amp;"+")+1,99),FIND("t",MID(J82,FIND("+",J82&amp;"+")+1,99))+1,2)^2*PI()/400,0)</f>
        <v/>
      </c>
      <c r="K83">
        <f>IFERROR(LEFT(LEFT(K82,FIND("+",K82&amp;"+")-1),FIND("t",LEFT(K82,FIND("+",K82&amp;"+")-1))-1)*MID(LEFT(K82,FIND("+",K82&amp;"+")-1),FIND("t",LEFT(K82,FIND("+",K82&amp;"+")-1))+1,2)^2*PI()/400,0)+IFERROR(LEFT(MID(K82,FIND("+",K82&amp;"+")+1,99),FIND("t",MID(K82,FIND("+",K82&amp;"+")+1,99))-1)*MID(MID(K82,FIND("+",K82&amp;"+")+1,99),FIND("t",MID(K82,FIND("+",K82&amp;"+")+1,99))+1,2)^2*PI()/400,0)</f>
        <v/>
      </c>
      <c r="L83">
        <f>IFERROR(LEFT(LEFT(L82,FIND("+",L82&amp;"+")-1),FIND("t",LEFT(L82,FIND("+",L82&amp;"+")-1))-1)*MID(LEFT(L82,FIND("+",L82&amp;"+")-1),FIND("t",LEFT(L82,FIND("+",L82&amp;"+")-1))+1,2)^2*PI()/400,0)+IFERROR(LEFT(MID(L82,FIND("+",L82&amp;"+")+1,99),FIND("t",MID(L82,FIND("+",L82&amp;"+")+1,99))-1)*MID(MID(L82,FIND("+",L82&amp;"+")+1,99),FIND("t",MID(L82,FIND("+",L82&amp;"+")+1,99))+1,2)^2*PI()/400,0)</f>
        <v/>
      </c>
      <c r="M83">
        <f>IFERROR(LEFT(LEFT(M82,FIND("+",M82&amp;"+")-1),FIND("t",LEFT(M82,FIND("+",M82&amp;"+")-1))-1)*MID(LEFT(M82,FIND("+",M82&amp;"+")-1),FIND("t",LEFT(M82,FIND("+",M82&amp;"+")-1))+1,2)^2*PI()/400,0)+IFERROR(LEFT(MID(M82,FIND("+",M82&amp;"+")+1,99),FIND("t",MID(M82,FIND("+",M82&amp;"+")+1,99))-1)*MID(MID(M82,FIND("+",M82&amp;"+")+1,99),FIND("t",MID(M82,FIND("+",M82&amp;"+")+1,99))+1,2)^2*PI()/400,0)</f>
        <v/>
      </c>
      <c r="N83">
        <f>IFERROR(LEFT(LEFT(N82,FIND("+",N82&amp;"+")-1),FIND("t",LEFT(N82,FIND("+",N82&amp;"+")-1))-1)*MID(LEFT(N82,FIND("+",N82&amp;"+")-1),FIND("t",LEFT(N82,FIND("+",N82&amp;"+")-1))+1,2)^2*PI()/400,0)+IFERROR(LEFT(MID(N82,FIND("+",N82&amp;"+")+1,99),FIND("t",MID(N82,FIND("+",N82&amp;"+")+1,99))-1)*MID(MID(N82,FIND("+",N82&amp;"+")+1,99),FIND("t",MID(N82,FIND("+",N82&amp;"+")+1,99))+1,2)^2*PI()/400,0)</f>
        <v/>
      </c>
      <c r="O83">
        <f>IFERROR(LEFT(LEFT(O82,FIND("+",O82&amp;"+")-1),FIND("t",LEFT(O82,FIND("+",O82&amp;"+")-1))-1)*MID(LEFT(O82,FIND("+",O82&amp;"+")-1),FIND("t",LEFT(O82,FIND("+",O82&amp;"+")-1))+1,2)^2*PI()/400,0)+IFERROR(LEFT(MID(O82,FIND("+",O82&amp;"+")+1,99),FIND("t",MID(O82,FIND("+",O82&amp;"+")+1,99))-1)*MID(MID(O82,FIND("+",O82&amp;"+")+1,99),FIND("t",MID(O82,FIND("+",O82&amp;"+")+1,99))+1,2)^2*PI()/400,0)</f>
        <v/>
      </c>
      <c r="P83">
        <f>IFERROR(LEFT(LEFT(P82,FIND("+",P82&amp;"+")-1),FIND("t",LEFT(P82,FIND("+",P82&amp;"+")-1))-1)*MID(LEFT(P82,FIND("+",P82&amp;"+")-1),FIND("t",LEFT(P82,FIND("+",P82&amp;"+")-1))+1,2)^2*PI()/400,0)+IFERROR(LEFT(MID(P82,FIND("+",P82&amp;"+")+1,99),FIND("t",MID(P82,FIND("+",P82&amp;"+")+1,99))-1)*MID(MID(P82,FIND("+",P82&amp;"+")+1,99),FIND("t",MID(P82,FIND("+",P82&amp;"+")+1,99))+1,2)^2*PI()/400,0)</f>
        <v/>
      </c>
      <c r="Q83">
        <f>IFERROR(LEFT(LEFT(Q82,FIND("+",Q82&amp;"+")-1),FIND("t",LEFT(Q82,FIND("+",Q82&amp;"+")-1))-1)*MID(LEFT(Q82,FIND("+",Q82&amp;"+")-1),FIND("t",LEFT(Q82,FIND("+",Q82&amp;"+")-1))+1,2)^2*PI()/400,0)+IFERROR(LEFT(MID(Q82,FIND("+",Q82&amp;"+")+1,99),FIND("t",MID(Q82,FIND("+",Q82&amp;"+")+1,99))-1)*MID(MID(Q82,FIND("+",Q82&amp;"+")+1,99),FIND("t",MID(Q82,FIND("+",Q82&amp;"+")+1,99))+1,2)^2*PI()/400,0)</f>
        <v/>
      </c>
      <c r="R83">
        <f>IFERROR(LEFT(LEFT(R82,FIND("+",R82&amp;"+")-1),FIND("t",LEFT(R82,FIND("+",R82&amp;"+")-1))-1)*MID(LEFT(R82,FIND("+",R82&amp;"+")-1),FIND("t",LEFT(R82,FIND("+",R82&amp;"+")-1))+1,2)^2*PI()/400,0)+IFERROR(LEFT(MID(R82,FIND("+",R82&amp;"+")+1,99),FIND("t",MID(R82,FIND("+",R82&amp;"+")+1,99))-1)*MID(MID(R82,FIND("+",R82&amp;"+")+1,99),FIND("t",MID(R82,FIND("+",R82&amp;"+")+1,99))+1,2)^2*PI()/400,0)</f>
        <v/>
      </c>
      <c r="S83">
        <f>IFERROR(LEFT(LEFT(S82,FIND("+",S82&amp;"+")-1),FIND("t",LEFT(S82,FIND("+",S82&amp;"+")-1))-1)*MID(LEFT(S82,FIND("+",S82&amp;"+")-1),FIND("t",LEFT(S82,FIND("+",S82&amp;"+")-1))+1,2)^2*PI()/400,0)+IFERROR(LEFT(MID(S82,FIND("+",S82&amp;"+")+1,99),FIND("t",MID(S82,FIND("+",S82&amp;"+")+1,99))-1)*MID(MID(S82,FIND("+",S82&amp;"+")+1,99),FIND("t",MID(S82,FIND("+",S82&amp;"+")+1,99))+1,2)^2*PI()/400,0)</f>
        <v/>
      </c>
      <c r="T83">
        <f>IFERROR(LEFT(LEFT(T82,FIND("+",T82&amp;"+")-1),FIND("t",LEFT(T82,FIND("+",T82&amp;"+")-1))-1)*MID(LEFT(T82,FIND("+",T82&amp;"+")-1),FIND("t",LEFT(T82,FIND("+",T82&amp;"+")-1))+1,2)^2*PI()/400,0)+IFERROR(LEFT(MID(T82,FIND("+",T82&amp;"+")+1,99),FIND("t",MID(T82,FIND("+",T82&amp;"+")+1,99))-1)*MID(MID(T82,FIND("+",T82&amp;"+")+1,99),FIND("t",MID(T82,FIND("+",T82&amp;"+")+1,99))+1,2)^2*PI()/400,0)</f>
        <v/>
      </c>
      <c r="U83">
        <f>IFERROR(LEFT(LEFT(U82,FIND("+",U82&amp;"+")-1),FIND("t",LEFT(U82,FIND("+",U82&amp;"+")-1))-1)*MID(LEFT(U82,FIND("+",U82&amp;"+")-1),FIND("t",LEFT(U82,FIND("+",U82&amp;"+")-1))+1,2)^2*PI()/400,0)+IFERROR(LEFT(MID(U82,FIND("+",U82&amp;"+")+1,99),FIND("t",MID(U82,FIND("+",U82&amp;"+")+1,99))-1)*MID(MID(U82,FIND("+",U82&amp;"+")+1,99),FIND("t",MID(U82,FIND("+",U82&amp;"+")+1,99))+1,2)^2*PI()/400,0)</f>
        <v/>
      </c>
      <c r="V83">
        <f>IFERROR(LEFT(LEFT(V82,FIND("+",V82&amp;"+")-1),FIND("t",LEFT(V82,FIND("+",V82&amp;"+")-1))-1)*MID(LEFT(V82,FIND("+",V82&amp;"+")-1),FIND("t",LEFT(V82,FIND("+",V82&amp;"+")-1))+1,2)^2*PI()/400,0)+IFERROR(LEFT(MID(V82,FIND("+",V82&amp;"+")+1,99),FIND("t",MID(V82,FIND("+",V82&amp;"+")+1,99))-1)*MID(MID(V82,FIND("+",V82&amp;"+")+1,99),FIND("t",MID(V82,FIND("+",V82&amp;"+")+1,99))+1,2)^2*PI()/400,0)</f>
        <v/>
      </c>
      <c r="W83">
        <f>IFERROR(LEFT(LEFT(W82,FIND("+",W82&amp;"+")-1),FIND("t",LEFT(W82,FIND("+",W82&amp;"+")-1))-1)*MID(LEFT(W82,FIND("+",W82&amp;"+")-1),FIND("t",LEFT(W82,FIND("+",W82&amp;"+")-1))+1,2)^2*PI()/400,0)+IFERROR(LEFT(MID(W82,FIND("+",W82&amp;"+")+1,99),FIND("t",MID(W82,FIND("+",W82&amp;"+")+1,99))-1)*MID(MID(W82,FIND("+",W82&amp;"+")+1,99),FIND("t",MID(W82,FIND("+",W82&amp;"+")+1,99))+1,2)^2*PI()/400,0)</f>
        <v/>
      </c>
      <c r="X83">
        <f>IFERROR(LEFT(LEFT(X82,FIND("+",X82&amp;"+")-1),FIND("t",LEFT(X82,FIND("+",X82&amp;"+")-1))-1)*MID(LEFT(X82,FIND("+",X82&amp;"+")-1),FIND("t",LEFT(X82,FIND("+",X82&amp;"+")-1))+1,2)^2*PI()/400,0)+IFERROR(LEFT(MID(X82,FIND("+",X82&amp;"+")+1,99),FIND("t",MID(X82,FIND("+",X82&amp;"+")+1,99))-1)*MID(MID(X82,FIND("+",X82&amp;"+")+1,99),FIND("t",MID(X82,FIND("+",X82&amp;"+")+1,99))+1,2)^2*PI()/400,0)</f>
        <v/>
      </c>
      <c r="Y83">
        <f>IFERROR(LEFT(LEFT(Y82,FIND("+",Y82&amp;"+")-1),FIND("t",LEFT(Y82,FIND("+",Y82&amp;"+")-1))-1)*MID(LEFT(Y82,FIND("+",Y82&amp;"+")-1),FIND("t",LEFT(Y82,FIND("+",Y82&amp;"+")-1))+1,2)^2*PI()/400,0)+IFERROR(LEFT(MID(Y82,FIND("+",Y82&amp;"+")+1,99),FIND("t",MID(Y82,FIND("+",Y82&amp;"+")+1,99))-1)*MID(MID(Y82,FIND("+",Y82&amp;"+")+1,99),FIND("t",MID(Y82,FIND("+",Y82&amp;"+")+1,99))+1,2)^2*PI()/400,0)</f>
        <v/>
      </c>
      <c r="Z83">
        <f>IFERROR(LEFT(LEFT(Z82,FIND("+",Z82&amp;"+")-1),FIND("t",LEFT(Z82,FIND("+",Z82&amp;"+")-1))-1)*MID(LEFT(Z82,FIND("+",Z82&amp;"+")-1),FIND("t",LEFT(Z82,FIND("+",Z82&amp;"+")-1))+1,2)^2*PI()/400,0)+IFERROR(LEFT(MID(Z82,FIND("+",Z82&amp;"+")+1,99),FIND("t",MID(Z82,FIND("+",Z82&amp;"+")+1,99))-1)*MID(MID(Z82,FIND("+",Z82&amp;"+")+1,99),FIND("t",MID(Z82,FIND("+",Z82&amp;"+")+1,99))+1,2)^2*PI()/400,0)</f>
        <v/>
      </c>
      <c r="AA83">
        <f>IFERROR(LEFT(LEFT(AA82,FIND("+",AA82&amp;"+")-1),FIND("t",LEFT(AA82,FIND("+",AA82&amp;"+")-1))-1)*MID(LEFT(AA82,FIND("+",AA82&amp;"+")-1),FIND("t",LEFT(AA82,FIND("+",AA82&amp;"+")-1))+1,2)^2*PI()/400,0)+IFERROR(LEFT(MID(AA82,FIND("+",AA82&amp;"+")+1,99),FIND("t",MID(AA82,FIND("+",AA82&amp;"+")+1,99))-1)*MID(MID(AA82,FIND("+",AA82&amp;"+")+1,99),FIND("t",MID(AA82,FIND("+",AA82&amp;"+")+1,99))+1,2)^2*PI()/400,0)</f>
        <v/>
      </c>
      <c r="AB83">
        <f>IFERROR(LEFT(LEFT(AB82,FIND("+",AB82&amp;"+")-1),FIND("t",LEFT(AB82,FIND("+",AB82&amp;"+")-1))-1)*MID(LEFT(AB82,FIND("+",AB82&amp;"+")-1),FIND("t",LEFT(AB82,FIND("+",AB82&amp;"+")-1))+1,2)^2*PI()/400,0)+IFERROR(LEFT(MID(AB82,FIND("+",AB82&amp;"+")+1,99),FIND("t",MID(AB82,FIND("+",AB82&amp;"+")+1,99))-1)*MID(MID(AB82,FIND("+",AB82&amp;"+")+1,99),FIND("t",MID(AB82,FIND("+",AB82&amp;"+")+1,99))+1,2)^2*PI()/400,0)</f>
        <v/>
      </c>
      <c r="AC83">
        <f>IFERROR(LEFT(LEFT(AC82,FIND("+",AC82&amp;"+")-1),FIND("t",LEFT(AC82,FIND("+",AC82&amp;"+")-1))-1)*MID(LEFT(AC82,FIND("+",AC82&amp;"+")-1),FIND("t",LEFT(AC82,FIND("+",AC82&amp;"+")-1))+1,2)^2*PI()/400,0)+IFERROR(LEFT(MID(AC82,FIND("+",AC82&amp;"+")+1,99),FIND("t",MID(AC82,FIND("+",AC82&amp;"+")+1,99))-1)*MID(MID(AC82,FIND("+",AC82&amp;"+")+1,99),FIND("t",MID(AC82,FIND("+",AC82&amp;"+")+1,99))+1,2)^2*PI()/400,0)</f>
        <v/>
      </c>
      <c r="AD83">
        <f>IFERROR(LEFT(LEFT(AD82,FIND("+",AD82&amp;"+")-1),FIND("t",LEFT(AD82,FIND("+",AD82&amp;"+")-1))-1)*MID(LEFT(AD82,FIND("+",AD82&amp;"+")-1),FIND("t",LEFT(AD82,FIND("+",AD82&amp;"+")-1))+1,2)^2*PI()/400,0)+IFERROR(LEFT(MID(AD82,FIND("+",AD82&amp;"+")+1,99),FIND("t",MID(AD82,FIND("+",AD82&amp;"+")+1,99))-1)*MID(MID(AD82,FIND("+",AD82&amp;"+")+1,99),FIND("t",MID(AD82,FIND("+",AD82&amp;"+")+1,99))+1,2)^2*PI()/400,0)</f>
        <v/>
      </c>
      <c r="AE83">
        <f>IFERROR(LEFT(LEFT(AE82,FIND("+",AE82&amp;"+")-1),FIND("t",LEFT(AE82,FIND("+",AE82&amp;"+")-1))-1)*MID(LEFT(AE82,FIND("+",AE82&amp;"+")-1),FIND("t",LEFT(AE82,FIND("+",AE82&amp;"+")-1))+1,2)^2*PI()/400,0)+IFERROR(LEFT(MID(AE82,FIND("+",AE82&amp;"+")+1,99),FIND("t",MID(AE82,FIND("+",AE82&amp;"+")+1,99))-1)*MID(MID(AE82,FIND("+",AE82&amp;"+")+1,99),FIND("t",MID(AE82,FIND("+",AE82&amp;"+")+1,99))+1,2)^2*PI()/400,0)</f>
        <v/>
      </c>
      <c r="AF83">
        <f>IFERROR(LEFT(LEFT(AF82,FIND("+",AF82&amp;"+")-1),FIND("t",LEFT(AF82,FIND("+",AF82&amp;"+")-1))-1)*MID(LEFT(AF82,FIND("+",AF82&amp;"+")-1),FIND("t",LEFT(AF82,FIND("+",AF82&amp;"+")-1))+1,2)^2*PI()/400,0)+IFERROR(LEFT(MID(AF82,FIND("+",AF82&amp;"+")+1,99),FIND("t",MID(AF82,FIND("+",AF82&amp;"+")+1,99))-1)*MID(MID(AF82,FIND("+",AF82&amp;"+")+1,99),FIND("t",MID(AF82,FIND("+",AF82&amp;"+")+1,99))+1,2)^2*PI()/400,0)</f>
        <v/>
      </c>
      <c r="AG83">
        <f>IFERROR(LEFT(LEFT(AG82,FIND("+",AG82&amp;"+")-1),FIND("t",LEFT(AG82,FIND("+",AG82&amp;"+")-1))-1)*MID(LEFT(AG82,FIND("+",AG82&amp;"+")-1),FIND("t",LEFT(AG82,FIND("+",AG82&amp;"+")-1))+1,2)^2*PI()/400,0)+IFERROR(LEFT(MID(AG82,FIND("+",AG82&amp;"+")+1,99),FIND("t",MID(AG82,FIND("+",AG82&amp;"+")+1,99))-1)*MID(MID(AG82,FIND("+",AG82&amp;"+")+1,99),FIND("t",MID(AG82,FIND("+",AG82&amp;"+")+1,99))+1,2)^2*PI()/400,0)</f>
        <v/>
      </c>
    </row>
    <row r="84" hidden="1" outlineLevel="1">
      <c r="A84" s="60" t="inlineStr">
        <is>
          <t>(phụ trợ) N_T4L</t>
        </is>
      </c>
      <c r="C84">
        <f>SUBSTITUTE(SUBSTITUTE(SUBSTITUTE(SUBSTITUTE(SUBSTITUTE(SUBSTITUTE(LOWER(IF(ISNUMBER(FIND(";",C16)),LEFT(C16,FIND(";",C16)-1),C16))," ",""),"%%c","t"),"ø","t"),"φ","t"),"f","t"),"d","t")</f>
        <v/>
      </c>
      <c r="D84">
        <f>SUBSTITUTE(SUBSTITUTE(SUBSTITUTE(SUBSTITUTE(SUBSTITUTE(SUBSTITUTE(LOWER(IF(ISNUMBER(FIND(";",D16)),LEFT(D16,FIND(";",D16)-1),D16))," ",""),"%%c","t"),"ø","t"),"φ","t"),"f","t"),"d","t")</f>
        <v/>
      </c>
      <c r="E84">
        <f>SUBSTITUTE(SUBSTITUTE(SUBSTITUTE(SUBSTITUTE(SUBSTITUTE(SUBSTITUTE(LOWER(IF(ISNUMBER(FIND(";",E16)),LEFT(E16,FIND(";",E16)-1),E16))," ",""),"%%c","t"),"ø","t"),"φ","t"),"f","t"),"d","t")</f>
        <v/>
      </c>
      <c r="F84">
        <f>SUBSTITUTE(SUBSTITUTE(SUBSTITUTE(SUBSTITUTE(SUBSTITUTE(SUBSTITUTE(LOWER(IF(ISNUMBER(FIND(";",F16)),LEFT(F16,FIND(";",F16)-1),F16))," ",""),"%%c","t"),"ø","t"),"φ","t"),"f","t"),"d","t")</f>
        <v/>
      </c>
      <c r="G84">
        <f>SUBSTITUTE(SUBSTITUTE(SUBSTITUTE(SUBSTITUTE(SUBSTITUTE(SUBSTITUTE(LOWER(IF(ISNUMBER(FIND(";",G16)),LEFT(G16,FIND(";",G16)-1),G16))," ",""),"%%c","t"),"ø","t"),"φ","t"),"f","t"),"d","t")</f>
        <v/>
      </c>
      <c r="H84">
        <f>SUBSTITUTE(SUBSTITUTE(SUBSTITUTE(SUBSTITUTE(SUBSTITUTE(SUBSTITUTE(LOWER(IF(ISNUMBER(FIND(";",H16)),LEFT(H16,FIND(";",H16)-1),H16))," ",""),"%%c","t"),"ø","t"),"φ","t"),"f","t"),"d","t")</f>
        <v/>
      </c>
      <c r="I84">
        <f>SUBSTITUTE(SUBSTITUTE(SUBSTITUTE(SUBSTITUTE(SUBSTITUTE(SUBSTITUTE(LOWER(IF(ISNUMBER(FIND(";",I16)),LEFT(I16,FIND(";",I16)-1),I16))," ",""),"%%c","t"),"ø","t"),"φ","t"),"f","t"),"d","t")</f>
        <v/>
      </c>
      <c r="J84">
        <f>SUBSTITUTE(SUBSTITUTE(SUBSTITUTE(SUBSTITUTE(SUBSTITUTE(SUBSTITUTE(LOWER(IF(ISNUMBER(FIND(";",J16)),LEFT(J16,FIND(";",J16)-1),J16))," ",""),"%%c","t"),"ø","t"),"φ","t"),"f","t"),"d","t")</f>
        <v/>
      </c>
      <c r="K84">
        <f>SUBSTITUTE(SUBSTITUTE(SUBSTITUTE(SUBSTITUTE(SUBSTITUTE(SUBSTITUTE(LOWER(IF(ISNUMBER(FIND(";",K16)),LEFT(K16,FIND(";",K16)-1),K16))," ",""),"%%c","t"),"ø","t"),"φ","t"),"f","t"),"d","t")</f>
        <v/>
      </c>
      <c r="L84">
        <f>SUBSTITUTE(SUBSTITUTE(SUBSTITUTE(SUBSTITUTE(SUBSTITUTE(SUBSTITUTE(LOWER(IF(ISNUMBER(FIND(";",L16)),LEFT(L16,FIND(";",L16)-1),L16))," ",""),"%%c","t"),"ø","t"),"φ","t"),"f","t"),"d","t")</f>
        <v/>
      </c>
      <c r="M84">
        <f>SUBSTITUTE(SUBSTITUTE(SUBSTITUTE(SUBSTITUTE(SUBSTITUTE(SUBSTITUTE(LOWER(IF(ISNUMBER(FIND(";",M16)),LEFT(M16,FIND(";",M16)-1),M16))," ",""),"%%c","t"),"ø","t"),"φ","t"),"f","t"),"d","t")</f>
        <v/>
      </c>
      <c r="N84">
        <f>SUBSTITUTE(SUBSTITUTE(SUBSTITUTE(SUBSTITUTE(SUBSTITUTE(SUBSTITUTE(LOWER(IF(ISNUMBER(FIND(";",N16)),LEFT(N16,FIND(";",N16)-1),N16))," ",""),"%%c","t"),"ø","t"),"φ","t"),"f","t"),"d","t")</f>
        <v/>
      </c>
      <c r="O84">
        <f>SUBSTITUTE(SUBSTITUTE(SUBSTITUTE(SUBSTITUTE(SUBSTITUTE(SUBSTITUTE(LOWER(IF(ISNUMBER(FIND(";",O16)),LEFT(O16,FIND(";",O16)-1),O16))," ",""),"%%c","t"),"ø","t"),"φ","t"),"f","t"),"d","t")</f>
        <v/>
      </c>
      <c r="P84">
        <f>SUBSTITUTE(SUBSTITUTE(SUBSTITUTE(SUBSTITUTE(SUBSTITUTE(SUBSTITUTE(LOWER(IF(ISNUMBER(FIND(";",P16)),LEFT(P16,FIND(";",P16)-1),P16))," ",""),"%%c","t"),"ø","t"),"φ","t"),"f","t"),"d","t")</f>
        <v/>
      </c>
      <c r="Q84">
        <f>SUBSTITUTE(SUBSTITUTE(SUBSTITUTE(SUBSTITUTE(SUBSTITUTE(SUBSTITUTE(LOWER(IF(ISNUMBER(FIND(";",Q16)),LEFT(Q16,FIND(";",Q16)-1),Q16))," ",""),"%%c","t"),"ø","t"),"φ","t"),"f","t"),"d","t")</f>
        <v/>
      </c>
      <c r="R84">
        <f>SUBSTITUTE(SUBSTITUTE(SUBSTITUTE(SUBSTITUTE(SUBSTITUTE(SUBSTITUTE(LOWER(IF(ISNUMBER(FIND(";",R16)),LEFT(R16,FIND(";",R16)-1),R16))," ",""),"%%c","t"),"ø","t"),"φ","t"),"f","t"),"d","t")</f>
        <v/>
      </c>
      <c r="S84">
        <f>SUBSTITUTE(SUBSTITUTE(SUBSTITUTE(SUBSTITUTE(SUBSTITUTE(SUBSTITUTE(LOWER(IF(ISNUMBER(FIND(";",S16)),LEFT(S16,FIND(";",S16)-1),S16))," ",""),"%%c","t"),"ø","t"),"φ","t"),"f","t"),"d","t")</f>
        <v/>
      </c>
      <c r="T84">
        <f>SUBSTITUTE(SUBSTITUTE(SUBSTITUTE(SUBSTITUTE(SUBSTITUTE(SUBSTITUTE(LOWER(IF(ISNUMBER(FIND(";",T16)),LEFT(T16,FIND(";",T16)-1),T16))," ",""),"%%c","t"),"ø","t"),"φ","t"),"f","t"),"d","t")</f>
        <v/>
      </c>
      <c r="U84">
        <f>SUBSTITUTE(SUBSTITUTE(SUBSTITUTE(SUBSTITUTE(SUBSTITUTE(SUBSTITUTE(LOWER(IF(ISNUMBER(FIND(";",U16)),LEFT(U16,FIND(";",U16)-1),U16))," ",""),"%%c","t"),"ø","t"),"φ","t"),"f","t"),"d","t")</f>
        <v/>
      </c>
      <c r="V84">
        <f>SUBSTITUTE(SUBSTITUTE(SUBSTITUTE(SUBSTITUTE(SUBSTITUTE(SUBSTITUTE(LOWER(IF(ISNUMBER(FIND(";",V16)),LEFT(V16,FIND(";",V16)-1),V16))," ",""),"%%c","t"),"ø","t"),"φ","t"),"f","t"),"d","t")</f>
        <v/>
      </c>
      <c r="W84">
        <f>SUBSTITUTE(SUBSTITUTE(SUBSTITUTE(SUBSTITUTE(SUBSTITUTE(SUBSTITUTE(LOWER(IF(ISNUMBER(FIND(";",W16)),LEFT(W16,FIND(";",W16)-1),W16))," ",""),"%%c","t"),"ø","t"),"φ","t"),"f","t"),"d","t")</f>
        <v/>
      </c>
      <c r="X84">
        <f>SUBSTITUTE(SUBSTITUTE(SUBSTITUTE(SUBSTITUTE(SUBSTITUTE(SUBSTITUTE(LOWER(IF(ISNUMBER(FIND(";",X16)),LEFT(X16,FIND(";",X16)-1),X16))," ",""),"%%c","t"),"ø","t"),"φ","t"),"f","t"),"d","t")</f>
        <v/>
      </c>
      <c r="Y84">
        <f>SUBSTITUTE(SUBSTITUTE(SUBSTITUTE(SUBSTITUTE(SUBSTITUTE(SUBSTITUTE(LOWER(IF(ISNUMBER(FIND(";",Y16)),LEFT(Y16,FIND(";",Y16)-1),Y16))," ",""),"%%c","t"),"ø","t"),"φ","t"),"f","t"),"d","t")</f>
        <v/>
      </c>
      <c r="Z84">
        <f>SUBSTITUTE(SUBSTITUTE(SUBSTITUTE(SUBSTITUTE(SUBSTITUTE(SUBSTITUTE(LOWER(IF(ISNUMBER(FIND(";",Z16)),LEFT(Z16,FIND(";",Z16)-1),Z16))," ",""),"%%c","t"),"ø","t"),"φ","t"),"f","t"),"d","t")</f>
        <v/>
      </c>
      <c r="AA84">
        <f>SUBSTITUTE(SUBSTITUTE(SUBSTITUTE(SUBSTITUTE(SUBSTITUTE(SUBSTITUTE(LOWER(IF(ISNUMBER(FIND(";",AA16)),LEFT(AA16,FIND(";",AA16)-1),AA16))," ",""),"%%c","t"),"ø","t"),"φ","t"),"f","t"),"d","t")</f>
        <v/>
      </c>
      <c r="AB84">
        <f>SUBSTITUTE(SUBSTITUTE(SUBSTITUTE(SUBSTITUTE(SUBSTITUTE(SUBSTITUTE(LOWER(IF(ISNUMBER(FIND(";",AB16)),LEFT(AB16,FIND(";",AB16)-1),AB16))," ",""),"%%c","t"),"ø","t"),"φ","t"),"f","t"),"d","t")</f>
        <v/>
      </c>
      <c r="AC84">
        <f>SUBSTITUTE(SUBSTITUTE(SUBSTITUTE(SUBSTITUTE(SUBSTITUTE(SUBSTITUTE(LOWER(IF(ISNUMBER(FIND(";",AC16)),LEFT(AC16,FIND(";",AC16)-1),AC16))," ",""),"%%c","t"),"ø","t"),"φ","t"),"f","t"),"d","t")</f>
        <v/>
      </c>
      <c r="AD84">
        <f>SUBSTITUTE(SUBSTITUTE(SUBSTITUTE(SUBSTITUTE(SUBSTITUTE(SUBSTITUTE(LOWER(IF(ISNUMBER(FIND(";",AD16)),LEFT(AD16,FIND(";",AD16)-1),AD16))," ",""),"%%c","t"),"ø","t"),"φ","t"),"f","t"),"d","t")</f>
        <v/>
      </c>
      <c r="AE84">
        <f>SUBSTITUTE(SUBSTITUTE(SUBSTITUTE(SUBSTITUTE(SUBSTITUTE(SUBSTITUTE(LOWER(IF(ISNUMBER(FIND(";",AE16)),LEFT(AE16,FIND(";",AE16)-1),AE16))," ",""),"%%c","t"),"ø","t"),"φ","t"),"f","t"),"d","t")</f>
        <v/>
      </c>
      <c r="AF84">
        <f>SUBSTITUTE(SUBSTITUTE(SUBSTITUTE(SUBSTITUTE(SUBSTITUTE(SUBSTITUTE(LOWER(IF(ISNUMBER(FIND(";",AF16)),LEFT(AF16,FIND(";",AF16)-1),AF16))," ",""),"%%c","t"),"ø","t"),"φ","t"),"f","t"),"d","t")</f>
        <v/>
      </c>
      <c r="AG84">
        <f>SUBSTITUTE(SUBSTITUTE(SUBSTITUTE(SUBSTITUTE(SUBSTITUTE(SUBSTITUTE(LOWER(IF(ISNUMBER(FIND(";",AG16)),LEFT(AG16,FIND(";",AG16)-1),AG16))," ",""),"%%c","t"),"ø","t"),"φ","t"),"f","t"),"d","t")</f>
        <v/>
      </c>
    </row>
    <row r="85" hidden="1" outlineLevel="1">
      <c r="A85" s="60" t="inlineStr">
        <is>
          <t>(phụ trợ) A_T4L</t>
        </is>
      </c>
      <c r="C85">
        <f>IFERROR(LEFT(LEFT(C84,FIND("+",C84&amp;"+")-1),FIND("t",LEFT(C84,FIND("+",C84&amp;"+")-1))-1)*MID(LEFT(C84,FIND("+",C84&amp;"+")-1),FIND("t",LEFT(C84,FIND("+",C84&amp;"+")-1))+1,2)^2*PI()/400,0)+IFERROR(LEFT(MID(C84,FIND("+",C84&amp;"+")+1,99),FIND("t",MID(C84,FIND("+",C84&amp;"+")+1,99))-1)*MID(MID(C84,FIND("+",C84&amp;"+")+1,99),FIND("t",MID(C84,FIND("+",C84&amp;"+")+1,99))+1,2)^2*PI()/400,0)</f>
        <v/>
      </c>
      <c r="D85">
        <f>IFERROR(LEFT(LEFT(D84,FIND("+",D84&amp;"+")-1),FIND("t",LEFT(D84,FIND("+",D84&amp;"+")-1))-1)*MID(LEFT(D84,FIND("+",D84&amp;"+")-1),FIND("t",LEFT(D84,FIND("+",D84&amp;"+")-1))+1,2)^2*PI()/400,0)+IFERROR(LEFT(MID(D84,FIND("+",D84&amp;"+")+1,99),FIND("t",MID(D84,FIND("+",D84&amp;"+")+1,99))-1)*MID(MID(D84,FIND("+",D84&amp;"+")+1,99),FIND("t",MID(D84,FIND("+",D84&amp;"+")+1,99))+1,2)^2*PI()/400,0)</f>
        <v/>
      </c>
      <c r="E85">
        <f>IFERROR(LEFT(LEFT(E84,FIND("+",E84&amp;"+")-1),FIND("t",LEFT(E84,FIND("+",E84&amp;"+")-1))-1)*MID(LEFT(E84,FIND("+",E84&amp;"+")-1),FIND("t",LEFT(E84,FIND("+",E84&amp;"+")-1))+1,2)^2*PI()/400,0)+IFERROR(LEFT(MID(E84,FIND("+",E84&amp;"+")+1,99),FIND("t",MID(E84,FIND("+",E84&amp;"+")+1,99))-1)*MID(MID(E84,FIND("+",E84&amp;"+")+1,99),FIND("t",MID(E84,FIND("+",E84&amp;"+")+1,99))+1,2)^2*PI()/400,0)</f>
        <v/>
      </c>
      <c r="F85">
        <f>IFERROR(LEFT(LEFT(F84,FIND("+",F84&amp;"+")-1),FIND("t",LEFT(F84,FIND("+",F84&amp;"+")-1))-1)*MID(LEFT(F84,FIND("+",F84&amp;"+")-1),FIND("t",LEFT(F84,FIND("+",F84&amp;"+")-1))+1,2)^2*PI()/400,0)+IFERROR(LEFT(MID(F84,FIND("+",F84&amp;"+")+1,99),FIND("t",MID(F84,FIND("+",F84&amp;"+")+1,99))-1)*MID(MID(F84,FIND("+",F84&amp;"+")+1,99),FIND("t",MID(F84,FIND("+",F84&amp;"+")+1,99))+1,2)^2*PI()/400,0)</f>
        <v/>
      </c>
      <c r="G85">
        <f>IFERROR(LEFT(LEFT(G84,FIND("+",G84&amp;"+")-1),FIND("t",LEFT(G84,FIND("+",G84&amp;"+")-1))-1)*MID(LEFT(G84,FIND("+",G84&amp;"+")-1),FIND("t",LEFT(G84,FIND("+",G84&amp;"+")-1))+1,2)^2*PI()/400,0)+IFERROR(LEFT(MID(G84,FIND("+",G84&amp;"+")+1,99),FIND("t",MID(G84,FIND("+",G84&amp;"+")+1,99))-1)*MID(MID(G84,FIND("+",G84&amp;"+")+1,99),FIND("t",MID(G84,FIND("+",G84&amp;"+")+1,99))+1,2)^2*PI()/400,0)</f>
        <v/>
      </c>
      <c r="H85">
        <f>IFERROR(LEFT(LEFT(H84,FIND("+",H84&amp;"+")-1),FIND("t",LEFT(H84,FIND("+",H84&amp;"+")-1))-1)*MID(LEFT(H84,FIND("+",H84&amp;"+")-1),FIND("t",LEFT(H84,FIND("+",H84&amp;"+")-1))+1,2)^2*PI()/400,0)+IFERROR(LEFT(MID(H84,FIND("+",H84&amp;"+")+1,99),FIND("t",MID(H84,FIND("+",H84&amp;"+")+1,99))-1)*MID(MID(H84,FIND("+",H84&amp;"+")+1,99),FIND("t",MID(H84,FIND("+",H84&amp;"+")+1,99))+1,2)^2*PI()/400,0)</f>
        <v/>
      </c>
      <c r="I85">
        <f>IFERROR(LEFT(LEFT(I84,FIND("+",I84&amp;"+")-1),FIND("t",LEFT(I84,FIND("+",I84&amp;"+")-1))-1)*MID(LEFT(I84,FIND("+",I84&amp;"+")-1),FIND("t",LEFT(I84,FIND("+",I84&amp;"+")-1))+1,2)^2*PI()/400,0)+IFERROR(LEFT(MID(I84,FIND("+",I84&amp;"+")+1,99),FIND("t",MID(I84,FIND("+",I84&amp;"+")+1,99))-1)*MID(MID(I84,FIND("+",I84&amp;"+")+1,99),FIND("t",MID(I84,FIND("+",I84&amp;"+")+1,99))+1,2)^2*PI()/400,0)</f>
        <v/>
      </c>
      <c r="J85">
        <f>IFERROR(LEFT(LEFT(J84,FIND("+",J84&amp;"+")-1),FIND("t",LEFT(J84,FIND("+",J84&amp;"+")-1))-1)*MID(LEFT(J84,FIND("+",J84&amp;"+")-1),FIND("t",LEFT(J84,FIND("+",J84&amp;"+")-1))+1,2)^2*PI()/400,0)+IFERROR(LEFT(MID(J84,FIND("+",J84&amp;"+")+1,99),FIND("t",MID(J84,FIND("+",J84&amp;"+")+1,99))-1)*MID(MID(J84,FIND("+",J84&amp;"+")+1,99),FIND("t",MID(J84,FIND("+",J84&amp;"+")+1,99))+1,2)^2*PI()/400,0)</f>
        <v/>
      </c>
      <c r="K85">
        <f>IFERROR(LEFT(LEFT(K84,FIND("+",K84&amp;"+")-1),FIND("t",LEFT(K84,FIND("+",K84&amp;"+")-1))-1)*MID(LEFT(K84,FIND("+",K84&amp;"+")-1),FIND("t",LEFT(K84,FIND("+",K84&amp;"+")-1))+1,2)^2*PI()/400,0)+IFERROR(LEFT(MID(K84,FIND("+",K84&amp;"+")+1,99),FIND("t",MID(K84,FIND("+",K84&amp;"+")+1,99))-1)*MID(MID(K84,FIND("+",K84&amp;"+")+1,99),FIND("t",MID(K84,FIND("+",K84&amp;"+")+1,99))+1,2)^2*PI()/400,0)</f>
        <v/>
      </c>
      <c r="L85">
        <f>IFERROR(LEFT(LEFT(L84,FIND("+",L84&amp;"+")-1),FIND("t",LEFT(L84,FIND("+",L84&amp;"+")-1))-1)*MID(LEFT(L84,FIND("+",L84&amp;"+")-1),FIND("t",LEFT(L84,FIND("+",L84&amp;"+")-1))+1,2)^2*PI()/400,0)+IFERROR(LEFT(MID(L84,FIND("+",L84&amp;"+")+1,99),FIND("t",MID(L84,FIND("+",L84&amp;"+")+1,99))-1)*MID(MID(L84,FIND("+",L84&amp;"+")+1,99),FIND("t",MID(L84,FIND("+",L84&amp;"+")+1,99))+1,2)^2*PI()/400,0)</f>
        <v/>
      </c>
      <c r="M85">
        <f>IFERROR(LEFT(LEFT(M84,FIND("+",M84&amp;"+")-1),FIND("t",LEFT(M84,FIND("+",M84&amp;"+")-1))-1)*MID(LEFT(M84,FIND("+",M84&amp;"+")-1),FIND("t",LEFT(M84,FIND("+",M84&amp;"+")-1))+1,2)^2*PI()/400,0)+IFERROR(LEFT(MID(M84,FIND("+",M84&amp;"+")+1,99),FIND("t",MID(M84,FIND("+",M84&amp;"+")+1,99))-1)*MID(MID(M84,FIND("+",M84&amp;"+")+1,99),FIND("t",MID(M84,FIND("+",M84&amp;"+")+1,99))+1,2)^2*PI()/400,0)</f>
        <v/>
      </c>
      <c r="N85">
        <f>IFERROR(LEFT(LEFT(N84,FIND("+",N84&amp;"+")-1),FIND("t",LEFT(N84,FIND("+",N84&amp;"+")-1))-1)*MID(LEFT(N84,FIND("+",N84&amp;"+")-1),FIND("t",LEFT(N84,FIND("+",N84&amp;"+")-1))+1,2)^2*PI()/400,0)+IFERROR(LEFT(MID(N84,FIND("+",N84&amp;"+")+1,99),FIND("t",MID(N84,FIND("+",N84&amp;"+")+1,99))-1)*MID(MID(N84,FIND("+",N84&amp;"+")+1,99),FIND("t",MID(N84,FIND("+",N84&amp;"+")+1,99))+1,2)^2*PI()/400,0)</f>
        <v/>
      </c>
      <c r="O85">
        <f>IFERROR(LEFT(LEFT(O84,FIND("+",O84&amp;"+")-1),FIND("t",LEFT(O84,FIND("+",O84&amp;"+")-1))-1)*MID(LEFT(O84,FIND("+",O84&amp;"+")-1),FIND("t",LEFT(O84,FIND("+",O84&amp;"+")-1))+1,2)^2*PI()/400,0)+IFERROR(LEFT(MID(O84,FIND("+",O84&amp;"+")+1,99),FIND("t",MID(O84,FIND("+",O84&amp;"+")+1,99))-1)*MID(MID(O84,FIND("+",O84&amp;"+")+1,99),FIND("t",MID(O84,FIND("+",O84&amp;"+")+1,99))+1,2)^2*PI()/400,0)</f>
        <v/>
      </c>
      <c r="P85">
        <f>IFERROR(LEFT(LEFT(P84,FIND("+",P84&amp;"+")-1),FIND("t",LEFT(P84,FIND("+",P84&amp;"+")-1))-1)*MID(LEFT(P84,FIND("+",P84&amp;"+")-1),FIND("t",LEFT(P84,FIND("+",P84&amp;"+")-1))+1,2)^2*PI()/400,0)+IFERROR(LEFT(MID(P84,FIND("+",P84&amp;"+")+1,99),FIND("t",MID(P84,FIND("+",P84&amp;"+")+1,99))-1)*MID(MID(P84,FIND("+",P84&amp;"+")+1,99),FIND("t",MID(P84,FIND("+",P84&amp;"+")+1,99))+1,2)^2*PI()/400,0)</f>
        <v/>
      </c>
      <c r="Q85">
        <f>IFERROR(LEFT(LEFT(Q84,FIND("+",Q84&amp;"+")-1),FIND("t",LEFT(Q84,FIND("+",Q84&amp;"+")-1))-1)*MID(LEFT(Q84,FIND("+",Q84&amp;"+")-1),FIND("t",LEFT(Q84,FIND("+",Q84&amp;"+")-1))+1,2)^2*PI()/400,0)+IFERROR(LEFT(MID(Q84,FIND("+",Q84&amp;"+")+1,99),FIND("t",MID(Q84,FIND("+",Q84&amp;"+")+1,99))-1)*MID(MID(Q84,FIND("+",Q84&amp;"+")+1,99),FIND("t",MID(Q84,FIND("+",Q84&amp;"+")+1,99))+1,2)^2*PI()/400,0)</f>
        <v/>
      </c>
      <c r="R85">
        <f>IFERROR(LEFT(LEFT(R84,FIND("+",R84&amp;"+")-1),FIND("t",LEFT(R84,FIND("+",R84&amp;"+")-1))-1)*MID(LEFT(R84,FIND("+",R84&amp;"+")-1),FIND("t",LEFT(R84,FIND("+",R84&amp;"+")-1))+1,2)^2*PI()/400,0)+IFERROR(LEFT(MID(R84,FIND("+",R84&amp;"+")+1,99),FIND("t",MID(R84,FIND("+",R84&amp;"+")+1,99))-1)*MID(MID(R84,FIND("+",R84&amp;"+")+1,99),FIND("t",MID(R84,FIND("+",R84&amp;"+")+1,99))+1,2)^2*PI()/400,0)</f>
        <v/>
      </c>
      <c r="S85">
        <f>IFERROR(LEFT(LEFT(S84,FIND("+",S84&amp;"+")-1),FIND("t",LEFT(S84,FIND("+",S84&amp;"+")-1))-1)*MID(LEFT(S84,FIND("+",S84&amp;"+")-1),FIND("t",LEFT(S84,FIND("+",S84&amp;"+")-1))+1,2)^2*PI()/400,0)+IFERROR(LEFT(MID(S84,FIND("+",S84&amp;"+")+1,99),FIND("t",MID(S84,FIND("+",S84&amp;"+")+1,99))-1)*MID(MID(S84,FIND("+",S84&amp;"+")+1,99),FIND("t",MID(S84,FIND("+",S84&amp;"+")+1,99))+1,2)^2*PI()/400,0)</f>
        <v/>
      </c>
      <c r="T85">
        <f>IFERROR(LEFT(LEFT(T84,FIND("+",T84&amp;"+")-1),FIND("t",LEFT(T84,FIND("+",T84&amp;"+")-1))-1)*MID(LEFT(T84,FIND("+",T84&amp;"+")-1),FIND("t",LEFT(T84,FIND("+",T84&amp;"+")-1))+1,2)^2*PI()/400,0)+IFERROR(LEFT(MID(T84,FIND("+",T84&amp;"+")+1,99),FIND("t",MID(T84,FIND("+",T84&amp;"+")+1,99))-1)*MID(MID(T84,FIND("+",T84&amp;"+")+1,99),FIND("t",MID(T84,FIND("+",T84&amp;"+")+1,99))+1,2)^2*PI()/400,0)</f>
        <v/>
      </c>
      <c r="U85">
        <f>IFERROR(LEFT(LEFT(U84,FIND("+",U84&amp;"+")-1),FIND("t",LEFT(U84,FIND("+",U84&amp;"+")-1))-1)*MID(LEFT(U84,FIND("+",U84&amp;"+")-1),FIND("t",LEFT(U84,FIND("+",U84&amp;"+")-1))+1,2)^2*PI()/400,0)+IFERROR(LEFT(MID(U84,FIND("+",U84&amp;"+")+1,99),FIND("t",MID(U84,FIND("+",U84&amp;"+")+1,99))-1)*MID(MID(U84,FIND("+",U84&amp;"+")+1,99),FIND("t",MID(U84,FIND("+",U84&amp;"+")+1,99))+1,2)^2*PI()/400,0)</f>
        <v/>
      </c>
      <c r="V85">
        <f>IFERROR(LEFT(LEFT(V84,FIND("+",V84&amp;"+")-1),FIND("t",LEFT(V84,FIND("+",V84&amp;"+")-1))-1)*MID(LEFT(V84,FIND("+",V84&amp;"+")-1),FIND("t",LEFT(V84,FIND("+",V84&amp;"+")-1))+1,2)^2*PI()/400,0)+IFERROR(LEFT(MID(V84,FIND("+",V84&amp;"+")+1,99),FIND("t",MID(V84,FIND("+",V84&amp;"+")+1,99))-1)*MID(MID(V84,FIND("+",V84&amp;"+")+1,99),FIND("t",MID(V84,FIND("+",V84&amp;"+")+1,99))+1,2)^2*PI()/400,0)</f>
        <v/>
      </c>
      <c r="W85">
        <f>IFERROR(LEFT(LEFT(W84,FIND("+",W84&amp;"+")-1),FIND("t",LEFT(W84,FIND("+",W84&amp;"+")-1))-1)*MID(LEFT(W84,FIND("+",W84&amp;"+")-1),FIND("t",LEFT(W84,FIND("+",W84&amp;"+")-1))+1,2)^2*PI()/400,0)+IFERROR(LEFT(MID(W84,FIND("+",W84&amp;"+")+1,99),FIND("t",MID(W84,FIND("+",W84&amp;"+")+1,99))-1)*MID(MID(W84,FIND("+",W84&amp;"+")+1,99),FIND("t",MID(W84,FIND("+",W84&amp;"+")+1,99))+1,2)^2*PI()/400,0)</f>
        <v/>
      </c>
      <c r="X85">
        <f>IFERROR(LEFT(LEFT(X84,FIND("+",X84&amp;"+")-1),FIND("t",LEFT(X84,FIND("+",X84&amp;"+")-1))-1)*MID(LEFT(X84,FIND("+",X84&amp;"+")-1),FIND("t",LEFT(X84,FIND("+",X84&amp;"+")-1))+1,2)^2*PI()/400,0)+IFERROR(LEFT(MID(X84,FIND("+",X84&amp;"+")+1,99),FIND("t",MID(X84,FIND("+",X84&amp;"+")+1,99))-1)*MID(MID(X84,FIND("+",X84&amp;"+")+1,99),FIND("t",MID(X84,FIND("+",X84&amp;"+")+1,99))+1,2)^2*PI()/400,0)</f>
        <v/>
      </c>
      <c r="Y85">
        <f>IFERROR(LEFT(LEFT(Y84,FIND("+",Y84&amp;"+")-1),FIND("t",LEFT(Y84,FIND("+",Y84&amp;"+")-1))-1)*MID(LEFT(Y84,FIND("+",Y84&amp;"+")-1),FIND("t",LEFT(Y84,FIND("+",Y84&amp;"+")-1))+1,2)^2*PI()/400,0)+IFERROR(LEFT(MID(Y84,FIND("+",Y84&amp;"+")+1,99),FIND("t",MID(Y84,FIND("+",Y84&amp;"+")+1,99))-1)*MID(MID(Y84,FIND("+",Y84&amp;"+")+1,99),FIND("t",MID(Y84,FIND("+",Y84&amp;"+")+1,99))+1,2)^2*PI()/400,0)</f>
        <v/>
      </c>
      <c r="Z85">
        <f>IFERROR(LEFT(LEFT(Z84,FIND("+",Z84&amp;"+")-1),FIND("t",LEFT(Z84,FIND("+",Z84&amp;"+")-1))-1)*MID(LEFT(Z84,FIND("+",Z84&amp;"+")-1),FIND("t",LEFT(Z84,FIND("+",Z84&amp;"+")-1))+1,2)^2*PI()/400,0)+IFERROR(LEFT(MID(Z84,FIND("+",Z84&amp;"+")+1,99),FIND("t",MID(Z84,FIND("+",Z84&amp;"+")+1,99))-1)*MID(MID(Z84,FIND("+",Z84&amp;"+")+1,99),FIND("t",MID(Z84,FIND("+",Z84&amp;"+")+1,99))+1,2)^2*PI()/400,0)</f>
        <v/>
      </c>
      <c r="AA85">
        <f>IFERROR(LEFT(LEFT(AA84,FIND("+",AA84&amp;"+")-1),FIND("t",LEFT(AA84,FIND("+",AA84&amp;"+")-1))-1)*MID(LEFT(AA84,FIND("+",AA84&amp;"+")-1),FIND("t",LEFT(AA84,FIND("+",AA84&amp;"+")-1))+1,2)^2*PI()/400,0)+IFERROR(LEFT(MID(AA84,FIND("+",AA84&amp;"+")+1,99),FIND("t",MID(AA84,FIND("+",AA84&amp;"+")+1,99))-1)*MID(MID(AA84,FIND("+",AA84&amp;"+")+1,99),FIND("t",MID(AA84,FIND("+",AA84&amp;"+")+1,99))+1,2)^2*PI()/400,0)</f>
        <v/>
      </c>
      <c r="AB85">
        <f>IFERROR(LEFT(LEFT(AB84,FIND("+",AB84&amp;"+")-1),FIND("t",LEFT(AB84,FIND("+",AB84&amp;"+")-1))-1)*MID(LEFT(AB84,FIND("+",AB84&amp;"+")-1),FIND("t",LEFT(AB84,FIND("+",AB84&amp;"+")-1))+1,2)^2*PI()/400,0)+IFERROR(LEFT(MID(AB84,FIND("+",AB84&amp;"+")+1,99),FIND("t",MID(AB84,FIND("+",AB84&amp;"+")+1,99))-1)*MID(MID(AB84,FIND("+",AB84&amp;"+")+1,99),FIND("t",MID(AB84,FIND("+",AB84&amp;"+")+1,99))+1,2)^2*PI()/400,0)</f>
        <v/>
      </c>
      <c r="AC85">
        <f>IFERROR(LEFT(LEFT(AC84,FIND("+",AC84&amp;"+")-1),FIND("t",LEFT(AC84,FIND("+",AC84&amp;"+")-1))-1)*MID(LEFT(AC84,FIND("+",AC84&amp;"+")-1),FIND("t",LEFT(AC84,FIND("+",AC84&amp;"+")-1))+1,2)^2*PI()/400,0)+IFERROR(LEFT(MID(AC84,FIND("+",AC84&amp;"+")+1,99),FIND("t",MID(AC84,FIND("+",AC84&amp;"+")+1,99))-1)*MID(MID(AC84,FIND("+",AC84&amp;"+")+1,99),FIND("t",MID(AC84,FIND("+",AC84&amp;"+")+1,99))+1,2)^2*PI()/400,0)</f>
        <v/>
      </c>
      <c r="AD85">
        <f>IFERROR(LEFT(LEFT(AD84,FIND("+",AD84&amp;"+")-1),FIND("t",LEFT(AD84,FIND("+",AD84&amp;"+")-1))-1)*MID(LEFT(AD84,FIND("+",AD84&amp;"+")-1),FIND("t",LEFT(AD84,FIND("+",AD84&amp;"+")-1))+1,2)^2*PI()/400,0)+IFERROR(LEFT(MID(AD84,FIND("+",AD84&amp;"+")+1,99),FIND("t",MID(AD84,FIND("+",AD84&amp;"+")+1,99))-1)*MID(MID(AD84,FIND("+",AD84&amp;"+")+1,99),FIND("t",MID(AD84,FIND("+",AD84&amp;"+")+1,99))+1,2)^2*PI()/400,0)</f>
        <v/>
      </c>
      <c r="AE85">
        <f>IFERROR(LEFT(LEFT(AE84,FIND("+",AE84&amp;"+")-1),FIND("t",LEFT(AE84,FIND("+",AE84&amp;"+")-1))-1)*MID(LEFT(AE84,FIND("+",AE84&amp;"+")-1),FIND("t",LEFT(AE84,FIND("+",AE84&amp;"+")-1))+1,2)^2*PI()/400,0)+IFERROR(LEFT(MID(AE84,FIND("+",AE84&amp;"+")+1,99),FIND("t",MID(AE84,FIND("+",AE84&amp;"+")+1,99))-1)*MID(MID(AE84,FIND("+",AE84&amp;"+")+1,99),FIND("t",MID(AE84,FIND("+",AE84&amp;"+")+1,99))+1,2)^2*PI()/400,0)</f>
        <v/>
      </c>
      <c r="AF85">
        <f>IFERROR(LEFT(LEFT(AF84,FIND("+",AF84&amp;"+")-1),FIND("t",LEFT(AF84,FIND("+",AF84&amp;"+")-1))-1)*MID(LEFT(AF84,FIND("+",AF84&amp;"+")-1),FIND("t",LEFT(AF84,FIND("+",AF84&amp;"+")-1))+1,2)^2*PI()/400,0)+IFERROR(LEFT(MID(AF84,FIND("+",AF84&amp;"+")+1,99),FIND("t",MID(AF84,FIND("+",AF84&amp;"+")+1,99))-1)*MID(MID(AF84,FIND("+",AF84&amp;"+")+1,99),FIND("t",MID(AF84,FIND("+",AF84&amp;"+")+1,99))+1,2)^2*PI()/400,0)</f>
        <v/>
      </c>
      <c r="AG85">
        <f>IFERROR(LEFT(LEFT(AG84,FIND("+",AG84&amp;"+")-1),FIND("t",LEFT(AG84,FIND("+",AG84&amp;"+")-1))-1)*MID(LEFT(AG84,FIND("+",AG84&amp;"+")-1),FIND("t",LEFT(AG84,FIND("+",AG84&amp;"+")-1))+1,2)^2*PI()/400,0)+IFERROR(LEFT(MID(AG84,FIND("+",AG84&amp;"+")+1,99),FIND("t",MID(AG84,FIND("+",AG84&amp;"+")+1,99))-1)*MID(MID(AG84,FIND("+",AG84&amp;"+")+1,99),FIND("t",MID(AG84,FIND("+",AG84&amp;"+")+1,99))+1,2)^2*PI()/400,0)</f>
        <v/>
      </c>
    </row>
    <row r="86" hidden="1" outlineLevel="1">
      <c r="A86" s="60" t="inlineStr">
        <is>
          <t>(phụ trợ) N_T4R</t>
        </is>
      </c>
      <c r="C86">
        <f>SUBSTITUTE(SUBSTITUTE(SUBSTITUTE(SUBSTITUTE(SUBSTITUTE(SUBSTITUTE(LOWER(IF(ISNUMBER(FIND(";",C16)),MID(C16,FIND(";",C16)+1,99),C16))," ",""),"%%c","t"),"ø","t"),"φ","t"),"f","t"),"d","t")</f>
        <v/>
      </c>
      <c r="D86">
        <f>SUBSTITUTE(SUBSTITUTE(SUBSTITUTE(SUBSTITUTE(SUBSTITUTE(SUBSTITUTE(LOWER(IF(ISNUMBER(FIND(";",D16)),MID(D16,FIND(";",D16)+1,99),D16))," ",""),"%%c","t"),"ø","t"),"φ","t"),"f","t"),"d","t")</f>
        <v/>
      </c>
      <c r="E86">
        <f>SUBSTITUTE(SUBSTITUTE(SUBSTITUTE(SUBSTITUTE(SUBSTITUTE(SUBSTITUTE(LOWER(IF(ISNUMBER(FIND(";",E16)),MID(E16,FIND(";",E16)+1,99),E16))," ",""),"%%c","t"),"ø","t"),"φ","t"),"f","t"),"d","t")</f>
        <v/>
      </c>
      <c r="F86">
        <f>SUBSTITUTE(SUBSTITUTE(SUBSTITUTE(SUBSTITUTE(SUBSTITUTE(SUBSTITUTE(LOWER(IF(ISNUMBER(FIND(";",F16)),MID(F16,FIND(";",F16)+1,99),F16))," ",""),"%%c","t"),"ø","t"),"φ","t"),"f","t"),"d","t")</f>
        <v/>
      </c>
      <c r="G86">
        <f>SUBSTITUTE(SUBSTITUTE(SUBSTITUTE(SUBSTITUTE(SUBSTITUTE(SUBSTITUTE(LOWER(IF(ISNUMBER(FIND(";",G16)),MID(G16,FIND(";",G16)+1,99),G16))," ",""),"%%c","t"),"ø","t"),"φ","t"),"f","t"),"d","t")</f>
        <v/>
      </c>
      <c r="H86">
        <f>SUBSTITUTE(SUBSTITUTE(SUBSTITUTE(SUBSTITUTE(SUBSTITUTE(SUBSTITUTE(LOWER(IF(ISNUMBER(FIND(";",H16)),MID(H16,FIND(";",H16)+1,99),H16))," ",""),"%%c","t"),"ø","t"),"φ","t"),"f","t"),"d","t")</f>
        <v/>
      </c>
      <c r="I86">
        <f>SUBSTITUTE(SUBSTITUTE(SUBSTITUTE(SUBSTITUTE(SUBSTITUTE(SUBSTITUTE(LOWER(IF(ISNUMBER(FIND(";",I16)),MID(I16,FIND(";",I16)+1,99),I16))," ",""),"%%c","t"),"ø","t"),"φ","t"),"f","t"),"d","t")</f>
        <v/>
      </c>
      <c r="J86">
        <f>SUBSTITUTE(SUBSTITUTE(SUBSTITUTE(SUBSTITUTE(SUBSTITUTE(SUBSTITUTE(LOWER(IF(ISNUMBER(FIND(";",J16)),MID(J16,FIND(";",J16)+1,99),J16))," ",""),"%%c","t"),"ø","t"),"φ","t"),"f","t"),"d","t")</f>
        <v/>
      </c>
      <c r="K86">
        <f>SUBSTITUTE(SUBSTITUTE(SUBSTITUTE(SUBSTITUTE(SUBSTITUTE(SUBSTITUTE(LOWER(IF(ISNUMBER(FIND(";",K16)),MID(K16,FIND(";",K16)+1,99),K16))," ",""),"%%c","t"),"ø","t"),"φ","t"),"f","t"),"d","t")</f>
        <v/>
      </c>
      <c r="L86">
        <f>SUBSTITUTE(SUBSTITUTE(SUBSTITUTE(SUBSTITUTE(SUBSTITUTE(SUBSTITUTE(LOWER(IF(ISNUMBER(FIND(";",L16)),MID(L16,FIND(";",L16)+1,99),L16))," ",""),"%%c","t"),"ø","t"),"φ","t"),"f","t"),"d","t")</f>
        <v/>
      </c>
      <c r="M86">
        <f>SUBSTITUTE(SUBSTITUTE(SUBSTITUTE(SUBSTITUTE(SUBSTITUTE(SUBSTITUTE(LOWER(IF(ISNUMBER(FIND(";",M16)),MID(M16,FIND(";",M16)+1,99),M16))," ",""),"%%c","t"),"ø","t"),"φ","t"),"f","t"),"d","t")</f>
        <v/>
      </c>
      <c r="N86">
        <f>SUBSTITUTE(SUBSTITUTE(SUBSTITUTE(SUBSTITUTE(SUBSTITUTE(SUBSTITUTE(LOWER(IF(ISNUMBER(FIND(";",N16)),MID(N16,FIND(";",N16)+1,99),N16))," ",""),"%%c","t"),"ø","t"),"φ","t"),"f","t"),"d","t")</f>
        <v/>
      </c>
      <c r="O86">
        <f>SUBSTITUTE(SUBSTITUTE(SUBSTITUTE(SUBSTITUTE(SUBSTITUTE(SUBSTITUTE(LOWER(IF(ISNUMBER(FIND(";",O16)),MID(O16,FIND(";",O16)+1,99),O16))," ",""),"%%c","t"),"ø","t"),"φ","t"),"f","t"),"d","t")</f>
        <v/>
      </c>
      <c r="P86">
        <f>SUBSTITUTE(SUBSTITUTE(SUBSTITUTE(SUBSTITUTE(SUBSTITUTE(SUBSTITUTE(LOWER(IF(ISNUMBER(FIND(";",P16)),MID(P16,FIND(";",P16)+1,99),P16))," ",""),"%%c","t"),"ø","t"),"φ","t"),"f","t"),"d","t")</f>
        <v/>
      </c>
      <c r="Q86">
        <f>SUBSTITUTE(SUBSTITUTE(SUBSTITUTE(SUBSTITUTE(SUBSTITUTE(SUBSTITUTE(LOWER(IF(ISNUMBER(FIND(";",Q16)),MID(Q16,FIND(";",Q16)+1,99),Q16))," ",""),"%%c","t"),"ø","t"),"φ","t"),"f","t"),"d","t")</f>
        <v/>
      </c>
      <c r="R86">
        <f>SUBSTITUTE(SUBSTITUTE(SUBSTITUTE(SUBSTITUTE(SUBSTITUTE(SUBSTITUTE(LOWER(IF(ISNUMBER(FIND(";",R16)),MID(R16,FIND(";",R16)+1,99),R16))," ",""),"%%c","t"),"ø","t"),"φ","t"),"f","t"),"d","t")</f>
        <v/>
      </c>
      <c r="S86">
        <f>SUBSTITUTE(SUBSTITUTE(SUBSTITUTE(SUBSTITUTE(SUBSTITUTE(SUBSTITUTE(LOWER(IF(ISNUMBER(FIND(";",S16)),MID(S16,FIND(";",S16)+1,99),S16))," ",""),"%%c","t"),"ø","t"),"φ","t"),"f","t"),"d","t")</f>
        <v/>
      </c>
      <c r="T86">
        <f>SUBSTITUTE(SUBSTITUTE(SUBSTITUTE(SUBSTITUTE(SUBSTITUTE(SUBSTITUTE(LOWER(IF(ISNUMBER(FIND(";",T16)),MID(T16,FIND(";",T16)+1,99),T16))," ",""),"%%c","t"),"ø","t"),"φ","t"),"f","t"),"d","t")</f>
        <v/>
      </c>
      <c r="U86">
        <f>SUBSTITUTE(SUBSTITUTE(SUBSTITUTE(SUBSTITUTE(SUBSTITUTE(SUBSTITUTE(LOWER(IF(ISNUMBER(FIND(";",U16)),MID(U16,FIND(";",U16)+1,99),U16))," ",""),"%%c","t"),"ø","t"),"φ","t"),"f","t"),"d","t")</f>
        <v/>
      </c>
      <c r="V86">
        <f>SUBSTITUTE(SUBSTITUTE(SUBSTITUTE(SUBSTITUTE(SUBSTITUTE(SUBSTITUTE(LOWER(IF(ISNUMBER(FIND(";",V16)),MID(V16,FIND(";",V16)+1,99),V16))," ",""),"%%c","t"),"ø","t"),"φ","t"),"f","t"),"d","t")</f>
        <v/>
      </c>
      <c r="W86">
        <f>SUBSTITUTE(SUBSTITUTE(SUBSTITUTE(SUBSTITUTE(SUBSTITUTE(SUBSTITUTE(LOWER(IF(ISNUMBER(FIND(";",W16)),MID(W16,FIND(";",W16)+1,99),W16))," ",""),"%%c","t"),"ø","t"),"φ","t"),"f","t"),"d","t")</f>
        <v/>
      </c>
      <c r="X86">
        <f>SUBSTITUTE(SUBSTITUTE(SUBSTITUTE(SUBSTITUTE(SUBSTITUTE(SUBSTITUTE(LOWER(IF(ISNUMBER(FIND(";",X16)),MID(X16,FIND(";",X16)+1,99),X16))," ",""),"%%c","t"),"ø","t"),"φ","t"),"f","t"),"d","t")</f>
        <v/>
      </c>
      <c r="Y86">
        <f>SUBSTITUTE(SUBSTITUTE(SUBSTITUTE(SUBSTITUTE(SUBSTITUTE(SUBSTITUTE(LOWER(IF(ISNUMBER(FIND(";",Y16)),MID(Y16,FIND(";",Y16)+1,99),Y16))," ",""),"%%c","t"),"ø","t"),"φ","t"),"f","t"),"d","t")</f>
        <v/>
      </c>
      <c r="Z86">
        <f>SUBSTITUTE(SUBSTITUTE(SUBSTITUTE(SUBSTITUTE(SUBSTITUTE(SUBSTITUTE(LOWER(IF(ISNUMBER(FIND(";",Z16)),MID(Z16,FIND(";",Z16)+1,99),Z16))," ",""),"%%c","t"),"ø","t"),"φ","t"),"f","t"),"d","t")</f>
        <v/>
      </c>
      <c r="AA86">
        <f>SUBSTITUTE(SUBSTITUTE(SUBSTITUTE(SUBSTITUTE(SUBSTITUTE(SUBSTITUTE(LOWER(IF(ISNUMBER(FIND(";",AA16)),MID(AA16,FIND(";",AA16)+1,99),AA16))," ",""),"%%c","t"),"ø","t"),"φ","t"),"f","t"),"d","t")</f>
        <v/>
      </c>
      <c r="AB86">
        <f>SUBSTITUTE(SUBSTITUTE(SUBSTITUTE(SUBSTITUTE(SUBSTITUTE(SUBSTITUTE(LOWER(IF(ISNUMBER(FIND(";",AB16)),MID(AB16,FIND(";",AB16)+1,99),AB16))," ",""),"%%c","t"),"ø","t"),"φ","t"),"f","t"),"d","t")</f>
        <v/>
      </c>
      <c r="AC86">
        <f>SUBSTITUTE(SUBSTITUTE(SUBSTITUTE(SUBSTITUTE(SUBSTITUTE(SUBSTITUTE(LOWER(IF(ISNUMBER(FIND(";",AC16)),MID(AC16,FIND(";",AC16)+1,99),AC16))," ",""),"%%c","t"),"ø","t"),"φ","t"),"f","t"),"d","t")</f>
        <v/>
      </c>
      <c r="AD86">
        <f>SUBSTITUTE(SUBSTITUTE(SUBSTITUTE(SUBSTITUTE(SUBSTITUTE(SUBSTITUTE(LOWER(IF(ISNUMBER(FIND(";",AD16)),MID(AD16,FIND(";",AD16)+1,99),AD16))," ",""),"%%c","t"),"ø","t"),"φ","t"),"f","t"),"d","t")</f>
        <v/>
      </c>
      <c r="AE86">
        <f>SUBSTITUTE(SUBSTITUTE(SUBSTITUTE(SUBSTITUTE(SUBSTITUTE(SUBSTITUTE(LOWER(IF(ISNUMBER(FIND(";",AE16)),MID(AE16,FIND(";",AE16)+1,99),AE16))," ",""),"%%c","t"),"ø","t"),"φ","t"),"f","t"),"d","t")</f>
        <v/>
      </c>
      <c r="AF86">
        <f>SUBSTITUTE(SUBSTITUTE(SUBSTITUTE(SUBSTITUTE(SUBSTITUTE(SUBSTITUTE(LOWER(IF(ISNUMBER(FIND(";",AF16)),MID(AF16,FIND(";",AF16)+1,99),AF16))," ",""),"%%c","t"),"ø","t"),"φ","t"),"f","t"),"d","t")</f>
        <v/>
      </c>
      <c r="AG86">
        <f>SUBSTITUTE(SUBSTITUTE(SUBSTITUTE(SUBSTITUTE(SUBSTITUTE(SUBSTITUTE(LOWER(IF(ISNUMBER(FIND(";",AG16)),MID(AG16,FIND(";",AG16)+1,99),AG16))," ",""),"%%c","t"),"ø","t"),"φ","t"),"f","t"),"d","t")</f>
        <v/>
      </c>
    </row>
    <row r="87" hidden="1" outlineLevel="1">
      <c r="A87" s="60" t="inlineStr">
        <is>
          <t>(phụ trợ) A_T4R</t>
        </is>
      </c>
      <c r="C87">
        <f>IFERROR(LEFT(LEFT(C86,FIND("+",C86&amp;"+")-1),FIND("t",LEFT(C86,FIND("+",C86&amp;"+")-1))-1)*MID(LEFT(C86,FIND("+",C86&amp;"+")-1),FIND("t",LEFT(C86,FIND("+",C86&amp;"+")-1))+1,2)^2*PI()/400,0)+IFERROR(LEFT(MID(C86,FIND("+",C86&amp;"+")+1,99),FIND("t",MID(C86,FIND("+",C86&amp;"+")+1,99))-1)*MID(MID(C86,FIND("+",C86&amp;"+")+1,99),FIND("t",MID(C86,FIND("+",C86&amp;"+")+1,99))+1,2)^2*PI()/400,0)</f>
        <v/>
      </c>
      <c r="D87">
        <f>IFERROR(LEFT(LEFT(D86,FIND("+",D86&amp;"+")-1),FIND("t",LEFT(D86,FIND("+",D86&amp;"+")-1))-1)*MID(LEFT(D86,FIND("+",D86&amp;"+")-1),FIND("t",LEFT(D86,FIND("+",D86&amp;"+")-1))+1,2)^2*PI()/400,0)+IFERROR(LEFT(MID(D86,FIND("+",D86&amp;"+")+1,99),FIND("t",MID(D86,FIND("+",D86&amp;"+")+1,99))-1)*MID(MID(D86,FIND("+",D86&amp;"+")+1,99),FIND("t",MID(D86,FIND("+",D86&amp;"+")+1,99))+1,2)^2*PI()/400,0)</f>
        <v/>
      </c>
      <c r="E87">
        <f>IFERROR(LEFT(LEFT(E86,FIND("+",E86&amp;"+")-1),FIND("t",LEFT(E86,FIND("+",E86&amp;"+")-1))-1)*MID(LEFT(E86,FIND("+",E86&amp;"+")-1),FIND("t",LEFT(E86,FIND("+",E86&amp;"+")-1))+1,2)^2*PI()/400,0)+IFERROR(LEFT(MID(E86,FIND("+",E86&amp;"+")+1,99),FIND("t",MID(E86,FIND("+",E86&amp;"+")+1,99))-1)*MID(MID(E86,FIND("+",E86&amp;"+")+1,99),FIND("t",MID(E86,FIND("+",E86&amp;"+")+1,99))+1,2)^2*PI()/400,0)</f>
        <v/>
      </c>
      <c r="F87">
        <f>IFERROR(LEFT(LEFT(F86,FIND("+",F86&amp;"+")-1),FIND("t",LEFT(F86,FIND("+",F86&amp;"+")-1))-1)*MID(LEFT(F86,FIND("+",F86&amp;"+")-1),FIND("t",LEFT(F86,FIND("+",F86&amp;"+")-1))+1,2)^2*PI()/400,0)+IFERROR(LEFT(MID(F86,FIND("+",F86&amp;"+")+1,99),FIND("t",MID(F86,FIND("+",F86&amp;"+")+1,99))-1)*MID(MID(F86,FIND("+",F86&amp;"+")+1,99),FIND("t",MID(F86,FIND("+",F86&amp;"+")+1,99))+1,2)^2*PI()/400,0)</f>
        <v/>
      </c>
      <c r="G87">
        <f>IFERROR(LEFT(LEFT(G86,FIND("+",G86&amp;"+")-1),FIND("t",LEFT(G86,FIND("+",G86&amp;"+")-1))-1)*MID(LEFT(G86,FIND("+",G86&amp;"+")-1),FIND("t",LEFT(G86,FIND("+",G86&amp;"+")-1))+1,2)^2*PI()/400,0)+IFERROR(LEFT(MID(G86,FIND("+",G86&amp;"+")+1,99),FIND("t",MID(G86,FIND("+",G86&amp;"+")+1,99))-1)*MID(MID(G86,FIND("+",G86&amp;"+")+1,99),FIND("t",MID(G86,FIND("+",G86&amp;"+")+1,99))+1,2)^2*PI()/400,0)</f>
        <v/>
      </c>
      <c r="H87">
        <f>IFERROR(LEFT(LEFT(H86,FIND("+",H86&amp;"+")-1),FIND("t",LEFT(H86,FIND("+",H86&amp;"+")-1))-1)*MID(LEFT(H86,FIND("+",H86&amp;"+")-1),FIND("t",LEFT(H86,FIND("+",H86&amp;"+")-1))+1,2)^2*PI()/400,0)+IFERROR(LEFT(MID(H86,FIND("+",H86&amp;"+")+1,99),FIND("t",MID(H86,FIND("+",H86&amp;"+")+1,99))-1)*MID(MID(H86,FIND("+",H86&amp;"+")+1,99),FIND("t",MID(H86,FIND("+",H86&amp;"+")+1,99))+1,2)^2*PI()/400,0)</f>
        <v/>
      </c>
      <c r="I87">
        <f>IFERROR(LEFT(LEFT(I86,FIND("+",I86&amp;"+")-1),FIND("t",LEFT(I86,FIND("+",I86&amp;"+")-1))-1)*MID(LEFT(I86,FIND("+",I86&amp;"+")-1),FIND("t",LEFT(I86,FIND("+",I86&amp;"+")-1))+1,2)^2*PI()/400,0)+IFERROR(LEFT(MID(I86,FIND("+",I86&amp;"+")+1,99),FIND("t",MID(I86,FIND("+",I86&amp;"+")+1,99))-1)*MID(MID(I86,FIND("+",I86&amp;"+")+1,99),FIND("t",MID(I86,FIND("+",I86&amp;"+")+1,99))+1,2)^2*PI()/400,0)</f>
        <v/>
      </c>
      <c r="J87">
        <f>IFERROR(LEFT(LEFT(J86,FIND("+",J86&amp;"+")-1),FIND("t",LEFT(J86,FIND("+",J86&amp;"+")-1))-1)*MID(LEFT(J86,FIND("+",J86&amp;"+")-1),FIND("t",LEFT(J86,FIND("+",J86&amp;"+")-1))+1,2)^2*PI()/400,0)+IFERROR(LEFT(MID(J86,FIND("+",J86&amp;"+")+1,99),FIND("t",MID(J86,FIND("+",J86&amp;"+")+1,99))-1)*MID(MID(J86,FIND("+",J86&amp;"+")+1,99),FIND("t",MID(J86,FIND("+",J86&amp;"+")+1,99))+1,2)^2*PI()/400,0)</f>
        <v/>
      </c>
      <c r="K87">
        <f>IFERROR(LEFT(LEFT(K86,FIND("+",K86&amp;"+")-1),FIND("t",LEFT(K86,FIND("+",K86&amp;"+")-1))-1)*MID(LEFT(K86,FIND("+",K86&amp;"+")-1),FIND("t",LEFT(K86,FIND("+",K86&amp;"+")-1))+1,2)^2*PI()/400,0)+IFERROR(LEFT(MID(K86,FIND("+",K86&amp;"+")+1,99),FIND("t",MID(K86,FIND("+",K86&amp;"+")+1,99))-1)*MID(MID(K86,FIND("+",K86&amp;"+")+1,99),FIND("t",MID(K86,FIND("+",K86&amp;"+")+1,99))+1,2)^2*PI()/400,0)</f>
        <v/>
      </c>
      <c r="L87">
        <f>IFERROR(LEFT(LEFT(L86,FIND("+",L86&amp;"+")-1),FIND("t",LEFT(L86,FIND("+",L86&amp;"+")-1))-1)*MID(LEFT(L86,FIND("+",L86&amp;"+")-1),FIND("t",LEFT(L86,FIND("+",L86&amp;"+")-1))+1,2)^2*PI()/400,0)+IFERROR(LEFT(MID(L86,FIND("+",L86&amp;"+")+1,99),FIND("t",MID(L86,FIND("+",L86&amp;"+")+1,99))-1)*MID(MID(L86,FIND("+",L86&amp;"+")+1,99),FIND("t",MID(L86,FIND("+",L86&amp;"+")+1,99))+1,2)^2*PI()/400,0)</f>
        <v/>
      </c>
      <c r="M87">
        <f>IFERROR(LEFT(LEFT(M86,FIND("+",M86&amp;"+")-1),FIND("t",LEFT(M86,FIND("+",M86&amp;"+")-1))-1)*MID(LEFT(M86,FIND("+",M86&amp;"+")-1),FIND("t",LEFT(M86,FIND("+",M86&amp;"+")-1))+1,2)^2*PI()/400,0)+IFERROR(LEFT(MID(M86,FIND("+",M86&amp;"+")+1,99),FIND("t",MID(M86,FIND("+",M86&amp;"+")+1,99))-1)*MID(MID(M86,FIND("+",M86&amp;"+")+1,99),FIND("t",MID(M86,FIND("+",M86&amp;"+")+1,99))+1,2)^2*PI()/400,0)</f>
        <v/>
      </c>
      <c r="N87">
        <f>IFERROR(LEFT(LEFT(N86,FIND("+",N86&amp;"+")-1),FIND("t",LEFT(N86,FIND("+",N86&amp;"+")-1))-1)*MID(LEFT(N86,FIND("+",N86&amp;"+")-1),FIND("t",LEFT(N86,FIND("+",N86&amp;"+")-1))+1,2)^2*PI()/400,0)+IFERROR(LEFT(MID(N86,FIND("+",N86&amp;"+")+1,99),FIND("t",MID(N86,FIND("+",N86&amp;"+")+1,99))-1)*MID(MID(N86,FIND("+",N86&amp;"+")+1,99),FIND("t",MID(N86,FIND("+",N86&amp;"+")+1,99))+1,2)^2*PI()/400,0)</f>
        <v/>
      </c>
      <c r="O87">
        <f>IFERROR(LEFT(LEFT(O86,FIND("+",O86&amp;"+")-1),FIND("t",LEFT(O86,FIND("+",O86&amp;"+")-1))-1)*MID(LEFT(O86,FIND("+",O86&amp;"+")-1),FIND("t",LEFT(O86,FIND("+",O86&amp;"+")-1))+1,2)^2*PI()/400,0)+IFERROR(LEFT(MID(O86,FIND("+",O86&amp;"+")+1,99),FIND("t",MID(O86,FIND("+",O86&amp;"+")+1,99))-1)*MID(MID(O86,FIND("+",O86&amp;"+")+1,99),FIND("t",MID(O86,FIND("+",O86&amp;"+")+1,99))+1,2)^2*PI()/400,0)</f>
        <v/>
      </c>
      <c r="P87">
        <f>IFERROR(LEFT(LEFT(P86,FIND("+",P86&amp;"+")-1),FIND("t",LEFT(P86,FIND("+",P86&amp;"+")-1))-1)*MID(LEFT(P86,FIND("+",P86&amp;"+")-1),FIND("t",LEFT(P86,FIND("+",P86&amp;"+")-1))+1,2)^2*PI()/400,0)+IFERROR(LEFT(MID(P86,FIND("+",P86&amp;"+")+1,99),FIND("t",MID(P86,FIND("+",P86&amp;"+")+1,99))-1)*MID(MID(P86,FIND("+",P86&amp;"+")+1,99),FIND("t",MID(P86,FIND("+",P86&amp;"+")+1,99))+1,2)^2*PI()/400,0)</f>
        <v/>
      </c>
      <c r="Q87">
        <f>IFERROR(LEFT(LEFT(Q86,FIND("+",Q86&amp;"+")-1),FIND("t",LEFT(Q86,FIND("+",Q86&amp;"+")-1))-1)*MID(LEFT(Q86,FIND("+",Q86&amp;"+")-1),FIND("t",LEFT(Q86,FIND("+",Q86&amp;"+")-1))+1,2)^2*PI()/400,0)+IFERROR(LEFT(MID(Q86,FIND("+",Q86&amp;"+")+1,99),FIND("t",MID(Q86,FIND("+",Q86&amp;"+")+1,99))-1)*MID(MID(Q86,FIND("+",Q86&amp;"+")+1,99),FIND("t",MID(Q86,FIND("+",Q86&amp;"+")+1,99))+1,2)^2*PI()/400,0)</f>
        <v/>
      </c>
      <c r="R87">
        <f>IFERROR(LEFT(LEFT(R86,FIND("+",R86&amp;"+")-1),FIND("t",LEFT(R86,FIND("+",R86&amp;"+")-1))-1)*MID(LEFT(R86,FIND("+",R86&amp;"+")-1),FIND("t",LEFT(R86,FIND("+",R86&amp;"+")-1))+1,2)^2*PI()/400,0)+IFERROR(LEFT(MID(R86,FIND("+",R86&amp;"+")+1,99),FIND("t",MID(R86,FIND("+",R86&amp;"+")+1,99))-1)*MID(MID(R86,FIND("+",R86&amp;"+")+1,99),FIND("t",MID(R86,FIND("+",R86&amp;"+")+1,99))+1,2)^2*PI()/400,0)</f>
        <v/>
      </c>
      <c r="S87">
        <f>IFERROR(LEFT(LEFT(S86,FIND("+",S86&amp;"+")-1),FIND("t",LEFT(S86,FIND("+",S86&amp;"+")-1))-1)*MID(LEFT(S86,FIND("+",S86&amp;"+")-1),FIND("t",LEFT(S86,FIND("+",S86&amp;"+")-1))+1,2)^2*PI()/400,0)+IFERROR(LEFT(MID(S86,FIND("+",S86&amp;"+")+1,99),FIND("t",MID(S86,FIND("+",S86&amp;"+")+1,99))-1)*MID(MID(S86,FIND("+",S86&amp;"+")+1,99),FIND("t",MID(S86,FIND("+",S86&amp;"+")+1,99))+1,2)^2*PI()/400,0)</f>
        <v/>
      </c>
      <c r="T87">
        <f>IFERROR(LEFT(LEFT(T86,FIND("+",T86&amp;"+")-1),FIND("t",LEFT(T86,FIND("+",T86&amp;"+")-1))-1)*MID(LEFT(T86,FIND("+",T86&amp;"+")-1),FIND("t",LEFT(T86,FIND("+",T86&amp;"+")-1))+1,2)^2*PI()/400,0)+IFERROR(LEFT(MID(T86,FIND("+",T86&amp;"+")+1,99),FIND("t",MID(T86,FIND("+",T86&amp;"+")+1,99))-1)*MID(MID(T86,FIND("+",T86&amp;"+")+1,99),FIND("t",MID(T86,FIND("+",T86&amp;"+")+1,99))+1,2)^2*PI()/400,0)</f>
        <v/>
      </c>
      <c r="U87">
        <f>IFERROR(LEFT(LEFT(U86,FIND("+",U86&amp;"+")-1),FIND("t",LEFT(U86,FIND("+",U86&amp;"+")-1))-1)*MID(LEFT(U86,FIND("+",U86&amp;"+")-1),FIND("t",LEFT(U86,FIND("+",U86&amp;"+")-1))+1,2)^2*PI()/400,0)+IFERROR(LEFT(MID(U86,FIND("+",U86&amp;"+")+1,99),FIND("t",MID(U86,FIND("+",U86&amp;"+")+1,99))-1)*MID(MID(U86,FIND("+",U86&amp;"+")+1,99),FIND("t",MID(U86,FIND("+",U86&amp;"+")+1,99))+1,2)^2*PI()/400,0)</f>
        <v/>
      </c>
      <c r="V87">
        <f>IFERROR(LEFT(LEFT(V86,FIND("+",V86&amp;"+")-1),FIND("t",LEFT(V86,FIND("+",V86&amp;"+")-1))-1)*MID(LEFT(V86,FIND("+",V86&amp;"+")-1),FIND("t",LEFT(V86,FIND("+",V86&amp;"+")-1))+1,2)^2*PI()/400,0)+IFERROR(LEFT(MID(V86,FIND("+",V86&amp;"+")+1,99),FIND("t",MID(V86,FIND("+",V86&amp;"+")+1,99))-1)*MID(MID(V86,FIND("+",V86&amp;"+")+1,99),FIND("t",MID(V86,FIND("+",V86&amp;"+")+1,99))+1,2)^2*PI()/400,0)</f>
        <v/>
      </c>
      <c r="W87">
        <f>IFERROR(LEFT(LEFT(W86,FIND("+",W86&amp;"+")-1),FIND("t",LEFT(W86,FIND("+",W86&amp;"+")-1))-1)*MID(LEFT(W86,FIND("+",W86&amp;"+")-1),FIND("t",LEFT(W86,FIND("+",W86&amp;"+")-1))+1,2)^2*PI()/400,0)+IFERROR(LEFT(MID(W86,FIND("+",W86&amp;"+")+1,99),FIND("t",MID(W86,FIND("+",W86&amp;"+")+1,99))-1)*MID(MID(W86,FIND("+",W86&amp;"+")+1,99),FIND("t",MID(W86,FIND("+",W86&amp;"+")+1,99))+1,2)^2*PI()/400,0)</f>
        <v/>
      </c>
      <c r="X87">
        <f>IFERROR(LEFT(LEFT(X86,FIND("+",X86&amp;"+")-1),FIND("t",LEFT(X86,FIND("+",X86&amp;"+")-1))-1)*MID(LEFT(X86,FIND("+",X86&amp;"+")-1),FIND("t",LEFT(X86,FIND("+",X86&amp;"+")-1))+1,2)^2*PI()/400,0)+IFERROR(LEFT(MID(X86,FIND("+",X86&amp;"+")+1,99),FIND("t",MID(X86,FIND("+",X86&amp;"+")+1,99))-1)*MID(MID(X86,FIND("+",X86&amp;"+")+1,99),FIND("t",MID(X86,FIND("+",X86&amp;"+")+1,99))+1,2)^2*PI()/400,0)</f>
        <v/>
      </c>
      <c r="Y87">
        <f>IFERROR(LEFT(LEFT(Y86,FIND("+",Y86&amp;"+")-1),FIND("t",LEFT(Y86,FIND("+",Y86&amp;"+")-1))-1)*MID(LEFT(Y86,FIND("+",Y86&amp;"+")-1),FIND("t",LEFT(Y86,FIND("+",Y86&amp;"+")-1))+1,2)^2*PI()/400,0)+IFERROR(LEFT(MID(Y86,FIND("+",Y86&amp;"+")+1,99),FIND("t",MID(Y86,FIND("+",Y86&amp;"+")+1,99))-1)*MID(MID(Y86,FIND("+",Y86&amp;"+")+1,99),FIND("t",MID(Y86,FIND("+",Y86&amp;"+")+1,99))+1,2)^2*PI()/400,0)</f>
        <v/>
      </c>
      <c r="Z87">
        <f>IFERROR(LEFT(LEFT(Z86,FIND("+",Z86&amp;"+")-1),FIND("t",LEFT(Z86,FIND("+",Z86&amp;"+")-1))-1)*MID(LEFT(Z86,FIND("+",Z86&amp;"+")-1),FIND("t",LEFT(Z86,FIND("+",Z86&amp;"+")-1))+1,2)^2*PI()/400,0)+IFERROR(LEFT(MID(Z86,FIND("+",Z86&amp;"+")+1,99),FIND("t",MID(Z86,FIND("+",Z86&amp;"+")+1,99))-1)*MID(MID(Z86,FIND("+",Z86&amp;"+")+1,99),FIND("t",MID(Z86,FIND("+",Z86&amp;"+")+1,99))+1,2)^2*PI()/400,0)</f>
        <v/>
      </c>
      <c r="AA87">
        <f>IFERROR(LEFT(LEFT(AA86,FIND("+",AA86&amp;"+")-1),FIND("t",LEFT(AA86,FIND("+",AA86&amp;"+")-1))-1)*MID(LEFT(AA86,FIND("+",AA86&amp;"+")-1),FIND("t",LEFT(AA86,FIND("+",AA86&amp;"+")-1))+1,2)^2*PI()/400,0)+IFERROR(LEFT(MID(AA86,FIND("+",AA86&amp;"+")+1,99),FIND("t",MID(AA86,FIND("+",AA86&amp;"+")+1,99))-1)*MID(MID(AA86,FIND("+",AA86&amp;"+")+1,99),FIND("t",MID(AA86,FIND("+",AA86&amp;"+")+1,99))+1,2)^2*PI()/400,0)</f>
        <v/>
      </c>
      <c r="AB87">
        <f>IFERROR(LEFT(LEFT(AB86,FIND("+",AB86&amp;"+")-1),FIND("t",LEFT(AB86,FIND("+",AB86&amp;"+")-1))-1)*MID(LEFT(AB86,FIND("+",AB86&amp;"+")-1),FIND("t",LEFT(AB86,FIND("+",AB86&amp;"+")-1))+1,2)^2*PI()/400,0)+IFERROR(LEFT(MID(AB86,FIND("+",AB86&amp;"+")+1,99),FIND("t",MID(AB86,FIND("+",AB86&amp;"+")+1,99))-1)*MID(MID(AB86,FIND("+",AB86&amp;"+")+1,99),FIND("t",MID(AB86,FIND("+",AB86&amp;"+")+1,99))+1,2)^2*PI()/400,0)</f>
        <v/>
      </c>
      <c r="AC87">
        <f>IFERROR(LEFT(LEFT(AC86,FIND("+",AC86&amp;"+")-1),FIND("t",LEFT(AC86,FIND("+",AC86&amp;"+")-1))-1)*MID(LEFT(AC86,FIND("+",AC86&amp;"+")-1),FIND("t",LEFT(AC86,FIND("+",AC86&amp;"+")-1))+1,2)^2*PI()/400,0)+IFERROR(LEFT(MID(AC86,FIND("+",AC86&amp;"+")+1,99),FIND("t",MID(AC86,FIND("+",AC86&amp;"+")+1,99))-1)*MID(MID(AC86,FIND("+",AC86&amp;"+")+1,99),FIND("t",MID(AC86,FIND("+",AC86&amp;"+")+1,99))+1,2)^2*PI()/400,0)</f>
        <v/>
      </c>
      <c r="AD87">
        <f>IFERROR(LEFT(LEFT(AD86,FIND("+",AD86&amp;"+")-1),FIND("t",LEFT(AD86,FIND("+",AD86&amp;"+")-1))-1)*MID(LEFT(AD86,FIND("+",AD86&amp;"+")-1),FIND("t",LEFT(AD86,FIND("+",AD86&amp;"+")-1))+1,2)^2*PI()/400,0)+IFERROR(LEFT(MID(AD86,FIND("+",AD86&amp;"+")+1,99),FIND("t",MID(AD86,FIND("+",AD86&amp;"+")+1,99))-1)*MID(MID(AD86,FIND("+",AD86&amp;"+")+1,99),FIND("t",MID(AD86,FIND("+",AD86&amp;"+")+1,99))+1,2)^2*PI()/400,0)</f>
        <v/>
      </c>
      <c r="AE87">
        <f>IFERROR(LEFT(LEFT(AE86,FIND("+",AE86&amp;"+")-1),FIND("t",LEFT(AE86,FIND("+",AE86&amp;"+")-1))-1)*MID(LEFT(AE86,FIND("+",AE86&amp;"+")-1),FIND("t",LEFT(AE86,FIND("+",AE86&amp;"+")-1))+1,2)^2*PI()/400,0)+IFERROR(LEFT(MID(AE86,FIND("+",AE86&amp;"+")+1,99),FIND("t",MID(AE86,FIND("+",AE86&amp;"+")+1,99))-1)*MID(MID(AE86,FIND("+",AE86&amp;"+")+1,99),FIND("t",MID(AE86,FIND("+",AE86&amp;"+")+1,99))+1,2)^2*PI()/400,0)</f>
        <v/>
      </c>
      <c r="AF87">
        <f>IFERROR(LEFT(LEFT(AF86,FIND("+",AF86&amp;"+")-1),FIND("t",LEFT(AF86,FIND("+",AF86&amp;"+")-1))-1)*MID(LEFT(AF86,FIND("+",AF86&amp;"+")-1),FIND("t",LEFT(AF86,FIND("+",AF86&amp;"+")-1))+1,2)^2*PI()/400,0)+IFERROR(LEFT(MID(AF86,FIND("+",AF86&amp;"+")+1,99),FIND("t",MID(AF86,FIND("+",AF86&amp;"+")+1,99))-1)*MID(MID(AF86,FIND("+",AF86&amp;"+")+1,99),FIND("t",MID(AF86,FIND("+",AF86&amp;"+")+1,99))+1,2)^2*PI()/400,0)</f>
        <v/>
      </c>
      <c r="AG87">
        <f>IFERROR(LEFT(LEFT(AG86,FIND("+",AG86&amp;"+")-1),FIND("t",LEFT(AG86,FIND("+",AG86&amp;"+")-1))-1)*MID(LEFT(AG86,FIND("+",AG86&amp;"+")-1),FIND("t",LEFT(AG86,FIND("+",AG86&amp;"+")-1))+1,2)^2*PI()/400,0)+IFERROR(LEFT(MID(AG86,FIND("+",AG86&amp;"+")+1,99),FIND("t",MID(AG86,FIND("+",AG86&amp;"+")+1,99))-1)*MID(MID(AG86,FIND("+",AG86&amp;"+")+1,99),FIND("t",MID(AG86,FIND("+",AG86&amp;"+")+1,99))+1,2)^2*PI()/400,0)</f>
        <v/>
      </c>
    </row>
    <row r="88" hidden="1" outlineLevel="1">
      <c r="A88" s="60" t="inlineStr">
        <is>
          <t>(phụ trợ) N_T5L</t>
        </is>
      </c>
      <c r="C88">
        <f>SUBSTITUTE(SUBSTITUTE(SUBSTITUTE(SUBSTITUTE(SUBSTITUTE(SUBSTITUTE(LOWER(IF(ISNUMBER(FIND(";",C17)),LEFT(C17,FIND(";",C17)-1),C17))," ",""),"%%c","t"),"ø","t"),"φ","t"),"f","t"),"d","t")</f>
        <v/>
      </c>
      <c r="D88">
        <f>SUBSTITUTE(SUBSTITUTE(SUBSTITUTE(SUBSTITUTE(SUBSTITUTE(SUBSTITUTE(LOWER(IF(ISNUMBER(FIND(";",D17)),LEFT(D17,FIND(";",D17)-1),D17))," ",""),"%%c","t"),"ø","t"),"φ","t"),"f","t"),"d","t")</f>
        <v/>
      </c>
      <c r="E88">
        <f>SUBSTITUTE(SUBSTITUTE(SUBSTITUTE(SUBSTITUTE(SUBSTITUTE(SUBSTITUTE(LOWER(IF(ISNUMBER(FIND(";",E17)),LEFT(E17,FIND(";",E17)-1),E17))," ",""),"%%c","t"),"ø","t"),"φ","t"),"f","t"),"d","t")</f>
        <v/>
      </c>
      <c r="F88">
        <f>SUBSTITUTE(SUBSTITUTE(SUBSTITUTE(SUBSTITUTE(SUBSTITUTE(SUBSTITUTE(LOWER(IF(ISNUMBER(FIND(";",F17)),LEFT(F17,FIND(";",F17)-1),F17))," ",""),"%%c","t"),"ø","t"),"φ","t"),"f","t"),"d","t")</f>
        <v/>
      </c>
      <c r="G88">
        <f>SUBSTITUTE(SUBSTITUTE(SUBSTITUTE(SUBSTITUTE(SUBSTITUTE(SUBSTITUTE(LOWER(IF(ISNUMBER(FIND(";",G17)),LEFT(G17,FIND(";",G17)-1),G17))," ",""),"%%c","t"),"ø","t"),"φ","t"),"f","t"),"d","t")</f>
        <v/>
      </c>
      <c r="H88">
        <f>SUBSTITUTE(SUBSTITUTE(SUBSTITUTE(SUBSTITUTE(SUBSTITUTE(SUBSTITUTE(LOWER(IF(ISNUMBER(FIND(";",H17)),LEFT(H17,FIND(";",H17)-1),H17))," ",""),"%%c","t"),"ø","t"),"φ","t"),"f","t"),"d","t")</f>
        <v/>
      </c>
      <c r="I88">
        <f>SUBSTITUTE(SUBSTITUTE(SUBSTITUTE(SUBSTITUTE(SUBSTITUTE(SUBSTITUTE(LOWER(IF(ISNUMBER(FIND(";",I17)),LEFT(I17,FIND(";",I17)-1),I17))," ",""),"%%c","t"),"ø","t"),"φ","t"),"f","t"),"d","t")</f>
        <v/>
      </c>
      <c r="J88">
        <f>SUBSTITUTE(SUBSTITUTE(SUBSTITUTE(SUBSTITUTE(SUBSTITUTE(SUBSTITUTE(LOWER(IF(ISNUMBER(FIND(";",J17)),LEFT(J17,FIND(";",J17)-1),J17))," ",""),"%%c","t"),"ø","t"),"φ","t"),"f","t"),"d","t")</f>
        <v/>
      </c>
      <c r="K88">
        <f>SUBSTITUTE(SUBSTITUTE(SUBSTITUTE(SUBSTITUTE(SUBSTITUTE(SUBSTITUTE(LOWER(IF(ISNUMBER(FIND(";",K17)),LEFT(K17,FIND(";",K17)-1),K17))," ",""),"%%c","t"),"ø","t"),"φ","t"),"f","t"),"d","t")</f>
        <v/>
      </c>
      <c r="L88">
        <f>SUBSTITUTE(SUBSTITUTE(SUBSTITUTE(SUBSTITUTE(SUBSTITUTE(SUBSTITUTE(LOWER(IF(ISNUMBER(FIND(";",L17)),LEFT(L17,FIND(";",L17)-1),L17))," ",""),"%%c","t"),"ø","t"),"φ","t"),"f","t"),"d","t")</f>
        <v/>
      </c>
      <c r="M88">
        <f>SUBSTITUTE(SUBSTITUTE(SUBSTITUTE(SUBSTITUTE(SUBSTITUTE(SUBSTITUTE(LOWER(IF(ISNUMBER(FIND(";",M17)),LEFT(M17,FIND(";",M17)-1),M17))," ",""),"%%c","t"),"ø","t"),"φ","t"),"f","t"),"d","t")</f>
        <v/>
      </c>
      <c r="N88">
        <f>SUBSTITUTE(SUBSTITUTE(SUBSTITUTE(SUBSTITUTE(SUBSTITUTE(SUBSTITUTE(LOWER(IF(ISNUMBER(FIND(";",N17)),LEFT(N17,FIND(";",N17)-1),N17))," ",""),"%%c","t"),"ø","t"),"φ","t"),"f","t"),"d","t")</f>
        <v/>
      </c>
      <c r="O88">
        <f>SUBSTITUTE(SUBSTITUTE(SUBSTITUTE(SUBSTITUTE(SUBSTITUTE(SUBSTITUTE(LOWER(IF(ISNUMBER(FIND(";",O17)),LEFT(O17,FIND(";",O17)-1),O17))," ",""),"%%c","t"),"ø","t"),"φ","t"),"f","t"),"d","t")</f>
        <v/>
      </c>
      <c r="P88">
        <f>SUBSTITUTE(SUBSTITUTE(SUBSTITUTE(SUBSTITUTE(SUBSTITUTE(SUBSTITUTE(LOWER(IF(ISNUMBER(FIND(";",P17)),LEFT(P17,FIND(";",P17)-1),P17))," ",""),"%%c","t"),"ø","t"),"φ","t"),"f","t"),"d","t")</f>
        <v/>
      </c>
      <c r="Q88">
        <f>SUBSTITUTE(SUBSTITUTE(SUBSTITUTE(SUBSTITUTE(SUBSTITUTE(SUBSTITUTE(LOWER(IF(ISNUMBER(FIND(";",Q17)),LEFT(Q17,FIND(";",Q17)-1),Q17))," ",""),"%%c","t"),"ø","t"),"φ","t"),"f","t"),"d","t")</f>
        <v/>
      </c>
      <c r="R88">
        <f>SUBSTITUTE(SUBSTITUTE(SUBSTITUTE(SUBSTITUTE(SUBSTITUTE(SUBSTITUTE(LOWER(IF(ISNUMBER(FIND(";",R17)),LEFT(R17,FIND(";",R17)-1),R17))," ",""),"%%c","t"),"ø","t"),"φ","t"),"f","t"),"d","t")</f>
        <v/>
      </c>
      <c r="S88">
        <f>SUBSTITUTE(SUBSTITUTE(SUBSTITUTE(SUBSTITUTE(SUBSTITUTE(SUBSTITUTE(LOWER(IF(ISNUMBER(FIND(";",S17)),LEFT(S17,FIND(";",S17)-1),S17))," ",""),"%%c","t"),"ø","t"),"φ","t"),"f","t"),"d","t")</f>
        <v/>
      </c>
      <c r="T88">
        <f>SUBSTITUTE(SUBSTITUTE(SUBSTITUTE(SUBSTITUTE(SUBSTITUTE(SUBSTITUTE(LOWER(IF(ISNUMBER(FIND(";",T17)),LEFT(T17,FIND(";",T17)-1),T17))," ",""),"%%c","t"),"ø","t"),"φ","t"),"f","t"),"d","t")</f>
        <v/>
      </c>
      <c r="U88">
        <f>SUBSTITUTE(SUBSTITUTE(SUBSTITUTE(SUBSTITUTE(SUBSTITUTE(SUBSTITUTE(LOWER(IF(ISNUMBER(FIND(";",U17)),LEFT(U17,FIND(";",U17)-1),U17))," ",""),"%%c","t"),"ø","t"),"φ","t"),"f","t"),"d","t")</f>
        <v/>
      </c>
      <c r="V88">
        <f>SUBSTITUTE(SUBSTITUTE(SUBSTITUTE(SUBSTITUTE(SUBSTITUTE(SUBSTITUTE(LOWER(IF(ISNUMBER(FIND(";",V17)),LEFT(V17,FIND(";",V17)-1),V17))," ",""),"%%c","t"),"ø","t"),"φ","t"),"f","t"),"d","t")</f>
        <v/>
      </c>
      <c r="W88">
        <f>SUBSTITUTE(SUBSTITUTE(SUBSTITUTE(SUBSTITUTE(SUBSTITUTE(SUBSTITUTE(LOWER(IF(ISNUMBER(FIND(";",W17)),LEFT(W17,FIND(";",W17)-1),W17))," ",""),"%%c","t"),"ø","t"),"φ","t"),"f","t"),"d","t")</f>
        <v/>
      </c>
      <c r="X88">
        <f>SUBSTITUTE(SUBSTITUTE(SUBSTITUTE(SUBSTITUTE(SUBSTITUTE(SUBSTITUTE(LOWER(IF(ISNUMBER(FIND(";",X17)),LEFT(X17,FIND(";",X17)-1),X17))," ",""),"%%c","t"),"ø","t"),"φ","t"),"f","t"),"d","t")</f>
        <v/>
      </c>
      <c r="Y88">
        <f>SUBSTITUTE(SUBSTITUTE(SUBSTITUTE(SUBSTITUTE(SUBSTITUTE(SUBSTITUTE(LOWER(IF(ISNUMBER(FIND(";",Y17)),LEFT(Y17,FIND(";",Y17)-1),Y17))," ",""),"%%c","t"),"ø","t"),"φ","t"),"f","t"),"d","t")</f>
        <v/>
      </c>
      <c r="Z88">
        <f>SUBSTITUTE(SUBSTITUTE(SUBSTITUTE(SUBSTITUTE(SUBSTITUTE(SUBSTITUTE(LOWER(IF(ISNUMBER(FIND(";",Z17)),LEFT(Z17,FIND(";",Z17)-1),Z17))," ",""),"%%c","t"),"ø","t"),"φ","t"),"f","t"),"d","t")</f>
        <v/>
      </c>
      <c r="AA88">
        <f>SUBSTITUTE(SUBSTITUTE(SUBSTITUTE(SUBSTITUTE(SUBSTITUTE(SUBSTITUTE(LOWER(IF(ISNUMBER(FIND(";",AA17)),LEFT(AA17,FIND(";",AA17)-1),AA17))," ",""),"%%c","t"),"ø","t"),"φ","t"),"f","t"),"d","t")</f>
        <v/>
      </c>
      <c r="AB88">
        <f>SUBSTITUTE(SUBSTITUTE(SUBSTITUTE(SUBSTITUTE(SUBSTITUTE(SUBSTITUTE(LOWER(IF(ISNUMBER(FIND(";",AB17)),LEFT(AB17,FIND(";",AB17)-1),AB17))," ",""),"%%c","t"),"ø","t"),"φ","t"),"f","t"),"d","t")</f>
        <v/>
      </c>
      <c r="AC88">
        <f>SUBSTITUTE(SUBSTITUTE(SUBSTITUTE(SUBSTITUTE(SUBSTITUTE(SUBSTITUTE(LOWER(IF(ISNUMBER(FIND(";",AC17)),LEFT(AC17,FIND(";",AC17)-1),AC17))," ",""),"%%c","t"),"ø","t"),"φ","t"),"f","t"),"d","t")</f>
        <v/>
      </c>
      <c r="AD88">
        <f>SUBSTITUTE(SUBSTITUTE(SUBSTITUTE(SUBSTITUTE(SUBSTITUTE(SUBSTITUTE(LOWER(IF(ISNUMBER(FIND(";",AD17)),LEFT(AD17,FIND(";",AD17)-1),AD17))," ",""),"%%c","t"),"ø","t"),"φ","t"),"f","t"),"d","t")</f>
        <v/>
      </c>
      <c r="AE88">
        <f>SUBSTITUTE(SUBSTITUTE(SUBSTITUTE(SUBSTITUTE(SUBSTITUTE(SUBSTITUTE(LOWER(IF(ISNUMBER(FIND(";",AE17)),LEFT(AE17,FIND(";",AE17)-1),AE17))," ",""),"%%c","t"),"ø","t"),"φ","t"),"f","t"),"d","t")</f>
        <v/>
      </c>
      <c r="AF88">
        <f>SUBSTITUTE(SUBSTITUTE(SUBSTITUTE(SUBSTITUTE(SUBSTITUTE(SUBSTITUTE(LOWER(IF(ISNUMBER(FIND(";",AF17)),LEFT(AF17,FIND(";",AF17)-1),AF17))," ",""),"%%c","t"),"ø","t"),"φ","t"),"f","t"),"d","t")</f>
        <v/>
      </c>
      <c r="AG88">
        <f>SUBSTITUTE(SUBSTITUTE(SUBSTITUTE(SUBSTITUTE(SUBSTITUTE(SUBSTITUTE(LOWER(IF(ISNUMBER(FIND(";",AG17)),LEFT(AG17,FIND(";",AG17)-1),AG17))," ",""),"%%c","t"),"ø","t"),"φ","t"),"f","t"),"d","t")</f>
        <v/>
      </c>
    </row>
    <row r="89" hidden="1" outlineLevel="1">
      <c r="A89" s="60" t="inlineStr">
        <is>
          <t>(phụ trợ) A_T5L</t>
        </is>
      </c>
      <c r="C89">
        <f>IFERROR(LEFT(LEFT(C88,FIND("+",C88&amp;"+")-1),FIND("t",LEFT(C88,FIND("+",C88&amp;"+")-1))-1)*MID(LEFT(C88,FIND("+",C88&amp;"+")-1),FIND("t",LEFT(C88,FIND("+",C88&amp;"+")-1))+1,2)^2*PI()/400,0)+IFERROR(LEFT(MID(C88,FIND("+",C88&amp;"+")+1,99),FIND("t",MID(C88,FIND("+",C88&amp;"+")+1,99))-1)*MID(MID(C88,FIND("+",C88&amp;"+")+1,99),FIND("t",MID(C88,FIND("+",C88&amp;"+")+1,99))+1,2)^2*PI()/400,0)</f>
        <v/>
      </c>
      <c r="D89">
        <f>IFERROR(LEFT(LEFT(D88,FIND("+",D88&amp;"+")-1),FIND("t",LEFT(D88,FIND("+",D88&amp;"+")-1))-1)*MID(LEFT(D88,FIND("+",D88&amp;"+")-1),FIND("t",LEFT(D88,FIND("+",D88&amp;"+")-1))+1,2)^2*PI()/400,0)+IFERROR(LEFT(MID(D88,FIND("+",D88&amp;"+")+1,99),FIND("t",MID(D88,FIND("+",D88&amp;"+")+1,99))-1)*MID(MID(D88,FIND("+",D88&amp;"+")+1,99),FIND("t",MID(D88,FIND("+",D88&amp;"+")+1,99))+1,2)^2*PI()/400,0)</f>
        <v/>
      </c>
      <c r="E89">
        <f>IFERROR(LEFT(LEFT(E88,FIND("+",E88&amp;"+")-1),FIND("t",LEFT(E88,FIND("+",E88&amp;"+")-1))-1)*MID(LEFT(E88,FIND("+",E88&amp;"+")-1),FIND("t",LEFT(E88,FIND("+",E88&amp;"+")-1))+1,2)^2*PI()/400,0)+IFERROR(LEFT(MID(E88,FIND("+",E88&amp;"+")+1,99),FIND("t",MID(E88,FIND("+",E88&amp;"+")+1,99))-1)*MID(MID(E88,FIND("+",E88&amp;"+")+1,99),FIND("t",MID(E88,FIND("+",E88&amp;"+")+1,99))+1,2)^2*PI()/400,0)</f>
        <v/>
      </c>
      <c r="F89">
        <f>IFERROR(LEFT(LEFT(F88,FIND("+",F88&amp;"+")-1),FIND("t",LEFT(F88,FIND("+",F88&amp;"+")-1))-1)*MID(LEFT(F88,FIND("+",F88&amp;"+")-1),FIND("t",LEFT(F88,FIND("+",F88&amp;"+")-1))+1,2)^2*PI()/400,0)+IFERROR(LEFT(MID(F88,FIND("+",F88&amp;"+")+1,99),FIND("t",MID(F88,FIND("+",F88&amp;"+")+1,99))-1)*MID(MID(F88,FIND("+",F88&amp;"+")+1,99),FIND("t",MID(F88,FIND("+",F88&amp;"+")+1,99))+1,2)^2*PI()/400,0)</f>
        <v/>
      </c>
      <c r="G89">
        <f>IFERROR(LEFT(LEFT(G88,FIND("+",G88&amp;"+")-1),FIND("t",LEFT(G88,FIND("+",G88&amp;"+")-1))-1)*MID(LEFT(G88,FIND("+",G88&amp;"+")-1),FIND("t",LEFT(G88,FIND("+",G88&amp;"+")-1))+1,2)^2*PI()/400,0)+IFERROR(LEFT(MID(G88,FIND("+",G88&amp;"+")+1,99),FIND("t",MID(G88,FIND("+",G88&amp;"+")+1,99))-1)*MID(MID(G88,FIND("+",G88&amp;"+")+1,99),FIND("t",MID(G88,FIND("+",G88&amp;"+")+1,99))+1,2)^2*PI()/400,0)</f>
        <v/>
      </c>
      <c r="H89">
        <f>IFERROR(LEFT(LEFT(H88,FIND("+",H88&amp;"+")-1),FIND("t",LEFT(H88,FIND("+",H88&amp;"+")-1))-1)*MID(LEFT(H88,FIND("+",H88&amp;"+")-1),FIND("t",LEFT(H88,FIND("+",H88&amp;"+")-1))+1,2)^2*PI()/400,0)+IFERROR(LEFT(MID(H88,FIND("+",H88&amp;"+")+1,99),FIND("t",MID(H88,FIND("+",H88&amp;"+")+1,99))-1)*MID(MID(H88,FIND("+",H88&amp;"+")+1,99),FIND("t",MID(H88,FIND("+",H88&amp;"+")+1,99))+1,2)^2*PI()/400,0)</f>
        <v/>
      </c>
      <c r="I89">
        <f>IFERROR(LEFT(LEFT(I88,FIND("+",I88&amp;"+")-1),FIND("t",LEFT(I88,FIND("+",I88&amp;"+")-1))-1)*MID(LEFT(I88,FIND("+",I88&amp;"+")-1),FIND("t",LEFT(I88,FIND("+",I88&amp;"+")-1))+1,2)^2*PI()/400,0)+IFERROR(LEFT(MID(I88,FIND("+",I88&amp;"+")+1,99),FIND("t",MID(I88,FIND("+",I88&amp;"+")+1,99))-1)*MID(MID(I88,FIND("+",I88&amp;"+")+1,99),FIND("t",MID(I88,FIND("+",I88&amp;"+")+1,99))+1,2)^2*PI()/400,0)</f>
        <v/>
      </c>
      <c r="J89">
        <f>IFERROR(LEFT(LEFT(J88,FIND("+",J88&amp;"+")-1),FIND("t",LEFT(J88,FIND("+",J88&amp;"+")-1))-1)*MID(LEFT(J88,FIND("+",J88&amp;"+")-1),FIND("t",LEFT(J88,FIND("+",J88&amp;"+")-1))+1,2)^2*PI()/400,0)+IFERROR(LEFT(MID(J88,FIND("+",J88&amp;"+")+1,99),FIND("t",MID(J88,FIND("+",J88&amp;"+")+1,99))-1)*MID(MID(J88,FIND("+",J88&amp;"+")+1,99),FIND("t",MID(J88,FIND("+",J88&amp;"+")+1,99))+1,2)^2*PI()/400,0)</f>
        <v/>
      </c>
      <c r="K89">
        <f>IFERROR(LEFT(LEFT(K88,FIND("+",K88&amp;"+")-1),FIND("t",LEFT(K88,FIND("+",K88&amp;"+")-1))-1)*MID(LEFT(K88,FIND("+",K88&amp;"+")-1),FIND("t",LEFT(K88,FIND("+",K88&amp;"+")-1))+1,2)^2*PI()/400,0)+IFERROR(LEFT(MID(K88,FIND("+",K88&amp;"+")+1,99),FIND("t",MID(K88,FIND("+",K88&amp;"+")+1,99))-1)*MID(MID(K88,FIND("+",K88&amp;"+")+1,99),FIND("t",MID(K88,FIND("+",K88&amp;"+")+1,99))+1,2)^2*PI()/400,0)</f>
        <v/>
      </c>
      <c r="L89">
        <f>IFERROR(LEFT(LEFT(L88,FIND("+",L88&amp;"+")-1),FIND("t",LEFT(L88,FIND("+",L88&amp;"+")-1))-1)*MID(LEFT(L88,FIND("+",L88&amp;"+")-1),FIND("t",LEFT(L88,FIND("+",L88&amp;"+")-1))+1,2)^2*PI()/400,0)+IFERROR(LEFT(MID(L88,FIND("+",L88&amp;"+")+1,99),FIND("t",MID(L88,FIND("+",L88&amp;"+")+1,99))-1)*MID(MID(L88,FIND("+",L88&amp;"+")+1,99),FIND("t",MID(L88,FIND("+",L88&amp;"+")+1,99))+1,2)^2*PI()/400,0)</f>
        <v/>
      </c>
      <c r="M89">
        <f>IFERROR(LEFT(LEFT(M88,FIND("+",M88&amp;"+")-1),FIND("t",LEFT(M88,FIND("+",M88&amp;"+")-1))-1)*MID(LEFT(M88,FIND("+",M88&amp;"+")-1),FIND("t",LEFT(M88,FIND("+",M88&amp;"+")-1))+1,2)^2*PI()/400,0)+IFERROR(LEFT(MID(M88,FIND("+",M88&amp;"+")+1,99),FIND("t",MID(M88,FIND("+",M88&amp;"+")+1,99))-1)*MID(MID(M88,FIND("+",M88&amp;"+")+1,99),FIND("t",MID(M88,FIND("+",M88&amp;"+")+1,99))+1,2)^2*PI()/400,0)</f>
        <v/>
      </c>
      <c r="N89">
        <f>IFERROR(LEFT(LEFT(N88,FIND("+",N88&amp;"+")-1),FIND("t",LEFT(N88,FIND("+",N88&amp;"+")-1))-1)*MID(LEFT(N88,FIND("+",N88&amp;"+")-1),FIND("t",LEFT(N88,FIND("+",N88&amp;"+")-1))+1,2)^2*PI()/400,0)+IFERROR(LEFT(MID(N88,FIND("+",N88&amp;"+")+1,99),FIND("t",MID(N88,FIND("+",N88&amp;"+")+1,99))-1)*MID(MID(N88,FIND("+",N88&amp;"+")+1,99),FIND("t",MID(N88,FIND("+",N88&amp;"+")+1,99))+1,2)^2*PI()/400,0)</f>
        <v/>
      </c>
      <c r="O89">
        <f>IFERROR(LEFT(LEFT(O88,FIND("+",O88&amp;"+")-1),FIND("t",LEFT(O88,FIND("+",O88&amp;"+")-1))-1)*MID(LEFT(O88,FIND("+",O88&amp;"+")-1),FIND("t",LEFT(O88,FIND("+",O88&amp;"+")-1))+1,2)^2*PI()/400,0)+IFERROR(LEFT(MID(O88,FIND("+",O88&amp;"+")+1,99),FIND("t",MID(O88,FIND("+",O88&amp;"+")+1,99))-1)*MID(MID(O88,FIND("+",O88&amp;"+")+1,99),FIND("t",MID(O88,FIND("+",O88&amp;"+")+1,99))+1,2)^2*PI()/400,0)</f>
        <v/>
      </c>
      <c r="P89">
        <f>IFERROR(LEFT(LEFT(P88,FIND("+",P88&amp;"+")-1),FIND("t",LEFT(P88,FIND("+",P88&amp;"+")-1))-1)*MID(LEFT(P88,FIND("+",P88&amp;"+")-1),FIND("t",LEFT(P88,FIND("+",P88&amp;"+")-1))+1,2)^2*PI()/400,0)+IFERROR(LEFT(MID(P88,FIND("+",P88&amp;"+")+1,99),FIND("t",MID(P88,FIND("+",P88&amp;"+")+1,99))-1)*MID(MID(P88,FIND("+",P88&amp;"+")+1,99),FIND("t",MID(P88,FIND("+",P88&amp;"+")+1,99))+1,2)^2*PI()/400,0)</f>
        <v/>
      </c>
      <c r="Q89">
        <f>IFERROR(LEFT(LEFT(Q88,FIND("+",Q88&amp;"+")-1),FIND("t",LEFT(Q88,FIND("+",Q88&amp;"+")-1))-1)*MID(LEFT(Q88,FIND("+",Q88&amp;"+")-1),FIND("t",LEFT(Q88,FIND("+",Q88&amp;"+")-1))+1,2)^2*PI()/400,0)+IFERROR(LEFT(MID(Q88,FIND("+",Q88&amp;"+")+1,99),FIND("t",MID(Q88,FIND("+",Q88&amp;"+")+1,99))-1)*MID(MID(Q88,FIND("+",Q88&amp;"+")+1,99),FIND("t",MID(Q88,FIND("+",Q88&amp;"+")+1,99))+1,2)^2*PI()/400,0)</f>
        <v/>
      </c>
      <c r="R89">
        <f>IFERROR(LEFT(LEFT(R88,FIND("+",R88&amp;"+")-1),FIND("t",LEFT(R88,FIND("+",R88&amp;"+")-1))-1)*MID(LEFT(R88,FIND("+",R88&amp;"+")-1),FIND("t",LEFT(R88,FIND("+",R88&amp;"+")-1))+1,2)^2*PI()/400,0)+IFERROR(LEFT(MID(R88,FIND("+",R88&amp;"+")+1,99),FIND("t",MID(R88,FIND("+",R88&amp;"+")+1,99))-1)*MID(MID(R88,FIND("+",R88&amp;"+")+1,99),FIND("t",MID(R88,FIND("+",R88&amp;"+")+1,99))+1,2)^2*PI()/400,0)</f>
        <v/>
      </c>
      <c r="S89">
        <f>IFERROR(LEFT(LEFT(S88,FIND("+",S88&amp;"+")-1),FIND("t",LEFT(S88,FIND("+",S88&amp;"+")-1))-1)*MID(LEFT(S88,FIND("+",S88&amp;"+")-1),FIND("t",LEFT(S88,FIND("+",S88&amp;"+")-1))+1,2)^2*PI()/400,0)+IFERROR(LEFT(MID(S88,FIND("+",S88&amp;"+")+1,99),FIND("t",MID(S88,FIND("+",S88&amp;"+")+1,99))-1)*MID(MID(S88,FIND("+",S88&amp;"+")+1,99),FIND("t",MID(S88,FIND("+",S88&amp;"+")+1,99))+1,2)^2*PI()/400,0)</f>
        <v/>
      </c>
      <c r="T89">
        <f>IFERROR(LEFT(LEFT(T88,FIND("+",T88&amp;"+")-1),FIND("t",LEFT(T88,FIND("+",T88&amp;"+")-1))-1)*MID(LEFT(T88,FIND("+",T88&amp;"+")-1),FIND("t",LEFT(T88,FIND("+",T88&amp;"+")-1))+1,2)^2*PI()/400,0)+IFERROR(LEFT(MID(T88,FIND("+",T88&amp;"+")+1,99),FIND("t",MID(T88,FIND("+",T88&amp;"+")+1,99))-1)*MID(MID(T88,FIND("+",T88&amp;"+")+1,99),FIND("t",MID(T88,FIND("+",T88&amp;"+")+1,99))+1,2)^2*PI()/400,0)</f>
        <v/>
      </c>
      <c r="U89">
        <f>IFERROR(LEFT(LEFT(U88,FIND("+",U88&amp;"+")-1),FIND("t",LEFT(U88,FIND("+",U88&amp;"+")-1))-1)*MID(LEFT(U88,FIND("+",U88&amp;"+")-1),FIND("t",LEFT(U88,FIND("+",U88&amp;"+")-1))+1,2)^2*PI()/400,0)+IFERROR(LEFT(MID(U88,FIND("+",U88&amp;"+")+1,99),FIND("t",MID(U88,FIND("+",U88&amp;"+")+1,99))-1)*MID(MID(U88,FIND("+",U88&amp;"+")+1,99),FIND("t",MID(U88,FIND("+",U88&amp;"+")+1,99))+1,2)^2*PI()/400,0)</f>
        <v/>
      </c>
      <c r="V89">
        <f>IFERROR(LEFT(LEFT(V88,FIND("+",V88&amp;"+")-1),FIND("t",LEFT(V88,FIND("+",V88&amp;"+")-1))-1)*MID(LEFT(V88,FIND("+",V88&amp;"+")-1),FIND("t",LEFT(V88,FIND("+",V88&amp;"+")-1))+1,2)^2*PI()/400,0)+IFERROR(LEFT(MID(V88,FIND("+",V88&amp;"+")+1,99),FIND("t",MID(V88,FIND("+",V88&amp;"+")+1,99))-1)*MID(MID(V88,FIND("+",V88&amp;"+")+1,99),FIND("t",MID(V88,FIND("+",V88&amp;"+")+1,99))+1,2)^2*PI()/400,0)</f>
        <v/>
      </c>
      <c r="W89">
        <f>IFERROR(LEFT(LEFT(W88,FIND("+",W88&amp;"+")-1),FIND("t",LEFT(W88,FIND("+",W88&amp;"+")-1))-1)*MID(LEFT(W88,FIND("+",W88&amp;"+")-1),FIND("t",LEFT(W88,FIND("+",W88&amp;"+")-1))+1,2)^2*PI()/400,0)+IFERROR(LEFT(MID(W88,FIND("+",W88&amp;"+")+1,99),FIND("t",MID(W88,FIND("+",W88&amp;"+")+1,99))-1)*MID(MID(W88,FIND("+",W88&amp;"+")+1,99),FIND("t",MID(W88,FIND("+",W88&amp;"+")+1,99))+1,2)^2*PI()/400,0)</f>
        <v/>
      </c>
      <c r="X89">
        <f>IFERROR(LEFT(LEFT(X88,FIND("+",X88&amp;"+")-1),FIND("t",LEFT(X88,FIND("+",X88&amp;"+")-1))-1)*MID(LEFT(X88,FIND("+",X88&amp;"+")-1),FIND("t",LEFT(X88,FIND("+",X88&amp;"+")-1))+1,2)^2*PI()/400,0)+IFERROR(LEFT(MID(X88,FIND("+",X88&amp;"+")+1,99),FIND("t",MID(X88,FIND("+",X88&amp;"+")+1,99))-1)*MID(MID(X88,FIND("+",X88&amp;"+")+1,99),FIND("t",MID(X88,FIND("+",X88&amp;"+")+1,99))+1,2)^2*PI()/400,0)</f>
        <v/>
      </c>
      <c r="Y89">
        <f>IFERROR(LEFT(LEFT(Y88,FIND("+",Y88&amp;"+")-1),FIND("t",LEFT(Y88,FIND("+",Y88&amp;"+")-1))-1)*MID(LEFT(Y88,FIND("+",Y88&amp;"+")-1),FIND("t",LEFT(Y88,FIND("+",Y88&amp;"+")-1))+1,2)^2*PI()/400,0)+IFERROR(LEFT(MID(Y88,FIND("+",Y88&amp;"+")+1,99),FIND("t",MID(Y88,FIND("+",Y88&amp;"+")+1,99))-1)*MID(MID(Y88,FIND("+",Y88&amp;"+")+1,99),FIND("t",MID(Y88,FIND("+",Y88&amp;"+")+1,99))+1,2)^2*PI()/400,0)</f>
        <v/>
      </c>
      <c r="Z89">
        <f>IFERROR(LEFT(LEFT(Z88,FIND("+",Z88&amp;"+")-1),FIND("t",LEFT(Z88,FIND("+",Z88&amp;"+")-1))-1)*MID(LEFT(Z88,FIND("+",Z88&amp;"+")-1),FIND("t",LEFT(Z88,FIND("+",Z88&amp;"+")-1))+1,2)^2*PI()/400,0)+IFERROR(LEFT(MID(Z88,FIND("+",Z88&amp;"+")+1,99),FIND("t",MID(Z88,FIND("+",Z88&amp;"+")+1,99))-1)*MID(MID(Z88,FIND("+",Z88&amp;"+")+1,99),FIND("t",MID(Z88,FIND("+",Z88&amp;"+")+1,99))+1,2)^2*PI()/400,0)</f>
        <v/>
      </c>
      <c r="AA89">
        <f>IFERROR(LEFT(LEFT(AA88,FIND("+",AA88&amp;"+")-1),FIND("t",LEFT(AA88,FIND("+",AA88&amp;"+")-1))-1)*MID(LEFT(AA88,FIND("+",AA88&amp;"+")-1),FIND("t",LEFT(AA88,FIND("+",AA88&amp;"+")-1))+1,2)^2*PI()/400,0)+IFERROR(LEFT(MID(AA88,FIND("+",AA88&amp;"+")+1,99),FIND("t",MID(AA88,FIND("+",AA88&amp;"+")+1,99))-1)*MID(MID(AA88,FIND("+",AA88&amp;"+")+1,99),FIND("t",MID(AA88,FIND("+",AA88&amp;"+")+1,99))+1,2)^2*PI()/400,0)</f>
        <v/>
      </c>
      <c r="AB89">
        <f>IFERROR(LEFT(LEFT(AB88,FIND("+",AB88&amp;"+")-1),FIND("t",LEFT(AB88,FIND("+",AB88&amp;"+")-1))-1)*MID(LEFT(AB88,FIND("+",AB88&amp;"+")-1),FIND("t",LEFT(AB88,FIND("+",AB88&amp;"+")-1))+1,2)^2*PI()/400,0)+IFERROR(LEFT(MID(AB88,FIND("+",AB88&amp;"+")+1,99),FIND("t",MID(AB88,FIND("+",AB88&amp;"+")+1,99))-1)*MID(MID(AB88,FIND("+",AB88&amp;"+")+1,99),FIND("t",MID(AB88,FIND("+",AB88&amp;"+")+1,99))+1,2)^2*PI()/400,0)</f>
        <v/>
      </c>
      <c r="AC89">
        <f>IFERROR(LEFT(LEFT(AC88,FIND("+",AC88&amp;"+")-1),FIND("t",LEFT(AC88,FIND("+",AC88&amp;"+")-1))-1)*MID(LEFT(AC88,FIND("+",AC88&amp;"+")-1),FIND("t",LEFT(AC88,FIND("+",AC88&amp;"+")-1))+1,2)^2*PI()/400,0)+IFERROR(LEFT(MID(AC88,FIND("+",AC88&amp;"+")+1,99),FIND("t",MID(AC88,FIND("+",AC88&amp;"+")+1,99))-1)*MID(MID(AC88,FIND("+",AC88&amp;"+")+1,99),FIND("t",MID(AC88,FIND("+",AC88&amp;"+")+1,99))+1,2)^2*PI()/400,0)</f>
        <v/>
      </c>
      <c r="AD89">
        <f>IFERROR(LEFT(LEFT(AD88,FIND("+",AD88&amp;"+")-1),FIND("t",LEFT(AD88,FIND("+",AD88&amp;"+")-1))-1)*MID(LEFT(AD88,FIND("+",AD88&amp;"+")-1),FIND("t",LEFT(AD88,FIND("+",AD88&amp;"+")-1))+1,2)^2*PI()/400,0)+IFERROR(LEFT(MID(AD88,FIND("+",AD88&amp;"+")+1,99),FIND("t",MID(AD88,FIND("+",AD88&amp;"+")+1,99))-1)*MID(MID(AD88,FIND("+",AD88&amp;"+")+1,99),FIND("t",MID(AD88,FIND("+",AD88&amp;"+")+1,99))+1,2)^2*PI()/400,0)</f>
        <v/>
      </c>
      <c r="AE89">
        <f>IFERROR(LEFT(LEFT(AE88,FIND("+",AE88&amp;"+")-1),FIND("t",LEFT(AE88,FIND("+",AE88&amp;"+")-1))-1)*MID(LEFT(AE88,FIND("+",AE88&amp;"+")-1),FIND("t",LEFT(AE88,FIND("+",AE88&amp;"+")-1))+1,2)^2*PI()/400,0)+IFERROR(LEFT(MID(AE88,FIND("+",AE88&amp;"+")+1,99),FIND("t",MID(AE88,FIND("+",AE88&amp;"+")+1,99))-1)*MID(MID(AE88,FIND("+",AE88&amp;"+")+1,99),FIND("t",MID(AE88,FIND("+",AE88&amp;"+")+1,99))+1,2)^2*PI()/400,0)</f>
        <v/>
      </c>
      <c r="AF89">
        <f>IFERROR(LEFT(LEFT(AF88,FIND("+",AF88&amp;"+")-1),FIND("t",LEFT(AF88,FIND("+",AF88&amp;"+")-1))-1)*MID(LEFT(AF88,FIND("+",AF88&amp;"+")-1),FIND("t",LEFT(AF88,FIND("+",AF88&amp;"+")-1))+1,2)^2*PI()/400,0)+IFERROR(LEFT(MID(AF88,FIND("+",AF88&amp;"+")+1,99),FIND("t",MID(AF88,FIND("+",AF88&amp;"+")+1,99))-1)*MID(MID(AF88,FIND("+",AF88&amp;"+")+1,99),FIND("t",MID(AF88,FIND("+",AF88&amp;"+")+1,99))+1,2)^2*PI()/400,0)</f>
        <v/>
      </c>
      <c r="AG89">
        <f>IFERROR(LEFT(LEFT(AG88,FIND("+",AG88&amp;"+")-1),FIND("t",LEFT(AG88,FIND("+",AG88&amp;"+")-1))-1)*MID(LEFT(AG88,FIND("+",AG88&amp;"+")-1),FIND("t",LEFT(AG88,FIND("+",AG88&amp;"+")-1))+1,2)^2*PI()/400,0)+IFERROR(LEFT(MID(AG88,FIND("+",AG88&amp;"+")+1,99),FIND("t",MID(AG88,FIND("+",AG88&amp;"+")+1,99))-1)*MID(MID(AG88,FIND("+",AG88&amp;"+")+1,99),FIND("t",MID(AG88,FIND("+",AG88&amp;"+")+1,99))+1,2)^2*PI()/400,0)</f>
        <v/>
      </c>
    </row>
    <row r="90" hidden="1" outlineLevel="1">
      <c r="A90" s="60" t="inlineStr">
        <is>
          <t>(phụ trợ) N_T5R</t>
        </is>
      </c>
      <c r="C90">
        <f>SUBSTITUTE(SUBSTITUTE(SUBSTITUTE(SUBSTITUTE(SUBSTITUTE(SUBSTITUTE(LOWER(IF(ISNUMBER(FIND(";",C17)),MID(C17,FIND(";",C17)+1,99),C17))," ",""),"%%c","t"),"ø","t"),"φ","t"),"f","t"),"d","t")</f>
        <v/>
      </c>
      <c r="D90">
        <f>SUBSTITUTE(SUBSTITUTE(SUBSTITUTE(SUBSTITUTE(SUBSTITUTE(SUBSTITUTE(LOWER(IF(ISNUMBER(FIND(";",D17)),MID(D17,FIND(";",D17)+1,99),D17))," ",""),"%%c","t"),"ø","t"),"φ","t"),"f","t"),"d","t")</f>
        <v/>
      </c>
      <c r="E90">
        <f>SUBSTITUTE(SUBSTITUTE(SUBSTITUTE(SUBSTITUTE(SUBSTITUTE(SUBSTITUTE(LOWER(IF(ISNUMBER(FIND(";",E17)),MID(E17,FIND(";",E17)+1,99),E17))," ",""),"%%c","t"),"ø","t"),"φ","t"),"f","t"),"d","t")</f>
        <v/>
      </c>
      <c r="F90">
        <f>SUBSTITUTE(SUBSTITUTE(SUBSTITUTE(SUBSTITUTE(SUBSTITUTE(SUBSTITUTE(LOWER(IF(ISNUMBER(FIND(";",F17)),MID(F17,FIND(";",F17)+1,99),F17))," ",""),"%%c","t"),"ø","t"),"φ","t"),"f","t"),"d","t")</f>
        <v/>
      </c>
      <c r="G90">
        <f>SUBSTITUTE(SUBSTITUTE(SUBSTITUTE(SUBSTITUTE(SUBSTITUTE(SUBSTITUTE(LOWER(IF(ISNUMBER(FIND(";",G17)),MID(G17,FIND(";",G17)+1,99),G17))," ",""),"%%c","t"),"ø","t"),"φ","t"),"f","t"),"d","t")</f>
        <v/>
      </c>
      <c r="H90">
        <f>SUBSTITUTE(SUBSTITUTE(SUBSTITUTE(SUBSTITUTE(SUBSTITUTE(SUBSTITUTE(LOWER(IF(ISNUMBER(FIND(";",H17)),MID(H17,FIND(";",H17)+1,99),H17))," ",""),"%%c","t"),"ø","t"),"φ","t"),"f","t"),"d","t")</f>
        <v/>
      </c>
      <c r="I90">
        <f>SUBSTITUTE(SUBSTITUTE(SUBSTITUTE(SUBSTITUTE(SUBSTITUTE(SUBSTITUTE(LOWER(IF(ISNUMBER(FIND(";",I17)),MID(I17,FIND(";",I17)+1,99),I17))," ",""),"%%c","t"),"ø","t"),"φ","t"),"f","t"),"d","t")</f>
        <v/>
      </c>
      <c r="J90">
        <f>SUBSTITUTE(SUBSTITUTE(SUBSTITUTE(SUBSTITUTE(SUBSTITUTE(SUBSTITUTE(LOWER(IF(ISNUMBER(FIND(";",J17)),MID(J17,FIND(";",J17)+1,99),J17))," ",""),"%%c","t"),"ø","t"),"φ","t"),"f","t"),"d","t")</f>
        <v/>
      </c>
      <c r="K90">
        <f>SUBSTITUTE(SUBSTITUTE(SUBSTITUTE(SUBSTITUTE(SUBSTITUTE(SUBSTITUTE(LOWER(IF(ISNUMBER(FIND(";",K17)),MID(K17,FIND(";",K17)+1,99),K17))," ",""),"%%c","t"),"ø","t"),"φ","t"),"f","t"),"d","t")</f>
        <v/>
      </c>
      <c r="L90">
        <f>SUBSTITUTE(SUBSTITUTE(SUBSTITUTE(SUBSTITUTE(SUBSTITUTE(SUBSTITUTE(LOWER(IF(ISNUMBER(FIND(";",L17)),MID(L17,FIND(";",L17)+1,99),L17))," ",""),"%%c","t"),"ø","t"),"φ","t"),"f","t"),"d","t")</f>
        <v/>
      </c>
      <c r="M90">
        <f>SUBSTITUTE(SUBSTITUTE(SUBSTITUTE(SUBSTITUTE(SUBSTITUTE(SUBSTITUTE(LOWER(IF(ISNUMBER(FIND(";",M17)),MID(M17,FIND(";",M17)+1,99),M17))," ",""),"%%c","t"),"ø","t"),"φ","t"),"f","t"),"d","t")</f>
        <v/>
      </c>
      <c r="N90">
        <f>SUBSTITUTE(SUBSTITUTE(SUBSTITUTE(SUBSTITUTE(SUBSTITUTE(SUBSTITUTE(LOWER(IF(ISNUMBER(FIND(";",N17)),MID(N17,FIND(";",N17)+1,99),N17))," ",""),"%%c","t"),"ø","t"),"φ","t"),"f","t"),"d","t")</f>
        <v/>
      </c>
      <c r="O90">
        <f>SUBSTITUTE(SUBSTITUTE(SUBSTITUTE(SUBSTITUTE(SUBSTITUTE(SUBSTITUTE(LOWER(IF(ISNUMBER(FIND(";",O17)),MID(O17,FIND(";",O17)+1,99),O17))," ",""),"%%c","t"),"ø","t"),"φ","t"),"f","t"),"d","t")</f>
        <v/>
      </c>
      <c r="P90">
        <f>SUBSTITUTE(SUBSTITUTE(SUBSTITUTE(SUBSTITUTE(SUBSTITUTE(SUBSTITUTE(LOWER(IF(ISNUMBER(FIND(";",P17)),MID(P17,FIND(";",P17)+1,99),P17))," ",""),"%%c","t"),"ø","t"),"φ","t"),"f","t"),"d","t")</f>
        <v/>
      </c>
      <c r="Q90">
        <f>SUBSTITUTE(SUBSTITUTE(SUBSTITUTE(SUBSTITUTE(SUBSTITUTE(SUBSTITUTE(LOWER(IF(ISNUMBER(FIND(";",Q17)),MID(Q17,FIND(";",Q17)+1,99),Q17))," ",""),"%%c","t"),"ø","t"),"φ","t"),"f","t"),"d","t")</f>
        <v/>
      </c>
      <c r="R90">
        <f>SUBSTITUTE(SUBSTITUTE(SUBSTITUTE(SUBSTITUTE(SUBSTITUTE(SUBSTITUTE(LOWER(IF(ISNUMBER(FIND(";",R17)),MID(R17,FIND(";",R17)+1,99),R17))," ",""),"%%c","t"),"ø","t"),"φ","t"),"f","t"),"d","t")</f>
        <v/>
      </c>
      <c r="S90">
        <f>SUBSTITUTE(SUBSTITUTE(SUBSTITUTE(SUBSTITUTE(SUBSTITUTE(SUBSTITUTE(LOWER(IF(ISNUMBER(FIND(";",S17)),MID(S17,FIND(";",S17)+1,99),S17))," ",""),"%%c","t"),"ø","t"),"φ","t"),"f","t"),"d","t")</f>
        <v/>
      </c>
      <c r="T90">
        <f>SUBSTITUTE(SUBSTITUTE(SUBSTITUTE(SUBSTITUTE(SUBSTITUTE(SUBSTITUTE(LOWER(IF(ISNUMBER(FIND(";",T17)),MID(T17,FIND(";",T17)+1,99),T17))," ",""),"%%c","t"),"ø","t"),"φ","t"),"f","t"),"d","t")</f>
        <v/>
      </c>
      <c r="U90">
        <f>SUBSTITUTE(SUBSTITUTE(SUBSTITUTE(SUBSTITUTE(SUBSTITUTE(SUBSTITUTE(LOWER(IF(ISNUMBER(FIND(";",U17)),MID(U17,FIND(";",U17)+1,99),U17))," ",""),"%%c","t"),"ø","t"),"φ","t"),"f","t"),"d","t")</f>
        <v/>
      </c>
      <c r="V90">
        <f>SUBSTITUTE(SUBSTITUTE(SUBSTITUTE(SUBSTITUTE(SUBSTITUTE(SUBSTITUTE(LOWER(IF(ISNUMBER(FIND(";",V17)),MID(V17,FIND(";",V17)+1,99),V17))," ",""),"%%c","t"),"ø","t"),"φ","t"),"f","t"),"d","t")</f>
        <v/>
      </c>
      <c r="W90">
        <f>SUBSTITUTE(SUBSTITUTE(SUBSTITUTE(SUBSTITUTE(SUBSTITUTE(SUBSTITUTE(LOWER(IF(ISNUMBER(FIND(";",W17)),MID(W17,FIND(";",W17)+1,99),W17))," ",""),"%%c","t"),"ø","t"),"φ","t"),"f","t"),"d","t")</f>
        <v/>
      </c>
      <c r="X90">
        <f>SUBSTITUTE(SUBSTITUTE(SUBSTITUTE(SUBSTITUTE(SUBSTITUTE(SUBSTITUTE(LOWER(IF(ISNUMBER(FIND(";",X17)),MID(X17,FIND(";",X17)+1,99),X17))," ",""),"%%c","t"),"ø","t"),"φ","t"),"f","t"),"d","t")</f>
        <v/>
      </c>
      <c r="Y90">
        <f>SUBSTITUTE(SUBSTITUTE(SUBSTITUTE(SUBSTITUTE(SUBSTITUTE(SUBSTITUTE(LOWER(IF(ISNUMBER(FIND(";",Y17)),MID(Y17,FIND(";",Y17)+1,99),Y17))," ",""),"%%c","t"),"ø","t"),"φ","t"),"f","t"),"d","t")</f>
        <v/>
      </c>
      <c r="Z90">
        <f>SUBSTITUTE(SUBSTITUTE(SUBSTITUTE(SUBSTITUTE(SUBSTITUTE(SUBSTITUTE(LOWER(IF(ISNUMBER(FIND(";",Z17)),MID(Z17,FIND(";",Z17)+1,99),Z17))," ",""),"%%c","t"),"ø","t"),"φ","t"),"f","t"),"d","t")</f>
        <v/>
      </c>
      <c r="AA90">
        <f>SUBSTITUTE(SUBSTITUTE(SUBSTITUTE(SUBSTITUTE(SUBSTITUTE(SUBSTITUTE(LOWER(IF(ISNUMBER(FIND(";",AA17)),MID(AA17,FIND(";",AA17)+1,99),AA17))," ",""),"%%c","t"),"ø","t"),"φ","t"),"f","t"),"d","t")</f>
        <v/>
      </c>
      <c r="AB90">
        <f>SUBSTITUTE(SUBSTITUTE(SUBSTITUTE(SUBSTITUTE(SUBSTITUTE(SUBSTITUTE(LOWER(IF(ISNUMBER(FIND(";",AB17)),MID(AB17,FIND(";",AB17)+1,99),AB17))," ",""),"%%c","t"),"ø","t"),"φ","t"),"f","t"),"d","t")</f>
        <v/>
      </c>
      <c r="AC90">
        <f>SUBSTITUTE(SUBSTITUTE(SUBSTITUTE(SUBSTITUTE(SUBSTITUTE(SUBSTITUTE(LOWER(IF(ISNUMBER(FIND(";",AC17)),MID(AC17,FIND(";",AC17)+1,99),AC17))," ",""),"%%c","t"),"ø","t"),"φ","t"),"f","t"),"d","t")</f>
        <v/>
      </c>
      <c r="AD90">
        <f>SUBSTITUTE(SUBSTITUTE(SUBSTITUTE(SUBSTITUTE(SUBSTITUTE(SUBSTITUTE(LOWER(IF(ISNUMBER(FIND(";",AD17)),MID(AD17,FIND(";",AD17)+1,99),AD17))," ",""),"%%c","t"),"ø","t"),"φ","t"),"f","t"),"d","t")</f>
        <v/>
      </c>
      <c r="AE90">
        <f>SUBSTITUTE(SUBSTITUTE(SUBSTITUTE(SUBSTITUTE(SUBSTITUTE(SUBSTITUTE(LOWER(IF(ISNUMBER(FIND(";",AE17)),MID(AE17,FIND(";",AE17)+1,99),AE17))," ",""),"%%c","t"),"ø","t"),"φ","t"),"f","t"),"d","t")</f>
        <v/>
      </c>
      <c r="AF90">
        <f>SUBSTITUTE(SUBSTITUTE(SUBSTITUTE(SUBSTITUTE(SUBSTITUTE(SUBSTITUTE(LOWER(IF(ISNUMBER(FIND(";",AF17)),MID(AF17,FIND(";",AF17)+1,99),AF17))," ",""),"%%c","t"),"ø","t"),"φ","t"),"f","t"),"d","t")</f>
        <v/>
      </c>
      <c r="AG90">
        <f>SUBSTITUTE(SUBSTITUTE(SUBSTITUTE(SUBSTITUTE(SUBSTITUTE(SUBSTITUTE(LOWER(IF(ISNUMBER(FIND(";",AG17)),MID(AG17,FIND(";",AG17)+1,99),AG17))," ",""),"%%c","t"),"ø","t"),"φ","t"),"f","t"),"d","t")</f>
        <v/>
      </c>
    </row>
    <row r="91" hidden="1" outlineLevel="1">
      <c r="A91" s="60" t="inlineStr">
        <is>
          <t>(phụ trợ) A_T5R</t>
        </is>
      </c>
      <c r="C91">
        <f>IFERROR(LEFT(LEFT(C90,FIND("+",C90&amp;"+")-1),FIND("t",LEFT(C90,FIND("+",C90&amp;"+")-1))-1)*MID(LEFT(C90,FIND("+",C90&amp;"+")-1),FIND("t",LEFT(C90,FIND("+",C90&amp;"+")-1))+1,2)^2*PI()/400,0)+IFERROR(LEFT(MID(C90,FIND("+",C90&amp;"+")+1,99),FIND("t",MID(C90,FIND("+",C90&amp;"+")+1,99))-1)*MID(MID(C90,FIND("+",C90&amp;"+")+1,99),FIND("t",MID(C90,FIND("+",C90&amp;"+")+1,99))+1,2)^2*PI()/400,0)</f>
        <v/>
      </c>
      <c r="D91">
        <f>IFERROR(LEFT(LEFT(D90,FIND("+",D90&amp;"+")-1),FIND("t",LEFT(D90,FIND("+",D90&amp;"+")-1))-1)*MID(LEFT(D90,FIND("+",D90&amp;"+")-1),FIND("t",LEFT(D90,FIND("+",D90&amp;"+")-1))+1,2)^2*PI()/400,0)+IFERROR(LEFT(MID(D90,FIND("+",D90&amp;"+")+1,99),FIND("t",MID(D90,FIND("+",D90&amp;"+")+1,99))-1)*MID(MID(D90,FIND("+",D90&amp;"+")+1,99),FIND("t",MID(D90,FIND("+",D90&amp;"+")+1,99))+1,2)^2*PI()/400,0)</f>
        <v/>
      </c>
      <c r="E91">
        <f>IFERROR(LEFT(LEFT(E90,FIND("+",E90&amp;"+")-1),FIND("t",LEFT(E90,FIND("+",E90&amp;"+")-1))-1)*MID(LEFT(E90,FIND("+",E90&amp;"+")-1),FIND("t",LEFT(E90,FIND("+",E90&amp;"+")-1))+1,2)^2*PI()/400,0)+IFERROR(LEFT(MID(E90,FIND("+",E90&amp;"+")+1,99),FIND("t",MID(E90,FIND("+",E90&amp;"+")+1,99))-1)*MID(MID(E90,FIND("+",E90&amp;"+")+1,99),FIND("t",MID(E90,FIND("+",E90&amp;"+")+1,99))+1,2)^2*PI()/400,0)</f>
        <v/>
      </c>
      <c r="F91">
        <f>IFERROR(LEFT(LEFT(F90,FIND("+",F90&amp;"+")-1),FIND("t",LEFT(F90,FIND("+",F90&amp;"+")-1))-1)*MID(LEFT(F90,FIND("+",F90&amp;"+")-1),FIND("t",LEFT(F90,FIND("+",F90&amp;"+")-1))+1,2)^2*PI()/400,0)+IFERROR(LEFT(MID(F90,FIND("+",F90&amp;"+")+1,99),FIND("t",MID(F90,FIND("+",F90&amp;"+")+1,99))-1)*MID(MID(F90,FIND("+",F90&amp;"+")+1,99),FIND("t",MID(F90,FIND("+",F90&amp;"+")+1,99))+1,2)^2*PI()/400,0)</f>
        <v/>
      </c>
      <c r="G91">
        <f>IFERROR(LEFT(LEFT(G90,FIND("+",G90&amp;"+")-1),FIND("t",LEFT(G90,FIND("+",G90&amp;"+")-1))-1)*MID(LEFT(G90,FIND("+",G90&amp;"+")-1),FIND("t",LEFT(G90,FIND("+",G90&amp;"+")-1))+1,2)^2*PI()/400,0)+IFERROR(LEFT(MID(G90,FIND("+",G90&amp;"+")+1,99),FIND("t",MID(G90,FIND("+",G90&amp;"+")+1,99))-1)*MID(MID(G90,FIND("+",G90&amp;"+")+1,99),FIND("t",MID(G90,FIND("+",G90&amp;"+")+1,99))+1,2)^2*PI()/400,0)</f>
        <v/>
      </c>
      <c r="H91">
        <f>IFERROR(LEFT(LEFT(H90,FIND("+",H90&amp;"+")-1),FIND("t",LEFT(H90,FIND("+",H90&amp;"+")-1))-1)*MID(LEFT(H90,FIND("+",H90&amp;"+")-1),FIND("t",LEFT(H90,FIND("+",H90&amp;"+")-1))+1,2)^2*PI()/400,0)+IFERROR(LEFT(MID(H90,FIND("+",H90&amp;"+")+1,99),FIND("t",MID(H90,FIND("+",H90&amp;"+")+1,99))-1)*MID(MID(H90,FIND("+",H90&amp;"+")+1,99),FIND("t",MID(H90,FIND("+",H90&amp;"+")+1,99))+1,2)^2*PI()/400,0)</f>
        <v/>
      </c>
      <c r="I91">
        <f>IFERROR(LEFT(LEFT(I90,FIND("+",I90&amp;"+")-1),FIND("t",LEFT(I90,FIND("+",I90&amp;"+")-1))-1)*MID(LEFT(I90,FIND("+",I90&amp;"+")-1),FIND("t",LEFT(I90,FIND("+",I90&amp;"+")-1))+1,2)^2*PI()/400,0)+IFERROR(LEFT(MID(I90,FIND("+",I90&amp;"+")+1,99),FIND("t",MID(I90,FIND("+",I90&amp;"+")+1,99))-1)*MID(MID(I90,FIND("+",I90&amp;"+")+1,99),FIND("t",MID(I90,FIND("+",I90&amp;"+")+1,99))+1,2)^2*PI()/400,0)</f>
        <v/>
      </c>
      <c r="J91">
        <f>IFERROR(LEFT(LEFT(J90,FIND("+",J90&amp;"+")-1),FIND("t",LEFT(J90,FIND("+",J90&amp;"+")-1))-1)*MID(LEFT(J90,FIND("+",J90&amp;"+")-1),FIND("t",LEFT(J90,FIND("+",J90&amp;"+")-1))+1,2)^2*PI()/400,0)+IFERROR(LEFT(MID(J90,FIND("+",J90&amp;"+")+1,99),FIND("t",MID(J90,FIND("+",J90&amp;"+")+1,99))-1)*MID(MID(J90,FIND("+",J90&amp;"+")+1,99),FIND("t",MID(J90,FIND("+",J90&amp;"+")+1,99))+1,2)^2*PI()/400,0)</f>
        <v/>
      </c>
      <c r="K91">
        <f>IFERROR(LEFT(LEFT(K90,FIND("+",K90&amp;"+")-1),FIND("t",LEFT(K90,FIND("+",K90&amp;"+")-1))-1)*MID(LEFT(K90,FIND("+",K90&amp;"+")-1),FIND("t",LEFT(K90,FIND("+",K90&amp;"+")-1))+1,2)^2*PI()/400,0)+IFERROR(LEFT(MID(K90,FIND("+",K90&amp;"+")+1,99),FIND("t",MID(K90,FIND("+",K90&amp;"+")+1,99))-1)*MID(MID(K90,FIND("+",K90&amp;"+")+1,99),FIND("t",MID(K90,FIND("+",K90&amp;"+")+1,99))+1,2)^2*PI()/400,0)</f>
        <v/>
      </c>
      <c r="L91">
        <f>IFERROR(LEFT(LEFT(L90,FIND("+",L90&amp;"+")-1),FIND("t",LEFT(L90,FIND("+",L90&amp;"+")-1))-1)*MID(LEFT(L90,FIND("+",L90&amp;"+")-1),FIND("t",LEFT(L90,FIND("+",L90&amp;"+")-1))+1,2)^2*PI()/400,0)+IFERROR(LEFT(MID(L90,FIND("+",L90&amp;"+")+1,99),FIND("t",MID(L90,FIND("+",L90&amp;"+")+1,99))-1)*MID(MID(L90,FIND("+",L90&amp;"+")+1,99),FIND("t",MID(L90,FIND("+",L90&amp;"+")+1,99))+1,2)^2*PI()/400,0)</f>
        <v/>
      </c>
      <c r="M91">
        <f>IFERROR(LEFT(LEFT(M90,FIND("+",M90&amp;"+")-1),FIND("t",LEFT(M90,FIND("+",M90&amp;"+")-1))-1)*MID(LEFT(M90,FIND("+",M90&amp;"+")-1),FIND("t",LEFT(M90,FIND("+",M90&amp;"+")-1))+1,2)^2*PI()/400,0)+IFERROR(LEFT(MID(M90,FIND("+",M90&amp;"+")+1,99),FIND("t",MID(M90,FIND("+",M90&amp;"+")+1,99))-1)*MID(MID(M90,FIND("+",M90&amp;"+")+1,99),FIND("t",MID(M90,FIND("+",M90&amp;"+")+1,99))+1,2)^2*PI()/400,0)</f>
        <v/>
      </c>
      <c r="N91">
        <f>IFERROR(LEFT(LEFT(N90,FIND("+",N90&amp;"+")-1),FIND("t",LEFT(N90,FIND("+",N90&amp;"+")-1))-1)*MID(LEFT(N90,FIND("+",N90&amp;"+")-1),FIND("t",LEFT(N90,FIND("+",N90&amp;"+")-1))+1,2)^2*PI()/400,0)+IFERROR(LEFT(MID(N90,FIND("+",N90&amp;"+")+1,99),FIND("t",MID(N90,FIND("+",N90&amp;"+")+1,99))-1)*MID(MID(N90,FIND("+",N90&amp;"+")+1,99),FIND("t",MID(N90,FIND("+",N90&amp;"+")+1,99))+1,2)^2*PI()/400,0)</f>
        <v/>
      </c>
      <c r="O91">
        <f>IFERROR(LEFT(LEFT(O90,FIND("+",O90&amp;"+")-1),FIND("t",LEFT(O90,FIND("+",O90&amp;"+")-1))-1)*MID(LEFT(O90,FIND("+",O90&amp;"+")-1),FIND("t",LEFT(O90,FIND("+",O90&amp;"+")-1))+1,2)^2*PI()/400,0)+IFERROR(LEFT(MID(O90,FIND("+",O90&amp;"+")+1,99),FIND("t",MID(O90,FIND("+",O90&amp;"+")+1,99))-1)*MID(MID(O90,FIND("+",O90&amp;"+")+1,99),FIND("t",MID(O90,FIND("+",O90&amp;"+")+1,99))+1,2)^2*PI()/400,0)</f>
        <v/>
      </c>
      <c r="P91">
        <f>IFERROR(LEFT(LEFT(P90,FIND("+",P90&amp;"+")-1),FIND("t",LEFT(P90,FIND("+",P90&amp;"+")-1))-1)*MID(LEFT(P90,FIND("+",P90&amp;"+")-1),FIND("t",LEFT(P90,FIND("+",P90&amp;"+")-1))+1,2)^2*PI()/400,0)+IFERROR(LEFT(MID(P90,FIND("+",P90&amp;"+")+1,99),FIND("t",MID(P90,FIND("+",P90&amp;"+")+1,99))-1)*MID(MID(P90,FIND("+",P90&amp;"+")+1,99),FIND("t",MID(P90,FIND("+",P90&amp;"+")+1,99))+1,2)^2*PI()/400,0)</f>
        <v/>
      </c>
      <c r="Q91">
        <f>IFERROR(LEFT(LEFT(Q90,FIND("+",Q90&amp;"+")-1),FIND("t",LEFT(Q90,FIND("+",Q90&amp;"+")-1))-1)*MID(LEFT(Q90,FIND("+",Q90&amp;"+")-1),FIND("t",LEFT(Q90,FIND("+",Q90&amp;"+")-1))+1,2)^2*PI()/400,0)+IFERROR(LEFT(MID(Q90,FIND("+",Q90&amp;"+")+1,99),FIND("t",MID(Q90,FIND("+",Q90&amp;"+")+1,99))-1)*MID(MID(Q90,FIND("+",Q90&amp;"+")+1,99),FIND("t",MID(Q90,FIND("+",Q90&amp;"+")+1,99))+1,2)^2*PI()/400,0)</f>
        <v/>
      </c>
      <c r="R91">
        <f>IFERROR(LEFT(LEFT(R90,FIND("+",R90&amp;"+")-1),FIND("t",LEFT(R90,FIND("+",R90&amp;"+")-1))-1)*MID(LEFT(R90,FIND("+",R90&amp;"+")-1),FIND("t",LEFT(R90,FIND("+",R90&amp;"+")-1))+1,2)^2*PI()/400,0)+IFERROR(LEFT(MID(R90,FIND("+",R90&amp;"+")+1,99),FIND("t",MID(R90,FIND("+",R90&amp;"+")+1,99))-1)*MID(MID(R90,FIND("+",R90&amp;"+")+1,99),FIND("t",MID(R90,FIND("+",R90&amp;"+")+1,99))+1,2)^2*PI()/400,0)</f>
        <v/>
      </c>
      <c r="S91">
        <f>IFERROR(LEFT(LEFT(S90,FIND("+",S90&amp;"+")-1),FIND("t",LEFT(S90,FIND("+",S90&amp;"+")-1))-1)*MID(LEFT(S90,FIND("+",S90&amp;"+")-1),FIND("t",LEFT(S90,FIND("+",S90&amp;"+")-1))+1,2)^2*PI()/400,0)+IFERROR(LEFT(MID(S90,FIND("+",S90&amp;"+")+1,99),FIND("t",MID(S90,FIND("+",S90&amp;"+")+1,99))-1)*MID(MID(S90,FIND("+",S90&amp;"+")+1,99),FIND("t",MID(S90,FIND("+",S90&amp;"+")+1,99))+1,2)^2*PI()/400,0)</f>
        <v/>
      </c>
      <c r="T91">
        <f>IFERROR(LEFT(LEFT(T90,FIND("+",T90&amp;"+")-1),FIND("t",LEFT(T90,FIND("+",T90&amp;"+")-1))-1)*MID(LEFT(T90,FIND("+",T90&amp;"+")-1),FIND("t",LEFT(T90,FIND("+",T90&amp;"+")-1))+1,2)^2*PI()/400,0)+IFERROR(LEFT(MID(T90,FIND("+",T90&amp;"+")+1,99),FIND("t",MID(T90,FIND("+",T90&amp;"+")+1,99))-1)*MID(MID(T90,FIND("+",T90&amp;"+")+1,99),FIND("t",MID(T90,FIND("+",T90&amp;"+")+1,99))+1,2)^2*PI()/400,0)</f>
        <v/>
      </c>
      <c r="U91">
        <f>IFERROR(LEFT(LEFT(U90,FIND("+",U90&amp;"+")-1),FIND("t",LEFT(U90,FIND("+",U90&amp;"+")-1))-1)*MID(LEFT(U90,FIND("+",U90&amp;"+")-1),FIND("t",LEFT(U90,FIND("+",U90&amp;"+")-1))+1,2)^2*PI()/400,0)+IFERROR(LEFT(MID(U90,FIND("+",U90&amp;"+")+1,99),FIND("t",MID(U90,FIND("+",U90&amp;"+")+1,99))-1)*MID(MID(U90,FIND("+",U90&amp;"+")+1,99),FIND("t",MID(U90,FIND("+",U90&amp;"+")+1,99))+1,2)^2*PI()/400,0)</f>
        <v/>
      </c>
      <c r="V91">
        <f>IFERROR(LEFT(LEFT(V90,FIND("+",V90&amp;"+")-1),FIND("t",LEFT(V90,FIND("+",V90&amp;"+")-1))-1)*MID(LEFT(V90,FIND("+",V90&amp;"+")-1),FIND("t",LEFT(V90,FIND("+",V90&amp;"+")-1))+1,2)^2*PI()/400,0)+IFERROR(LEFT(MID(V90,FIND("+",V90&amp;"+")+1,99),FIND("t",MID(V90,FIND("+",V90&amp;"+")+1,99))-1)*MID(MID(V90,FIND("+",V90&amp;"+")+1,99),FIND("t",MID(V90,FIND("+",V90&amp;"+")+1,99))+1,2)^2*PI()/400,0)</f>
        <v/>
      </c>
      <c r="W91">
        <f>IFERROR(LEFT(LEFT(W90,FIND("+",W90&amp;"+")-1),FIND("t",LEFT(W90,FIND("+",W90&amp;"+")-1))-1)*MID(LEFT(W90,FIND("+",W90&amp;"+")-1),FIND("t",LEFT(W90,FIND("+",W90&amp;"+")-1))+1,2)^2*PI()/400,0)+IFERROR(LEFT(MID(W90,FIND("+",W90&amp;"+")+1,99),FIND("t",MID(W90,FIND("+",W90&amp;"+")+1,99))-1)*MID(MID(W90,FIND("+",W90&amp;"+")+1,99),FIND("t",MID(W90,FIND("+",W90&amp;"+")+1,99))+1,2)^2*PI()/400,0)</f>
        <v/>
      </c>
      <c r="X91">
        <f>IFERROR(LEFT(LEFT(X90,FIND("+",X90&amp;"+")-1),FIND("t",LEFT(X90,FIND("+",X90&amp;"+")-1))-1)*MID(LEFT(X90,FIND("+",X90&amp;"+")-1),FIND("t",LEFT(X90,FIND("+",X90&amp;"+")-1))+1,2)^2*PI()/400,0)+IFERROR(LEFT(MID(X90,FIND("+",X90&amp;"+")+1,99),FIND("t",MID(X90,FIND("+",X90&amp;"+")+1,99))-1)*MID(MID(X90,FIND("+",X90&amp;"+")+1,99),FIND("t",MID(X90,FIND("+",X90&amp;"+")+1,99))+1,2)^2*PI()/400,0)</f>
        <v/>
      </c>
      <c r="Y91">
        <f>IFERROR(LEFT(LEFT(Y90,FIND("+",Y90&amp;"+")-1),FIND("t",LEFT(Y90,FIND("+",Y90&amp;"+")-1))-1)*MID(LEFT(Y90,FIND("+",Y90&amp;"+")-1),FIND("t",LEFT(Y90,FIND("+",Y90&amp;"+")-1))+1,2)^2*PI()/400,0)+IFERROR(LEFT(MID(Y90,FIND("+",Y90&amp;"+")+1,99),FIND("t",MID(Y90,FIND("+",Y90&amp;"+")+1,99))-1)*MID(MID(Y90,FIND("+",Y90&amp;"+")+1,99),FIND("t",MID(Y90,FIND("+",Y90&amp;"+")+1,99))+1,2)^2*PI()/400,0)</f>
        <v/>
      </c>
      <c r="Z91">
        <f>IFERROR(LEFT(LEFT(Z90,FIND("+",Z90&amp;"+")-1),FIND("t",LEFT(Z90,FIND("+",Z90&amp;"+")-1))-1)*MID(LEFT(Z90,FIND("+",Z90&amp;"+")-1),FIND("t",LEFT(Z90,FIND("+",Z90&amp;"+")-1))+1,2)^2*PI()/400,0)+IFERROR(LEFT(MID(Z90,FIND("+",Z90&amp;"+")+1,99),FIND("t",MID(Z90,FIND("+",Z90&amp;"+")+1,99))-1)*MID(MID(Z90,FIND("+",Z90&amp;"+")+1,99),FIND("t",MID(Z90,FIND("+",Z90&amp;"+")+1,99))+1,2)^2*PI()/400,0)</f>
        <v/>
      </c>
      <c r="AA91">
        <f>IFERROR(LEFT(LEFT(AA90,FIND("+",AA90&amp;"+")-1),FIND("t",LEFT(AA90,FIND("+",AA90&amp;"+")-1))-1)*MID(LEFT(AA90,FIND("+",AA90&amp;"+")-1),FIND("t",LEFT(AA90,FIND("+",AA90&amp;"+")-1))+1,2)^2*PI()/400,0)+IFERROR(LEFT(MID(AA90,FIND("+",AA90&amp;"+")+1,99),FIND("t",MID(AA90,FIND("+",AA90&amp;"+")+1,99))-1)*MID(MID(AA90,FIND("+",AA90&amp;"+")+1,99),FIND("t",MID(AA90,FIND("+",AA90&amp;"+")+1,99))+1,2)^2*PI()/400,0)</f>
        <v/>
      </c>
      <c r="AB91">
        <f>IFERROR(LEFT(LEFT(AB90,FIND("+",AB90&amp;"+")-1),FIND("t",LEFT(AB90,FIND("+",AB90&amp;"+")-1))-1)*MID(LEFT(AB90,FIND("+",AB90&amp;"+")-1),FIND("t",LEFT(AB90,FIND("+",AB90&amp;"+")-1))+1,2)^2*PI()/400,0)+IFERROR(LEFT(MID(AB90,FIND("+",AB90&amp;"+")+1,99),FIND("t",MID(AB90,FIND("+",AB90&amp;"+")+1,99))-1)*MID(MID(AB90,FIND("+",AB90&amp;"+")+1,99),FIND("t",MID(AB90,FIND("+",AB90&amp;"+")+1,99))+1,2)^2*PI()/400,0)</f>
        <v/>
      </c>
      <c r="AC91">
        <f>IFERROR(LEFT(LEFT(AC90,FIND("+",AC90&amp;"+")-1),FIND("t",LEFT(AC90,FIND("+",AC90&amp;"+")-1))-1)*MID(LEFT(AC90,FIND("+",AC90&amp;"+")-1),FIND("t",LEFT(AC90,FIND("+",AC90&amp;"+")-1))+1,2)^2*PI()/400,0)+IFERROR(LEFT(MID(AC90,FIND("+",AC90&amp;"+")+1,99),FIND("t",MID(AC90,FIND("+",AC90&amp;"+")+1,99))-1)*MID(MID(AC90,FIND("+",AC90&amp;"+")+1,99),FIND("t",MID(AC90,FIND("+",AC90&amp;"+")+1,99))+1,2)^2*PI()/400,0)</f>
        <v/>
      </c>
      <c r="AD91">
        <f>IFERROR(LEFT(LEFT(AD90,FIND("+",AD90&amp;"+")-1),FIND("t",LEFT(AD90,FIND("+",AD90&amp;"+")-1))-1)*MID(LEFT(AD90,FIND("+",AD90&amp;"+")-1),FIND("t",LEFT(AD90,FIND("+",AD90&amp;"+")-1))+1,2)^2*PI()/400,0)+IFERROR(LEFT(MID(AD90,FIND("+",AD90&amp;"+")+1,99),FIND("t",MID(AD90,FIND("+",AD90&amp;"+")+1,99))-1)*MID(MID(AD90,FIND("+",AD90&amp;"+")+1,99),FIND("t",MID(AD90,FIND("+",AD90&amp;"+")+1,99))+1,2)^2*PI()/400,0)</f>
        <v/>
      </c>
      <c r="AE91">
        <f>IFERROR(LEFT(LEFT(AE90,FIND("+",AE90&amp;"+")-1),FIND("t",LEFT(AE90,FIND("+",AE90&amp;"+")-1))-1)*MID(LEFT(AE90,FIND("+",AE90&amp;"+")-1),FIND("t",LEFT(AE90,FIND("+",AE90&amp;"+")-1))+1,2)^2*PI()/400,0)+IFERROR(LEFT(MID(AE90,FIND("+",AE90&amp;"+")+1,99),FIND("t",MID(AE90,FIND("+",AE90&amp;"+")+1,99))-1)*MID(MID(AE90,FIND("+",AE90&amp;"+")+1,99),FIND("t",MID(AE90,FIND("+",AE90&amp;"+")+1,99))+1,2)^2*PI()/400,0)</f>
        <v/>
      </c>
      <c r="AF91">
        <f>IFERROR(LEFT(LEFT(AF90,FIND("+",AF90&amp;"+")-1),FIND("t",LEFT(AF90,FIND("+",AF90&amp;"+")-1))-1)*MID(LEFT(AF90,FIND("+",AF90&amp;"+")-1),FIND("t",LEFT(AF90,FIND("+",AF90&amp;"+")-1))+1,2)^2*PI()/400,0)+IFERROR(LEFT(MID(AF90,FIND("+",AF90&amp;"+")+1,99),FIND("t",MID(AF90,FIND("+",AF90&amp;"+")+1,99))-1)*MID(MID(AF90,FIND("+",AF90&amp;"+")+1,99),FIND("t",MID(AF90,FIND("+",AF90&amp;"+")+1,99))+1,2)^2*PI()/400,0)</f>
        <v/>
      </c>
      <c r="AG91">
        <f>IFERROR(LEFT(LEFT(AG90,FIND("+",AG90&amp;"+")-1),FIND("t",LEFT(AG90,FIND("+",AG90&amp;"+")-1))-1)*MID(LEFT(AG90,FIND("+",AG90&amp;"+")-1),FIND("t",LEFT(AG90,FIND("+",AG90&amp;"+")-1))+1,2)^2*PI()/400,0)+IFERROR(LEFT(MID(AG90,FIND("+",AG90&amp;"+")+1,99),FIND("t",MID(AG90,FIND("+",AG90&amp;"+")+1,99))-1)*MID(MID(AG90,FIND("+",AG90&amp;"+")+1,99),FIND("t",MID(AG90,FIND("+",AG90&amp;"+")+1,99))+1,2)^2*PI()/400,0)</f>
        <v/>
      </c>
    </row>
    <row r="92" hidden="1" outlineLevel="1">
      <c r="A92" s="60" t="inlineStr">
        <is>
          <t>(phụ trợ) N_B0L</t>
        </is>
      </c>
      <c r="C92">
        <f>$B$126</f>
        <v/>
      </c>
      <c r="D92">
        <f>IFERROR(IF(ISNUMBER(MID(LOOKUP(2,1/ISNUMBER(FIND(";",$D$25:D$25)),$D$25:D$25),FIND(";",LOOKUP(2,1/ISNUMBER(FIND(";",$D$25:D$25)),$D$25:D$25))+1,99)*1),LEFT($B$126,FIND("t",$B$126))&amp;MID(LOOKUP(2,1/ISNUMBER(FIND(";",$D$25:D$25)),$D$25:D$25),FIND(";",LOOKUP(2,1/ISNUMBER(FIND(";",$D$25:D$25)),$D$25:D$25))+1,99),SUBSTITUTE(SUBSTITUTE(SUBSTITUTE(SUBSTITUTE(SUBSTITUTE(SUBSTITUTE(LOWER(MID(LOOKUP(2,1/ISNUMBER(FIND(";",$D$25:D$25)),$D$25:D$25),FIND(";",LOOKUP(2,1/ISNUMBER(FIND(";",$D$25:D$25)),$D$25:D$25))+1,99))," ",""),"%%c","t"),"ø","t"),"φ","t"),"f","t"),"d","t")),$B$126)</f>
        <v/>
      </c>
      <c r="E92">
        <f>IFERROR(IF(ISNUMBER(MID(LOOKUP(2,1/ISNUMBER(FIND(";",$D$25:D$25)),$D$25:D$25),FIND(";",LOOKUP(2,1/ISNUMBER(FIND(";",$D$25:D$25)),$D$25:D$25))+1,99)*1),LEFT($B$126,FIND("t",$B$126))&amp;MID(LOOKUP(2,1/ISNUMBER(FIND(";",$D$25:D$25)),$D$25:D$25),FIND(";",LOOKUP(2,1/ISNUMBER(FIND(";",$D$25:D$25)),$D$25:D$25))+1,99),SUBSTITUTE(SUBSTITUTE(SUBSTITUTE(SUBSTITUTE(SUBSTITUTE(SUBSTITUTE(LOWER(MID(LOOKUP(2,1/ISNUMBER(FIND(";",$D$25:D$25)),$D$25:D$25),FIND(";",LOOKUP(2,1/ISNUMBER(FIND(";",$D$25:D$25)),$D$25:D$25))+1,99))," ",""),"%%c","t"),"ø","t"),"φ","t"),"f","t"),"d","t")),$B$126)</f>
        <v/>
      </c>
      <c r="F92">
        <f>IFERROR(IF(ISNUMBER(MID(LOOKUP(2,1/ISNUMBER(FIND(";",$D$25:F$25)),$D$25:F$25),FIND(";",LOOKUP(2,1/ISNUMBER(FIND(";",$D$25:F$25)),$D$25:F$25))+1,99)*1),LEFT($B$126,FIND("t",$B$126))&amp;MID(LOOKUP(2,1/ISNUMBER(FIND(";",$D$25:F$25)),$D$25:F$25),FIND(";",LOOKUP(2,1/ISNUMBER(FIND(";",$D$25:F$25)),$D$25:F$25))+1,99),SUBSTITUTE(SUBSTITUTE(SUBSTITUTE(SUBSTITUTE(SUBSTITUTE(SUBSTITUTE(LOWER(MID(LOOKUP(2,1/ISNUMBER(FIND(";",$D$25:F$25)),$D$25:F$25),FIND(";",LOOKUP(2,1/ISNUMBER(FIND(";",$D$25:F$25)),$D$25:F$25))+1,99))," ",""),"%%c","t"),"ø","t"),"φ","t"),"f","t"),"d","t")),$B$126)</f>
        <v/>
      </c>
      <c r="G92">
        <f>IFERROR(IF(ISNUMBER(MID(LOOKUP(2,1/ISNUMBER(FIND(";",$D$25:F$25)),$D$25:F$25),FIND(";",LOOKUP(2,1/ISNUMBER(FIND(";",$D$25:F$25)),$D$25:F$25))+1,99)*1),LEFT($B$126,FIND("t",$B$126))&amp;MID(LOOKUP(2,1/ISNUMBER(FIND(";",$D$25:F$25)),$D$25:F$25),FIND(";",LOOKUP(2,1/ISNUMBER(FIND(";",$D$25:F$25)),$D$25:F$25))+1,99),SUBSTITUTE(SUBSTITUTE(SUBSTITUTE(SUBSTITUTE(SUBSTITUTE(SUBSTITUTE(LOWER(MID(LOOKUP(2,1/ISNUMBER(FIND(";",$D$25:F$25)),$D$25:F$25),FIND(";",LOOKUP(2,1/ISNUMBER(FIND(";",$D$25:F$25)),$D$25:F$25))+1,99))," ",""),"%%c","t"),"ø","t"),"φ","t"),"f","t"),"d","t")),$B$126)</f>
        <v/>
      </c>
      <c r="H92">
        <f>IFERROR(IF(ISNUMBER(MID(LOOKUP(2,1/ISNUMBER(FIND(";",$D$25:H$25)),$D$25:H$25),FIND(";",LOOKUP(2,1/ISNUMBER(FIND(";",$D$25:H$25)),$D$25:H$25))+1,99)*1),LEFT($B$126,FIND("t",$B$126))&amp;MID(LOOKUP(2,1/ISNUMBER(FIND(";",$D$25:H$25)),$D$25:H$25),FIND(";",LOOKUP(2,1/ISNUMBER(FIND(";",$D$25:H$25)),$D$25:H$25))+1,99),SUBSTITUTE(SUBSTITUTE(SUBSTITUTE(SUBSTITUTE(SUBSTITUTE(SUBSTITUTE(LOWER(MID(LOOKUP(2,1/ISNUMBER(FIND(";",$D$25:H$25)),$D$25:H$25),FIND(";",LOOKUP(2,1/ISNUMBER(FIND(";",$D$25:H$25)),$D$25:H$25))+1,99))," ",""),"%%c","t"),"ø","t"),"φ","t"),"f","t"),"d","t")),$B$126)</f>
        <v/>
      </c>
      <c r="I92">
        <f>IFERROR(IF(ISNUMBER(MID(LOOKUP(2,1/ISNUMBER(FIND(";",$D$25:H$25)),$D$25:H$25),FIND(";",LOOKUP(2,1/ISNUMBER(FIND(";",$D$25:H$25)),$D$25:H$25))+1,99)*1),LEFT($B$126,FIND("t",$B$126))&amp;MID(LOOKUP(2,1/ISNUMBER(FIND(";",$D$25:H$25)),$D$25:H$25),FIND(";",LOOKUP(2,1/ISNUMBER(FIND(";",$D$25:H$25)),$D$25:H$25))+1,99),SUBSTITUTE(SUBSTITUTE(SUBSTITUTE(SUBSTITUTE(SUBSTITUTE(SUBSTITUTE(LOWER(MID(LOOKUP(2,1/ISNUMBER(FIND(";",$D$25:H$25)),$D$25:H$25),FIND(";",LOOKUP(2,1/ISNUMBER(FIND(";",$D$25:H$25)),$D$25:H$25))+1,99))," ",""),"%%c","t"),"ø","t"),"φ","t"),"f","t"),"d","t")),$B$126)</f>
        <v/>
      </c>
      <c r="J92">
        <f>IFERROR(IF(ISNUMBER(MID(LOOKUP(2,1/ISNUMBER(FIND(";",$D$25:J$25)),$D$25:J$25),FIND(";",LOOKUP(2,1/ISNUMBER(FIND(";",$D$25:J$25)),$D$25:J$25))+1,99)*1),LEFT($B$126,FIND("t",$B$126))&amp;MID(LOOKUP(2,1/ISNUMBER(FIND(";",$D$25:J$25)),$D$25:J$25),FIND(";",LOOKUP(2,1/ISNUMBER(FIND(";",$D$25:J$25)),$D$25:J$25))+1,99),SUBSTITUTE(SUBSTITUTE(SUBSTITUTE(SUBSTITUTE(SUBSTITUTE(SUBSTITUTE(LOWER(MID(LOOKUP(2,1/ISNUMBER(FIND(";",$D$25:J$25)),$D$25:J$25),FIND(";",LOOKUP(2,1/ISNUMBER(FIND(";",$D$25:J$25)),$D$25:J$25))+1,99))," ",""),"%%c","t"),"ø","t"),"φ","t"),"f","t"),"d","t")),$B$126)</f>
        <v/>
      </c>
      <c r="K92">
        <f>IFERROR(IF(ISNUMBER(MID(LOOKUP(2,1/ISNUMBER(FIND(";",$D$25:J$25)),$D$25:J$25),FIND(";",LOOKUP(2,1/ISNUMBER(FIND(";",$D$25:J$25)),$D$25:J$25))+1,99)*1),LEFT($B$126,FIND("t",$B$126))&amp;MID(LOOKUP(2,1/ISNUMBER(FIND(";",$D$25:J$25)),$D$25:J$25),FIND(";",LOOKUP(2,1/ISNUMBER(FIND(";",$D$25:J$25)),$D$25:J$25))+1,99),SUBSTITUTE(SUBSTITUTE(SUBSTITUTE(SUBSTITUTE(SUBSTITUTE(SUBSTITUTE(LOWER(MID(LOOKUP(2,1/ISNUMBER(FIND(";",$D$25:J$25)),$D$25:J$25),FIND(";",LOOKUP(2,1/ISNUMBER(FIND(";",$D$25:J$25)),$D$25:J$25))+1,99))," ",""),"%%c","t"),"ø","t"),"φ","t"),"f","t"),"d","t")),$B$126)</f>
        <v/>
      </c>
      <c r="L92">
        <f>IFERROR(IF(ISNUMBER(MID(LOOKUP(2,1/ISNUMBER(FIND(";",$D$25:L$25)),$D$25:L$25),FIND(";",LOOKUP(2,1/ISNUMBER(FIND(";",$D$25:L$25)),$D$25:L$25))+1,99)*1),LEFT($B$126,FIND("t",$B$126))&amp;MID(LOOKUP(2,1/ISNUMBER(FIND(";",$D$25:L$25)),$D$25:L$25),FIND(";",LOOKUP(2,1/ISNUMBER(FIND(";",$D$25:L$25)),$D$25:L$25))+1,99),SUBSTITUTE(SUBSTITUTE(SUBSTITUTE(SUBSTITUTE(SUBSTITUTE(SUBSTITUTE(LOWER(MID(LOOKUP(2,1/ISNUMBER(FIND(";",$D$25:L$25)),$D$25:L$25),FIND(";",LOOKUP(2,1/ISNUMBER(FIND(";",$D$25:L$25)),$D$25:L$25))+1,99))," ",""),"%%c","t"),"ø","t"),"φ","t"),"f","t"),"d","t")),$B$126)</f>
        <v/>
      </c>
      <c r="M92">
        <f>IFERROR(IF(ISNUMBER(MID(LOOKUP(2,1/ISNUMBER(FIND(";",$D$25:L$25)),$D$25:L$25),FIND(";",LOOKUP(2,1/ISNUMBER(FIND(";",$D$25:L$25)),$D$25:L$25))+1,99)*1),LEFT($B$126,FIND("t",$B$126))&amp;MID(LOOKUP(2,1/ISNUMBER(FIND(";",$D$25:L$25)),$D$25:L$25),FIND(";",LOOKUP(2,1/ISNUMBER(FIND(";",$D$25:L$25)),$D$25:L$25))+1,99),SUBSTITUTE(SUBSTITUTE(SUBSTITUTE(SUBSTITUTE(SUBSTITUTE(SUBSTITUTE(LOWER(MID(LOOKUP(2,1/ISNUMBER(FIND(";",$D$25:L$25)),$D$25:L$25),FIND(";",LOOKUP(2,1/ISNUMBER(FIND(";",$D$25:L$25)),$D$25:L$25))+1,99))," ",""),"%%c","t"),"ø","t"),"φ","t"),"f","t"),"d","t")),$B$126)</f>
        <v/>
      </c>
      <c r="N92">
        <f>IFERROR(IF(ISNUMBER(MID(LOOKUP(2,1/ISNUMBER(FIND(";",$D$25:N$25)),$D$25:N$25),FIND(";",LOOKUP(2,1/ISNUMBER(FIND(";",$D$25:N$25)),$D$25:N$25))+1,99)*1),LEFT($B$126,FIND("t",$B$126))&amp;MID(LOOKUP(2,1/ISNUMBER(FIND(";",$D$25:N$25)),$D$25:N$25),FIND(";",LOOKUP(2,1/ISNUMBER(FIND(";",$D$25:N$25)),$D$25:N$25))+1,99),SUBSTITUTE(SUBSTITUTE(SUBSTITUTE(SUBSTITUTE(SUBSTITUTE(SUBSTITUTE(LOWER(MID(LOOKUP(2,1/ISNUMBER(FIND(";",$D$25:N$25)),$D$25:N$25),FIND(";",LOOKUP(2,1/ISNUMBER(FIND(";",$D$25:N$25)),$D$25:N$25))+1,99))," ",""),"%%c","t"),"ø","t"),"φ","t"),"f","t"),"d","t")),$B$126)</f>
        <v/>
      </c>
      <c r="O92">
        <f>IFERROR(IF(ISNUMBER(MID(LOOKUP(2,1/ISNUMBER(FIND(";",$D$25:N$25)),$D$25:N$25),FIND(";",LOOKUP(2,1/ISNUMBER(FIND(";",$D$25:N$25)),$D$25:N$25))+1,99)*1),LEFT($B$126,FIND("t",$B$126))&amp;MID(LOOKUP(2,1/ISNUMBER(FIND(";",$D$25:N$25)),$D$25:N$25),FIND(";",LOOKUP(2,1/ISNUMBER(FIND(";",$D$25:N$25)),$D$25:N$25))+1,99),SUBSTITUTE(SUBSTITUTE(SUBSTITUTE(SUBSTITUTE(SUBSTITUTE(SUBSTITUTE(LOWER(MID(LOOKUP(2,1/ISNUMBER(FIND(";",$D$25:N$25)),$D$25:N$25),FIND(";",LOOKUP(2,1/ISNUMBER(FIND(";",$D$25:N$25)),$D$25:N$25))+1,99))," ",""),"%%c","t"),"ø","t"),"φ","t"),"f","t"),"d","t")),$B$126)</f>
        <v/>
      </c>
      <c r="P92">
        <f>IFERROR(IF(ISNUMBER(MID(LOOKUP(2,1/ISNUMBER(FIND(";",$D$25:P$25)),$D$25:P$25),FIND(";",LOOKUP(2,1/ISNUMBER(FIND(";",$D$25:P$25)),$D$25:P$25))+1,99)*1),LEFT($B$126,FIND("t",$B$126))&amp;MID(LOOKUP(2,1/ISNUMBER(FIND(";",$D$25:P$25)),$D$25:P$25),FIND(";",LOOKUP(2,1/ISNUMBER(FIND(";",$D$25:P$25)),$D$25:P$25))+1,99),SUBSTITUTE(SUBSTITUTE(SUBSTITUTE(SUBSTITUTE(SUBSTITUTE(SUBSTITUTE(LOWER(MID(LOOKUP(2,1/ISNUMBER(FIND(";",$D$25:P$25)),$D$25:P$25),FIND(";",LOOKUP(2,1/ISNUMBER(FIND(";",$D$25:P$25)),$D$25:P$25))+1,99))," ",""),"%%c","t"),"ø","t"),"φ","t"),"f","t"),"d","t")),$B$126)</f>
        <v/>
      </c>
      <c r="Q92">
        <f>IFERROR(IF(ISNUMBER(MID(LOOKUP(2,1/ISNUMBER(FIND(";",$D$25:P$25)),$D$25:P$25),FIND(";",LOOKUP(2,1/ISNUMBER(FIND(";",$D$25:P$25)),$D$25:P$25))+1,99)*1),LEFT($B$126,FIND("t",$B$126))&amp;MID(LOOKUP(2,1/ISNUMBER(FIND(";",$D$25:P$25)),$D$25:P$25),FIND(";",LOOKUP(2,1/ISNUMBER(FIND(";",$D$25:P$25)),$D$25:P$25))+1,99),SUBSTITUTE(SUBSTITUTE(SUBSTITUTE(SUBSTITUTE(SUBSTITUTE(SUBSTITUTE(LOWER(MID(LOOKUP(2,1/ISNUMBER(FIND(";",$D$25:P$25)),$D$25:P$25),FIND(";",LOOKUP(2,1/ISNUMBER(FIND(";",$D$25:P$25)),$D$25:P$25))+1,99))," ",""),"%%c","t"),"ø","t"),"φ","t"),"f","t"),"d","t")),$B$126)</f>
        <v/>
      </c>
      <c r="R92">
        <f>IFERROR(IF(ISNUMBER(MID(LOOKUP(2,1/ISNUMBER(FIND(";",$D$25:R$25)),$D$25:R$25),FIND(";",LOOKUP(2,1/ISNUMBER(FIND(";",$D$25:R$25)),$D$25:R$25))+1,99)*1),LEFT($B$126,FIND("t",$B$126))&amp;MID(LOOKUP(2,1/ISNUMBER(FIND(";",$D$25:R$25)),$D$25:R$25),FIND(";",LOOKUP(2,1/ISNUMBER(FIND(";",$D$25:R$25)),$D$25:R$25))+1,99),SUBSTITUTE(SUBSTITUTE(SUBSTITUTE(SUBSTITUTE(SUBSTITUTE(SUBSTITUTE(LOWER(MID(LOOKUP(2,1/ISNUMBER(FIND(";",$D$25:R$25)),$D$25:R$25),FIND(";",LOOKUP(2,1/ISNUMBER(FIND(";",$D$25:R$25)),$D$25:R$25))+1,99))," ",""),"%%c","t"),"ø","t"),"φ","t"),"f","t"),"d","t")),$B$126)</f>
        <v/>
      </c>
      <c r="S92">
        <f>IFERROR(IF(ISNUMBER(MID(LOOKUP(2,1/ISNUMBER(FIND(";",$D$25:R$25)),$D$25:R$25),FIND(";",LOOKUP(2,1/ISNUMBER(FIND(";",$D$25:R$25)),$D$25:R$25))+1,99)*1),LEFT($B$126,FIND("t",$B$126))&amp;MID(LOOKUP(2,1/ISNUMBER(FIND(";",$D$25:R$25)),$D$25:R$25),FIND(";",LOOKUP(2,1/ISNUMBER(FIND(";",$D$25:R$25)),$D$25:R$25))+1,99),SUBSTITUTE(SUBSTITUTE(SUBSTITUTE(SUBSTITUTE(SUBSTITUTE(SUBSTITUTE(LOWER(MID(LOOKUP(2,1/ISNUMBER(FIND(";",$D$25:R$25)),$D$25:R$25),FIND(";",LOOKUP(2,1/ISNUMBER(FIND(";",$D$25:R$25)),$D$25:R$25))+1,99))," ",""),"%%c","t"),"ø","t"),"φ","t"),"f","t"),"d","t")),$B$126)</f>
        <v/>
      </c>
      <c r="T92">
        <f>IFERROR(IF(ISNUMBER(MID(LOOKUP(2,1/ISNUMBER(FIND(";",$D$25:T$25)),$D$25:T$25),FIND(";",LOOKUP(2,1/ISNUMBER(FIND(";",$D$25:T$25)),$D$25:T$25))+1,99)*1),LEFT($B$126,FIND("t",$B$126))&amp;MID(LOOKUP(2,1/ISNUMBER(FIND(";",$D$25:T$25)),$D$25:T$25),FIND(";",LOOKUP(2,1/ISNUMBER(FIND(";",$D$25:T$25)),$D$25:T$25))+1,99),SUBSTITUTE(SUBSTITUTE(SUBSTITUTE(SUBSTITUTE(SUBSTITUTE(SUBSTITUTE(LOWER(MID(LOOKUP(2,1/ISNUMBER(FIND(";",$D$25:T$25)),$D$25:T$25),FIND(";",LOOKUP(2,1/ISNUMBER(FIND(";",$D$25:T$25)),$D$25:T$25))+1,99))," ",""),"%%c","t"),"ø","t"),"φ","t"),"f","t"),"d","t")),$B$126)</f>
        <v/>
      </c>
      <c r="U92">
        <f>IFERROR(IF(ISNUMBER(MID(LOOKUP(2,1/ISNUMBER(FIND(";",$D$25:T$25)),$D$25:T$25),FIND(";",LOOKUP(2,1/ISNUMBER(FIND(";",$D$25:T$25)),$D$25:T$25))+1,99)*1),LEFT($B$126,FIND("t",$B$126))&amp;MID(LOOKUP(2,1/ISNUMBER(FIND(";",$D$25:T$25)),$D$25:T$25),FIND(";",LOOKUP(2,1/ISNUMBER(FIND(";",$D$25:T$25)),$D$25:T$25))+1,99),SUBSTITUTE(SUBSTITUTE(SUBSTITUTE(SUBSTITUTE(SUBSTITUTE(SUBSTITUTE(LOWER(MID(LOOKUP(2,1/ISNUMBER(FIND(";",$D$25:T$25)),$D$25:T$25),FIND(";",LOOKUP(2,1/ISNUMBER(FIND(";",$D$25:T$25)),$D$25:T$25))+1,99))," ",""),"%%c","t"),"ø","t"),"φ","t"),"f","t"),"d","t")),$B$126)</f>
        <v/>
      </c>
      <c r="V92">
        <f>IFERROR(IF(ISNUMBER(MID(LOOKUP(2,1/ISNUMBER(FIND(";",$D$25:V$25)),$D$25:V$25),FIND(";",LOOKUP(2,1/ISNUMBER(FIND(";",$D$25:V$25)),$D$25:V$25))+1,99)*1),LEFT($B$126,FIND("t",$B$126))&amp;MID(LOOKUP(2,1/ISNUMBER(FIND(";",$D$25:V$25)),$D$25:V$25),FIND(";",LOOKUP(2,1/ISNUMBER(FIND(";",$D$25:V$25)),$D$25:V$25))+1,99),SUBSTITUTE(SUBSTITUTE(SUBSTITUTE(SUBSTITUTE(SUBSTITUTE(SUBSTITUTE(LOWER(MID(LOOKUP(2,1/ISNUMBER(FIND(";",$D$25:V$25)),$D$25:V$25),FIND(";",LOOKUP(2,1/ISNUMBER(FIND(";",$D$25:V$25)),$D$25:V$25))+1,99))," ",""),"%%c","t"),"ø","t"),"φ","t"),"f","t"),"d","t")),$B$126)</f>
        <v/>
      </c>
      <c r="W92">
        <f>IFERROR(IF(ISNUMBER(MID(LOOKUP(2,1/ISNUMBER(FIND(";",$D$25:V$25)),$D$25:V$25),FIND(";",LOOKUP(2,1/ISNUMBER(FIND(";",$D$25:V$25)),$D$25:V$25))+1,99)*1),LEFT($B$126,FIND("t",$B$126))&amp;MID(LOOKUP(2,1/ISNUMBER(FIND(";",$D$25:V$25)),$D$25:V$25),FIND(";",LOOKUP(2,1/ISNUMBER(FIND(";",$D$25:V$25)),$D$25:V$25))+1,99),SUBSTITUTE(SUBSTITUTE(SUBSTITUTE(SUBSTITUTE(SUBSTITUTE(SUBSTITUTE(LOWER(MID(LOOKUP(2,1/ISNUMBER(FIND(";",$D$25:V$25)),$D$25:V$25),FIND(";",LOOKUP(2,1/ISNUMBER(FIND(";",$D$25:V$25)),$D$25:V$25))+1,99))," ",""),"%%c","t"),"ø","t"),"φ","t"),"f","t"),"d","t")),$B$126)</f>
        <v/>
      </c>
      <c r="X92">
        <f>IFERROR(IF(ISNUMBER(MID(LOOKUP(2,1/ISNUMBER(FIND(";",$D$25:X$25)),$D$25:X$25),FIND(";",LOOKUP(2,1/ISNUMBER(FIND(";",$D$25:X$25)),$D$25:X$25))+1,99)*1),LEFT($B$126,FIND("t",$B$126))&amp;MID(LOOKUP(2,1/ISNUMBER(FIND(";",$D$25:X$25)),$D$25:X$25),FIND(";",LOOKUP(2,1/ISNUMBER(FIND(";",$D$25:X$25)),$D$25:X$25))+1,99),SUBSTITUTE(SUBSTITUTE(SUBSTITUTE(SUBSTITUTE(SUBSTITUTE(SUBSTITUTE(LOWER(MID(LOOKUP(2,1/ISNUMBER(FIND(";",$D$25:X$25)),$D$25:X$25),FIND(";",LOOKUP(2,1/ISNUMBER(FIND(";",$D$25:X$25)),$D$25:X$25))+1,99))," ",""),"%%c","t"),"ø","t"),"φ","t"),"f","t"),"d","t")),$B$126)</f>
        <v/>
      </c>
      <c r="Y92">
        <f>IFERROR(IF(ISNUMBER(MID(LOOKUP(2,1/ISNUMBER(FIND(";",$D$25:X$25)),$D$25:X$25),FIND(";",LOOKUP(2,1/ISNUMBER(FIND(";",$D$25:X$25)),$D$25:X$25))+1,99)*1),LEFT($B$126,FIND("t",$B$126))&amp;MID(LOOKUP(2,1/ISNUMBER(FIND(";",$D$25:X$25)),$D$25:X$25),FIND(";",LOOKUP(2,1/ISNUMBER(FIND(";",$D$25:X$25)),$D$25:X$25))+1,99),SUBSTITUTE(SUBSTITUTE(SUBSTITUTE(SUBSTITUTE(SUBSTITUTE(SUBSTITUTE(LOWER(MID(LOOKUP(2,1/ISNUMBER(FIND(";",$D$25:X$25)),$D$25:X$25),FIND(";",LOOKUP(2,1/ISNUMBER(FIND(";",$D$25:X$25)),$D$25:X$25))+1,99))," ",""),"%%c","t"),"ø","t"),"φ","t"),"f","t"),"d","t")),$B$126)</f>
        <v/>
      </c>
      <c r="Z92">
        <f>IFERROR(IF(ISNUMBER(MID(LOOKUP(2,1/ISNUMBER(FIND(";",$D$25:Z$25)),$D$25:Z$25),FIND(";",LOOKUP(2,1/ISNUMBER(FIND(";",$D$25:Z$25)),$D$25:Z$25))+1,99)*1),LEFT($B$126,FIND("t",$B$126))&amp;MID(LOOKUP(2,1/ISNUMBER(FIND(";",$D$25:Z$25)),$D$25:Z$25),FIND(";",LOOKUP(2,1/ISNUMBER(FIND(";",$D$25:Z$25)),$D$25:Z$25))+1,99),SUBSTITUTE(SUBSTITUTE(SUBSTITUTE(SUBSTITUTE(SUBSTITUTE(SUBSTITUTE(LOWER(MID(LOOKUP(2,1/ISNUMBER(FIND(";",$D$25:Z$25)),$D$25:Z$25),FIND(";",LOOKUP(2,1/ISNUMBER(FIND(";",$D$25:Z$25)),$D$25:Z$25))+1,99))," ",""),"%%c","t"),"ø","t"),"φ","t"),"f","t"),"d","t")),$B$126)</f>
        <v/>
      </c>
      <c r="AA92">
        <f>IFERROR(IF(ISNUMBER(MID(LOOKUP(2,1/ISNUMBER(FIND(";",$D$25:Z$25)),$D$25:Z$25),FIND(";",LOOKUP(2,1/ISNUMBER(FIND(";",$D$25:Z$25)),$D$25:Z$25))+1,99)*1),LEFT($B$126,FIND("t",$B$126))&amp;MID(LOOKUP(2,1/ISNUMBER(FIND(";",$D$25:Z$25)),$D$25:Z$25),FIND(";",LOOKUP(2,1/ISNUMBER(FIND(";",$D$25:Z$25)),$D$25:Z$25))+1,99),SUBSTITUTE(SUBSTITUTE(SUBSTITUTE(SUBSTITUTE(SUBSTITUTE(SUBSTITUTE(LOWER(MID(LOOKUP(2,1/ISNUMBER(FIND(";",$D$25:Z$25)),$D$25:Z$25),FIND(";",LOOKUP(2,1/ISNUMBER(FIND(";",$D$25:Z$25)),$D$25:Z$25))+1,99))," ",""),"%%c","t"),"ø","t"),"φ","t"),"f","t"),"d","t")),$B$126)</f>
        <v/>
      </c>
      <c r="AB92">
        <f>IFERROR(IF(ISNUMBER(MID(LOOKUP(2,1/ISNUMBER(FIND(";",$D$25:AB$25)),$D$25:AB$25),FIND(";",LOOKUP(2,1/ISNUMBER(FIND(";",$D$25:AB$25)),$D$25:AB$25))+1,99)*1),LEFT($B$126,FIND("t",$B$126))&amp;MID(LOOKUP(2,1/ISNUMBER(FIND(";",$D$25:AB$25)),$D$25:AB$25),FIND(";",LOOKUP(2,1/ISNUMBER(FIND(";",$D$25:AB$25)),$D$25:AB$25))+1,99),SUBSTITUTE(SUBSTITUTE(SUBSTITUTE(SUBSTITUTE(SUBSTITUTE(SUBSTITUTE(LOWER(MID(LOOKUP(2,1/ISNUMBER(FIND(";",$D$25:AB$25)),$D$25:AB$25),FIND(";",LOOKUP(2,1/ISNUMBER(FIND(";",$D$25:AB$25)),$D$25:AB$25))+1,99))," ",""),"%%c","t"),"ø","t"),"φ","t"),"f","t"),"d","t")),$B$126)</f>
        <v/>
      </c>
      <c r="AC92">
        <f>IFERROR(IF(ISNUMBER(MID(LOOKUP(2,1/ISNUMBER(FIND(";",$D$25:AB$25)),$D$25:AB$25),FIND(";",LOOKUP(2,1/ISNUMBER(FIND(";",$D$25:AB$25)),$D$25:AB$25))+1,99)*1),LEFT($B$126,FIND("t",$B$126))&amp;MID(LOOKUP(2,1/ISNUMBER(FIND(";",$D$25:AB$25)),$D$25:AB$25),FIND(";",LOOKUP(2,1/ISNUMBER(FIND(";",$D$25:AB$25)),$D$25:AB$25))+1,99),SUBSTITUTE(SUBSTITUTE(SUBSTITUTE(SUBSTITUTE(SUBSTITUTE(SUBSTITUTE(LOWER(MID(LOOKUP(2,1/ISNUMBER(FIND(";",$D$25:AB$25)),$D$25:AB$25),FIND(";",LOOKUP(2,1/ISNUMBER(FIND(";",$D$25:AB$25)),$D$25:AB$25))+1,99))," ",""),"%%c","t"),"ø","t"),"φ","t"),"f","t"),"d","t")),$B$126)</f>
        <v/>
      </c>
      <c r="AD92">
        <f>IFERROR(IF(ISNUMBER(MID(LOOKUP(2,1/ISNUMBER(FIND(";",$D$25:AD$25)),$D$25:AD$25),FIND(";",LOOKUP(2,1/ISNUMBER(FIND(";",$D$25:AD$25)),$D$25:AD$25))+1,99)*1),LEFT($B$126,FIND("t",$B$126))&amp;MID(LOOKUP(2,1/ISNUMBER(FIND(";",$D$25:AD$25)),$D$25:AD$25),FIND(";",LOOKUP(2,1/ISNUMBER(FIND(";",$D$25:AD$25)),$D$25:AD$25))+1,99),SUBSTITUTE(SUBSTITUTE(SUBSTITUTE(SUBSTITUTE(SUBSTITUTE(SUBSTITUTE(LOWER(MID(LOOKUP(2,1/ISNUMBER(FIND(";",$D$25:AD$25)),$D$25:AD$25),FIND(";",LOOKUP(2,1/ISNUMBER(FIND(";",$D$25:AD$25)),$D$25:AD$25))+1,99))," ",""),"%%c","t"),"ø","t"),"φ","t"),"f","t"),"d","t")),$B$126)</f>
        <v/>
      </c>
      <c r="AE92">
        <f>IFERROR(IF(ISNUMBER(MID(LOOKUP(2,1/ISNUMBER(FIND(";",$D$25:AD$25)),$D$25:AD$25),FIND(";",LOOKUP(2,1/ISNUMBER(FIND(";",$D$25:AD$25)),$D$25:AD$25))+1,99)*1),LEFT($B$126,FIND("t",$B$126))&amp;MID(LOOKUP(2,1/ISNUMBER(FIND(";",$D$25:AD$25)),$D$25:AD$25),FIND(";",LOOKUP(2,1/ISNUMBER(FIND(";",$D$25:AD$25)),$D$25:AD$25))+1,99),SUBSTITUTE(SUBSTITUTE(SUBSTITUTE(SUBSTITUTE(SUBSTITUTE(SUBSTITUTE(LOWER(MID(LOOKUP(2,1/ISNUMBER(FIND(";",$D$25:AD$25)),$D$25:AD$25),FIND(";",LOOKUP(2,1/ISNUMBER(FIND(";",$D$25:AD$25)),$D$25:AD$25))+1,99))," ",""),"%%c","t"),"ø","t"),"φ","t"),"f","t"),"d","t")),$B$126)</f>
        <v/>
      </c>
      <c r="AF92">
        <f>IFERROR(IF(ISNUMBER(MID(LOOKUP(2,1/ISNUMBER(FIND(";",$D$25:AF$25)),$D$25:AF$25),FIND(";",LOOKUP(2,1/ISNUMBER(FIND(";",$D$25:AF$25)),$D$25:AF$25))+1,99)*1),LEFT($B$126,FIND("t",$B$126))&amp;MID(LOOKUP(2,1/ISNUMBER(FIND(";",$D$25:AF$25)),$D$25:AF$25),FIND(";",LOOKUP(2,1/ISNUMBER(FIND(";",$D$25:AF$25)),$D$25:AF$25))+1,99),SUBSTITUTE(SUBSTITUTE(SUBSTITUTE(SUBSTITUTE(SUBSTITUTE(SUBSTITUTE(LOWER(MID(LOOKUP(2,1/ISNUMBER(FIND(";",$D$25:AF$25)),$D$25:AF$25),FIND(";",LOOKUP(2,1/ISNUMBER(FIND(";",$D$25:AF$25)),$D$25:AF$25))+1,99))," ",""),"%%c","t"),"ø","t"),"φ","t"),"f","t"),"d","t")),$B$126)</f>
        <v/>
      </c>
      <c r="AG92">
        <f>IFERROR(IF(ISNUMBER(MID(LOOKUP(2,1/ISNUMBER(FIND(";",$D$25:AF$25)),$D$25:AF$25),FIND(";",LOOKUP(2,1/ISNUMBER(FIND(";",$D$25:AF$25)),$D$25:AF$25))+1,99)*1),LEFT($B$126,FIND("t",$B$126))&amp;MID(LOOKUP(2,1/ISNUMBER(FIND(";",$D$25:AF$25)),$D$25:AF$25),FIND(";",LOOKUP(2,1/ISNUMBER(FIND(";",$D$25:AF$25)),$D$25:AF$25))+1,99),SUBSTITUTE(SUBSTITUTE(SUBSTITUTE(SUBSTITUTE(SUBSTITUTE(SUBSTITUTE(LOWER(MID(LOOKUP(2,1/ISNUMBER(FIND(";",$D$25:AF$25)),$D$25:AF$25),FIND(";",LOOKUP(2,1/ISNUMBER(FIND(";",$D$25:AF$25)),$D$25:AF$25))+1,99))," ",""),"%%c","t"),"ø","t"),"φ","t"),"f","t"),"d","t")),$B$126)</f>
        <v/>
      </c>
    </row>
    <row r="93" hidden="1" outlineLevel="1">
      <c r="A93" s="60" t="inlineStr">
        <is>
          <t>(phụ trợ) A_B0L</t>
        </is>
      </c>
      <c r="C93">
        <f>IFERROR(LEFT(LEFT(C92,FIND("+",C92&amp;"+")-1),FIND("t",LEFT(C92,FIND("+",C92&amp;"+")-1))-1)*MID(LEFT(C92,FIND("+",C92&amp;"+")-1),FIND("t",LEFT(C92,FIND("+",C92&amp;"+")-1))+1,2)^2*PI()/400,0)+IFERROR(LEFT(MID(C92,FIND("+",C92&amp;"+")+1,99),FIND("t",MID(C92,FIND("+",C92&amp;"+")+1,99))-1)*MID(MID(C92,FIND("+",C92&amp;"+")+1,99),FIND("t",MID(C92,FIND("+",C92&amp;"+")+1,99))+1,2)^2*PI()/400,0)</f>
        <v/>
      </c>
      <c r="D93">
        <f>IFERROR(LEFT(LEFT(D92,FIND("+",D92&amp;"+")-1),FIND("t",LEFT(D92,FIND("+",D92&amp;"+")-1))-1)*MID(LEFT(D92,FIND("+",D92&amp;"+")-1),FIND("t",LEFT(D92,FIND("+",D92&amp;"+")-1))+1,2)^2*PI()/400,0)+IFERROR(LEFT(MID(D92,FIND("+",D92&amp;"+")+1,99),FIND("t",MID(D92,FIND("+",D92&amp;"+")+1,99))-1)*MID(MID(D92,FIND("+",D92&amp;"+")+1,99),FIND("t",MID(D92,FIND("+",D92&amp;"+")+1,99))+1,2)^2*PI()/400,0)</f>
        <v/>
      </c>
      <c r="E93">
        <f>IFERROR(LEFT(LEFT(E92,FIND("+",E92&amp;"+")-1),FIND("t",LEFT(E92,FIND("+",E92&amp;"+")-1))-1)*MID(LEFT(E92,FIND("+",E92&amp;"+")-1),FIND("t",LEFT(E92,FIND("+",E92&amp;"+")-1))+1,2)^2*PI()/400,0)+IFERROR(LEFT(MID(E92,FIND("+",E92&amp;"+")+1,99),FIND("t",MID(E92,FIND("+",E92&amp;"+")+1,99))-1)*MID(MID(E92,FIND("+",E92&amp;"+")+1,99),FIND("t",MID(E92,FIND("+",E92&amp;"+")+1,99))+1,2)^2*PI()/400,0)</f>
        <v/>
      </c>
      <c r="F93">
        <f>IFERROR(LEFT(LEFT(F92,FIND("+",F92&amp;"+")-1),FIND("t",LEFT(F92,FIND("+",F92&amp;"+")-1))-1)*MID(LEFT(F92,FIND("+",F92&amp;"+")-1),FIND("t",LEFT(F92,FIND("+",F92&amp;"+")-1))+1,2)^2*PI()/400,0)+IFERROR(LEFT(MID(F92,FIND("+",F92&amp;"+")+1,99),FIND("t",MID(F92,FIND("+",F92&amp;"+")+1,99))-1)*MID(MID(F92,FIND("+",F92&amp;"+")+1,99),FIND("t",MID(F92,FIND("+",F92&amp;"+")+1,99))+1,2)^2*PI()/400,0)</f>
        <v/>
      </c>
      <c r="G93">
        <f>IFERROR(LEFT(LEFT(G92,FIND("+",G92&amp;"+")-1),FIND("t",LEFT(G92,FIND("+",G92&amp;"+")-1))-1)*MID(LEFT(G92,FIND("+",G92&amp;"+")-1),FIND("t",LEFT(G92,FIND("+",G92&amp;"+")-1))+1,2)^2*PI()/400,0)+IFERROR(LEFT(MID(G92,FIND("+",G92&amp;"+")+1,99),FIND("t",MID(G92,FIND("+",G92&amp;"+")+1,99))-1)*MID(MID(G92,FIND("+",G92&amp;"+")+1,99),FIND("t",MID(G92,FIND("+",G92&amp;"+")+1,99))+1,2)^2*PI()/400,0)</f>
        <v/>
      </c>
      <c r="H93">
        <f>IFERROR(LEFT(LEFT(H92,FIND("+",H92&amp;"+")-1),FIND("t",LEFT(H92,FIND("+",H92&amp;"+")-1))-1)*MID(LEFT(H92,FIND("+",H92&amp;"+")-1),FIND("t",LEFT(H92,FIND("+",H92&amp;"+")-1))+1,2)^2*PI()/400,0)+IFERROR(LEFT(MID(H92,FIND("+",H92&amp;"+")+1,99),FIND("t",MID(H92,FIND("+",H92&amp;"+")+1,99))-1)*MID(MID(H92,FIND("+",H92&amp;"+")+1,99),FIND("t",MID(H92,FIND("+",H92&amp;"+")+1,99))+1,2)^2*PI()/400,0)</f>
        <v/>
      </c>
      <c r="I93">
        <f>IFERROR(LEFT(LEFT(I92,FIND("+",I92&amp;"+")-1),FIND("t",LEFT(I92,FIND("+",I92&amp;"+")-1))-1)*MID(LEFT(I92,FIND("+",I92&amp;"+")-1),FIND("t",LEFT(I92,FIND("+",I92&amp;"+")-1))+1,2)^2*PI()/400,0)+IFERROR(LEFT(MID(I92,FIND("+",I92&amp;"+")+1,99),FIND("t",MID(I92,FIND("+",I92&amp;"+")+1,99))-1)*MID(MID(I92,FIND("+",I92&amp;"+")+1,99),FIND("t",MID(I92,FIND("+",I92&amp;"+")+1,99))+1,2)^2*PI()/400,0)</f>
        <v/>
      </c>
      <c r="J93">
        <f>IFERROR(LEFT(LEFT(J92,FIND("+",J92&amp;"+")-1),FIND("t",LEFT(J92,FIND("+",J92&amp;"+")-1))-1)*MID(LEFT(J92,FIND("+",J92&amp;"+")-1),FIND("t",LEFT(J92,FIND("+",J92&amp;"+")-1))+1,2)^2*PI()/400,0)+IFERROR(LEFT(MID(J92,FIND("+",J92&amp;"+")+1,99),FIND("t",MID(J92,FIND("+",J92&amp;"+")+1,99))-1)*MID(MID(J92,FIND("+",J92&amp;"+")+1,99),FIND("t",MID(J92,FIND("+",J92&amp;"+")+1,99))+1,2)^2*PI()/400,0)</f>
        <v/>
      </c>
      <c r="K93">
        <f>IFERROR(LEFT(LEFT(K92,FIND("+",K92&amp;"+")-1),FIND("t",LEFT(K92,FIND("+",K92&amp;"+")-1))-1)*MID(LEFT(K92,FIND("+",K92&amp;"+")-1),FIND("t",LEFT(K92,FIND("+",K92&amp;"+")-1))+1,2)^2*PI()/400,0)+IFERROR(LEFT(MID(K92,FIND("+",K92&amp;"+")+1,99),FIND("t",MID(K92,FIND("+",K92&amp;"+")+1,99))-1)*MID(MID(K92,FIND("+",K92&amp;"+")+1,99),FIND("t",MID(K92,FIND("+",K92&amp;"+")+1,99))+1,2)^2*PI()/400,0)</f>
        <v/>
      </c>
      <c r="L93">
        <f>IFERROR(LEFT(LEFT(L92,FIND("+",L92&amp;"+")-1),FIND("t",LEFT(L92,FIND("+",L92&amp;"+")-1))-1)*MID(LEFT(L92,FIND("+",L92&amp;"+")-1),FIND("t",LEFT(L92,FIND("+",L92&amp;"+")-1))+1,2)^2*PI()/400,0)+IFERROR(LEFT(MID(L92,FIND("+",L92&amp;"+")+1,99),FIND("t",MID(L92,FIND("+",L92&amp;"+")+1,99))-1)*MID(MID(L92,FIND("+",L92&amp;"+")+1,99),FIND("t",MID(L92,FIND("+",L92&amp;"+")+1,99))+1,2)^2*PI()/400,0)</f>
        <v/>
      </c>
      <c r="M93">
        <f>IFERROR(LEFT(LEFT(M92,FIND("+",M92&amp;"+")-1),FIND("t",LEFT(M92,FIND("+",M92&amp;"+")-1))-1)*MID(LEFT(M92,FIND("+",M92&amp;"+")-1),FIND("t",LEFT(M92,FIND("+",M92&amp;"+")-1))+1,2)^2*PI()/400,0)+IFERROR(LEFT(MID(M92,FIND("+",M92&amp;"+")+1,99),FIND("t",MID(M92,FIND("+",M92&amp;"+")+1,99))-1)*MID(MID(M92,FIND("+",M92&amp;"+")+1,99),FIND("t",MID(M92,FIND("+",M92&amp;"+")+1,99))+1,2)^2*PI()/400,0)</f>
        <v/>
      </c>
      <c r="N93">
        <f>IFERROR(LEFT(LEFT(N92,FIND("+",N92&amp;"+")-1),FIND("t",LEFT(N92,FIND("+",N92&amp;"+")-1))-1)*MID(LEFT(N92,FIND("+",N92&amp;"+")-1),FIND("t",LEFT(N92,FIND("+",N92&amp;"+")-1))+1,2)^2*PI()/400,0)+IFERROR(LEFT(MID(N92,FIND("+",N92&amp;"+")+1,99),FIND("t",MID(N92,FIND("+",N92&amp;"+")+1,99))-1)*MID(MID(N92,FIND("+",N92&amp;"+")+1,99),FIND("t",MID(N92,FIND("+",N92&amp;"+")+1,99))+1,2)^2*PI()/400,0)</f>
        <v/>
      </c>
      <c r="O93">
        <f>IFERROR(LEFT(LEFT(O92,FIND("+",O92&amp;"+")-1),FIND("t",LEFT(O92,FIND("+",O92&amp;"+")-1))-1)*MID(LEFT(O92,FIND("+",O92&amp;"+")-1),FIND("t",LEFT(O92,FIND("+",O92&amp;"+")-1))+1,2)^2*PI()/400,0)+IFERROR(LEFT(MID(O92,FIND("+",O92&amp;"+")+1,99),FIND("t",MID(O92,FIND("+",O92&amp;"+")+1,99))-1)*MID(MID(O92,FIND("+",O92&amp;"+")+1,99),FIND("t",MID(O92,FIND("+",O92&amp;"+")+1,99))+1,2)^2*PI()/400,0)</f>
        <v/>
      </c>
      <c r="P93">
        <f>IFERROR(LEFT(LEFT(P92,FIND("+",P92&amp;"+")-1),FIND("t",LEFT(P92,FIND("+",P92&amp;"+")-1))-1)*MID(LEFT(P92,FIND("+",P92&amp;"+")-1),FIND("t",LEFT(P92,FIND("+",P92&amp;"+")-1))+1,2)^2*PI()/400,0)+IFERROR(LEFT(MID(P92,FIND("+",P92&amp;"+")+1,99),FIND("t",MID(P92,FIND("+",P92&amp;"+")+1,99))-1)*MID(MID(P92,FIND("+",P92&amp;"+")+1,99),FIND("t",MID(P92,FIND("+",P92&amp;"+")+1,99))+1,2)^2*PI()/400,0)</f>
        <v/>
      </c>
      <c r="Q93">
        <f>IFERROR(LEFT(LEFT(Q92,FIND("+",Q92&amp;"+")-1),FIND("t",LEFT(Q92,FIND("+",Q92&amp;"+")-1))-1)*MID(LEFT(Q92,FIND("+",Q92&amp;"+")-1),FIND("t",LEFT(Q92,FIND("+",Q92&amp;"+")-1))+1,2)^2*PI()/400,0)+IFERROR(LEFT(MID(Q92,FIND("+",Q92&amp;"+")+1,99),FIND("t",MID(Q92,FIND("+",Q92&amp;"+")+1,99))-1)*MID(MID(Q92,FIND("+",Q92&amp;"+")+1,99),FIND("t",MID(Q92,FIND("+",Q92&amp;"+")+1,99))+1,2)^2*PI()/400,0)</f>
        <v/>
      </c>
      <c r="R93">
        <f>IFERROR(LEFT(LEFT(R92,FIND("+",R92&amp;"+")-1),FIND("t",LEFT(R92,FIND("+",R92&amp;"+")-1))-1)*MID(LEFT(R92,FIND("+",R92&amp;"+")-1),FIND("t",LEFT(R92,FIND("+",R92&amp;"+")-1))+1,2)^2*PI()/400,0)+IFERROR(LEFT(MID(R92,FIND("+",R92&amp;"+")+1,99),FIND("t",MID(R92,FIND("+",R92&amp;"+")+1,99))-1)*MID(MID(R92,FIND("+",R92&amp;"+")+1,99),FIND("t",MID(R92,FIND("+",R92&amp;"+")+1,99))+1,2)^2*PI()/400,0)</f>
        <v/>
      </c>
      <c r="S93">
        <f>IFERROR(LEFT(LEFT(S92,FIND("+",S92&amp;"+")-1),FIND("t",LEFT(S92,FIND("+",S92&amp;"+")-1))-1)*MID(LEFT(S92,FIND("+",S92&amp;"+")-1),FIND("t",LEFT(S92,FIND("+",S92&amp;"+")-1))+1,2)^2*PI()/400,0)+IFERROR(LEFT(MID(S92,FIND("+",S92&amp;"+")+1,99),FIND("t",MID(S92,FIND("+",S92&amp;"+")+1,99))-1)*MID(MID(S92,FIND("+",S92&amp;"+")+1,99),FIND("t",MID(S92,FIND("+",S92&amp;"+")+1,99))+1,2)^2*PI()/400,0)</f>
        <v/>
      </c>
      <c r="T93">
        <f>IFERROR(LEFT(LEFT(T92,FIND("+",T92&amp;"+")-1),FIND("t",LEFT(T92,FIND("+",T92&amp;"+")-1))-1)*MID(LEFT(T92,FIND("+",T92&amp;"+")-1),FIND("t",LEFT(T92,FIND("+",T92&amp;"+")-1))+1,2)^2*PI()/400,0)+IFERROR(LEFT(MID(T92,FIND("+",T92&amp;"+")+1,99),FIND("t",MID(T92,FIND("+",T92&amp;"+")+1,99))-1)*MID(MID(T92,FIND("+",T92&amp;"+")+1,99),FIND("t",MID(T92,FIND("+",T92&amp;"+")+1,99))+1,2)^2*PI()/400,0)</f>
        <v/>
      </c>
      <c r="U93">
        <f>IFERROR(LEFT(LEFT(U92,FIND("+",U92&amp;"+")-1),FIND("t",LEFT(U92,FIND("+",U92&amp;"+")-1))-1)*MID(LEFT(U92,FIND("+",U92&amp;"+")-1),FIND("t",LEFT(U92,FIND("+",U92&amp;"+")-1))+1,2)^2*PI()/400,0)+IFERROR(LEFT(MID(U92,FIND("+",U92&amp;"+")+1,99),FIND("t",MID(U92,FIND("+",U92&amp;"+")+1,99))-1)*MID(MID(U92,FIND("+",U92&amp;"+")+1,99),FIND("t",MID(U92,FIND("+",U92&amp;"+")+1,99))+1,2)^2*PI()/400,0)</f>
        <v/>
      </c>
      <c r="V93">
        <f>IFERROR(LEFT(LEFT(V92,FIND("+",V92&amp;"+")-1),FIND("t",LEFT(V92,FIND("+",V92&amp;"+")-1))-1)*MID(LEFT(V92,FIND("+",V92&amp;"+")-1),FIND("t",LEFT(V92,FIND("+",V92&amp;"+")-1))+1,2)^2*PI()/400,0)+IFERROR(LEFT(MID(V92,FIND("+",V92&amp;"+")+1,99),FIND("t",MID(V92,FIND("+",V92&amp;"+")+1,99))-1)*MID(MID(V92,FIND("+",V92&amp;"+")+1,99),FIND("t",MID(V92,FIND("+",V92&amp;"+")+1,99))+1,2)^2*PI()/400,0)</f>
        <v/>
      </c>
      <c r="W93">
        <f>IFERROR(LEFT(LEFT(W92,FIND("+",W92&amp;"+")-1),FIND("t",LEFT(W92,FIND("+",W92&amp;"+")-1))-1)*MID(LEFT(W92,FIND("+",W92&amp;"+")-1),FIND("t",LEFT(W92,FIND("+",W92&amp;"+")-1))+1,2)^2*PI()/400,0)+IFERROR(LEFT(MID(W92,FIND("+",W92&amp;"+")+1,99),FIND("t",MID(W92,FIND("+",W92&amp;"+")+1,99))-1)*MID(MID(W92,FIND("+",W92&amp;"+")+1,99),FIND("t",MID(W92,FIND("+",W92&amp;"+")+1,99))+1,2)^2*PI()/400,0)</f>
        <v/>
      </c>
      <c r="X93">
        <f>IFERROR(LEFT(LEFT(X92,FIND("+",X92&amp;"+")-1),FIND("t",LEFT(X92,FIND("+",X92&amp;"+")-1))-1)*MID(LEFT(X92,FIND("+",X92&amp;"+")-1),FIND("t",LEFT(X92,FIND("+",X92&amp;"+")-1))+1,2)^2*PI()/400,0)+IFERROR(LEFT(MID(X92,FIND("+",X92&amp;"+")+1,99),FIND("t",MID(X92,FIND("+",X92&amp;"+")+1,99))-1)*MID(MID(X92,FIND("+",X92&amp;"+")+1,99),FIND("t",MID(X92,FIND("+",X92&amp;"+")+1,99))+1,2)^2*PI()/400,0)</f>
        <v/>
      </c>
      <c r="Y93">
        <f>IFERROR(LEFT(LEFT(Y92,FIND("+",Y92&amp;"+")-1),FIND("t",LEFT(Y92,FIND("+",Y92&amp;"+")-1))-1)*MID(LEFT(Y92,FIND("+",Y92&amp;"+")-1),FIND("t",LEFT(Y92,FIND("+",Y92&amp;"+")-1))+1,2)^2*PI()/400,0)+IFERROR(LEFT(MID(Y92,FIND("+",Y92&amp;"+")+1,99),FIND("t",MID(Y92,FIND("+",Y92&amp;"+")+1,99))-1)*MID(MID(Y92,FIND("+",Y92&amp;"+")+1,99),FIND("t",MID(Y92,FIND("+",Y92&amp;"+")+1,99))+1,2)^2*PI()/400,0)</f>
        <v/>
      </c>
      <c r="Z93">
        <f>IFERROR(LEFT(LEFT(Z92,FIND("+",Z92&amp;"+")-1),FIND("t",LEFT(Z92,FIND("+",Z92&amp;"+")-1))-1)*MID(LEFT(Z92,FIND("+",Z92&amp;"+")-1),FIND("t",LEFT(Z92,FIND("+",Z92&amp;"+")-1))+1,2)^2*PI()/400,0)+IFERROR(LEFT(MID(Z92,FIND("+",Z92&amp;"+")+1,99),FIND("t",MID(Z92,FIND("+",Z92&amp;"+")+1,99))-1)*MID(MID(Z92,FIND("+",Z92&amp;"+")+1,99),FIND("t",MID(Z92,FIND("+",Z92&amp;"+")+1,99))+1,2)^2*PI()/400,0)</f>
        <v/>
      </c>
      <c r="AA93">
        <f>IFERROR(LEFT(LEFT(AA92,FIND("+",AA92&amp;"+")-1),FIND("t",LEFT(AA92,FIND("+",AA92&amp;"+")-1))-1)*MID(LEFT(AA92,FIND("+",AA92&amp;"+")-1),FIND("t",LEFT(AA92,FIND("+",AA92&amp;"+")-1))+1,2)^2*PI()/400,0)+IFERROR(LEFT(MID(AA92,FIND("+",AA92&amp;"+")+1,99),FIND("t",MID(AA92,FIND("+",AA92&amp;"+")+1,99))-1)*MID(MID(AA92,FIND("+",AA92&amp;"+")+1,99),FIND("t",MID(AA92,FIND("+",AA92&amp;"+")+1,99))+1,2)^2*PI()/400,0)</f>
        <v/>
      </c>
      <c r="AB93">
        <f>IFERROR(LEFT(LEFT(AB92,FIND("+",AB92&amp;"+")-1),FIND("t",LEFT(AB92,FIND("+",AB92&amp;"+")-1))-1)*MID(LEFT(AB92,FIND("+",AB92&amp;"+")-1),FIND("t",LEFT(AB92,FIND("+",AB92&amp;"+")-1))+1,2)^2*PI()/400,0)+IFERROR(LEFT(MID(AB92,FIND("+",AB92&amp;"+")+1,99),FIND("t",MID(AB92,FIND("+",AB92&amp;"+")+1,99))-1)*MID(MID(AB92,FIND("+",AB92&amp;"+")+1,99),FIND("t",MID(AB92,FIND("+",AB92&amp;"+")+1,99))+1,2)^2*PI()/400,0)</f>
        <v/>
      </c>
      <c r="AC93">
        <f>IFERROR(LEFT(LEFT(AC92,FIND("+",AC92&amp;"+")-1),FIND("t",LEFT(AC92,FIND("+",AC92&amp;"+")-1))-1)*MID(LEFT(AC92,FIND("+",AC92&amp;"+")-1),FIND("t",LEFT(AC92,FIND("+",AC92&amp;"+")-1))+1,2)^2*PI()/400,0)+IFERROR(LEFT(MID(AC92,FIND("+",AC92&amp;"+")+1,99),FIND("t",MID(AC92,FIND("+",AC92&amp;"+")+1,99))-1)*MID(MID(AC92,FIND("+",AC92&amp;"+")+1,99),FIND("t",MID(AC92,FIND("+",AC92&amp;"+")+1,99))+1,2)^2*PI()/400,0)</f>
        <v/>
      </c>
      <c r="AD93">
        <f>IFERROR(LEFT(LEFT(AD92,FIND("+",AD92&amp;"+")-1),FIND("t",LEFT(AD92,FIND("+",AD92&amp;"+")-1))-1)*MID(LEFT(AD92,FIND("+",AD92&amp;"+")-1),FIND("t",LEFT(AD92,FIND("+",AD92&amp;"+")-1))+1,2)^2*PI()/400,0)+IFERROR(LEFT(MID(AD92,FIND("+",AD92&amp;"+")+1,99),FIND("t",MID(AD92,FIND("+",AD92&amp;"+")+1,99))-1)*MID(MID(AD92,FIND("+",AD92&amp;"+")+1,99),FIND("t",MID(AD92,FIND("+",AD92&amp;"+")+1,99))+1,2)^2*PI()/400,0)</f>
        <v/>
      </c>
      <c r="AE93">
        <f>IFERROR(LEFT(LEFT(AE92,FIND("+",AE92&amp;"+")-1),FIND("t",LEFT(AE92,FIND("+",AE92&amp;"+")-1))-1)*MID(LEFT(AE92,FIND("+",AE92&amp;"+")-1),FIND("t",LEFT(AE92,FIND("+",AE92&amp;"+")-1))+1,2)^2*PI()/400,0)+IFERROR(LEFT(MID(AE92,FIND("+",AE92&amp;"+")+1,99),FIND("t",MID(AE92,FIND("+",AE92&amp;"+")+1,99))-1)*MID(MID(AE92,FIND("+",AE92&amp;"+")+1,99),FIND("t",MID(AE92,FIND("+",AE92&amp;"+")+1,99))+1,2)^2*PI()/400,0)</f>
        <v/>
      </c>
      <c r="AF93">
        <f>IFERROR(LEFT(LEFT(AF92,FIND("+",AF92&amp;"+")-1),FIND("t",LEFT(AF92,FIND("+",AF92&amp;"+")-1))-1)*MID(LEFT(AF92,FIND("+",AF92&amp;"+")-1),FIND("t",LEFT(AF92,FIND("+",AF92&amp;"+")-1))+1,2)^2*PI()/400,0)+IFERROR(LEFT(MID(AF92,FIND("+",AF92&amp;"+")+1,99),FIND("t",MID(AF92,FIND("+",AF92&amp;"+")+1,99))-1)*MID(MID(AF92,FIND("+",AF92&amp;"+")+1,99),FIND("t",MID(AF92,FIND("+",AF92&amp;"+")+1,99))+1,2)^2*PI()/400,0)</f>
        <v/>
      </c>
      <c r="AG93">
        <f>IFERROR(LEFT(LEFT(AG92,FIND("+",AG92&amp;"+")-1),FIND("t",LEFT(AG92,FIND("+",AG92&amp;"+")-1))-1)*MID(LEFT(AG92,FIND("+",AG92&amp;"+")-1),FIND("t",LEFT(AG92,FIND("+",AG92&amp;"+")-1))+1,2)^2*PI()/400,0)+IFERROR(LEFT(MID(AG92,FIND("+",AG92&amp;"+")+1,99),FIND("t",MID(AG92,FIND("+",AG92&amp;"+")+1,99))-1)*MID(MID(AG92,FIND("+",AG92&amp;"+")+1,99),FIND("t",MID(AG92,FIND("+",AG92&amp;"+")+1,99))+1,2)^2*PI()/400,0)</f>
        <v/>
      </c>
    </row>
    <row r="94" hidden="1" outlineLevel="1">
      <c r="A94" s="60" t="inlineStr">
        <is>
          <t>(phụ trợ) N_B0R</t>
        </is>
      </c>
      <c r="C94">
        <f>IFERROR(IF(ISNUMBER(MID(LOOKUP(2,1/ISNUMBER(FIND(";",$D$25:D$25)),$D$25:D$25),FIND(";",LOOKUP(2,1/ISNUMBER(FIND(";",$D$25:D$25)),$D$25:D$25))+1,99)*1),LEFT($B$126,FIND("t",$B$126))&amp;MID(LOOKUP(2,1/ISNUMBER(FIND(";",$D$25:D$25)),$D$25:D$25),FIND(";",LOOKUP(2,1/ISNUMBER(FIND(";",$D$25:D$25)),$D$25:D$25))+1,99),SUBSTITUTE(SUBSTITUTE(SUBSTITUTE(SUBSTITUTE(SUBSTITUTE(SUBSTITUTE(LOWER(MID(LOOKUP(2,1/ISNUMBER(FIND(";",$D$25:D$25)),$D$25:D$25),FIND(";",LOOKUP(2,1/ISNUMBER(FIND(";",$D$25:D$25)),$D$25:D$25))+1,99))," ",""),"%%c","t"),"ø","t"),"φ","t"),"f","t"),"d","t")),$B$126)</f>
        <v/>
      </c>
      <c r="D94">
        <f>IFERROR(IF(ISNUMBER(MID(LOOKUP(2,1/ISNUMBER(FIND(";",$D$25:D$25)),$D$25:D$25),FIND(";",LOOKUP(2,1/ISNUMBER(FIND(";",$D$25:D$25)),$D$25:D$25))+1,99)*1),LEFT($B$126,FIND("t",$B$126))&amp;MID(LOOKUP(2,1/ISNUMBER(FIND(";",$D$25:D$25)),$D$25:D$25),FIND(";",LOOKUP(2,1/ISNUMBER(FIND(";",$D$25:D$25)),$D$25:D$25))+1,99),SUBSTITUTE(SUBSTITUTE(SUBSTITUTE(SUBSTITUTE(SUBSTITUTE(SUBSTITUTE(LOWER(MID(LOOKUP(2,1/ISNUMBER(FIND(";",$D$25:D$25)),$D$25:D$25),FIND(";",LOOKUP(2,1/ISNUMBER(FIND(";",$D$25:D$25)),$D$25:D$25))+1,99))," ",""),"%%c","t"),"ø","t"),"φ","t"),"f","t"),"d","t")),$B$126)</f>
        <v/>
      </c>
      <c r="E94">
        <f>IFERROR(IF(ISNUMBER(MID(LOOKUP(2,1/ISNUMBER(FIND(";",$D$25:F$25)),$D$25:F$25),FIND(";",LOOKUP(2,1/ISNUMBER(FIND(";",$D$25:F$25)),$D$25:F$25))+1,99)*1),LEFT($B$126,FIND("t",$B$126))&amp;MID(LOOKUP(2,1/ISNUMBER(FIND(";",$D$25:F$25)),$D$25:F$25),FIND(";",LOOKUP(2,1/ISNUMBER(FIND(";",$D$25:F$25)),$D$25:F$25))+1,99),SUBSTITUTE(SUBSTITUTE(SUBSTITUTE(SUBSTITUTE(SUBSTITUTE(SUBSTITUTE(LOWER(MID(LOOKUP(2,1/ISNUMBER(FIND(";",$D$25:F$25)),$D$25:F$25),FIND(";",LOOKUP(2,1/ISNUMBER(FIND(";",$D$25:F$25)),$D$25:F$25))+1,99))," ",""),"%%c","t"),"ø","t"),"φ","t"),"f","t"),"d","t")),$B$126)</f>
        <v/>
      </c>
      <c r="F94">
        <f>IFERROR(IF(ISNUMBER(MID(LOOKUP(2,1/ISNUMBER(FIND(";",$D$25:F$25)),$D$25:F$25),FIND(";",LOOKUP(2,1/ISNUMBER(FIND(";",$D$25:F$25)),$D$25:F$25))+1,99)*1),LEFT($B$126,FIND("t",$B$126))&amp;MID(LOOKUP(2,1/ISNUMBER(FIND(";",$D$25:F$25)),$D$25:F$25),FIND(";",LOOKUP(2,1/ISNUMBER(FIND(";",$D$25:F$25)),$D$25:F$25))+1,99),SUBSTITUTE(SUBSTITUTE(SUBSTITUTE(SUBSTITUTE(SUBSTITUTE(SUBSTITUTE(LOWER(MID(LOOKUP(2,1/ISNUMBER(FIND(";",$D$25:F$25)),$D$25:F$25),FIND(";",LOOKUP(2,1/ISNUMBER(FIND(";",$D$25:F$25)),$D$25:F$25))+1,99))," ",""),"%%c","t"),"ø","t"),"φ","t"),"f","t"),"d","t")),$B$126)</f>
        <v/>
      </c>
      <c r="G94">
        <f>IFERROR(IF(ISNUMBER(MID(LOOKUP(2,1/ISNUMBER(FIND(";",$D$25:H$25)),$D$25:H$25),FIND(";",LOOKUP(2,1/ISNUMBER(FIND(";",$D$25:H$25)),$D$25:H$25))+1,99)*1),LEFT($B$126,FIND("t",$B$126))&amp;MID(LOOKUP(2,1/ISNUMBER(FIND(";",$D$25:H$25)),$D$25:H$25),FIND(";",LOOKUP(2,1/ISNUMBER(FIND(";",$D$25:H$25)),$D$25:H$25))+1,99),SUBSTITUTE(SUBSTITUTE(SUBSTITUTE(SUBSTITUTE(SUBSTITUTE(SUBSTITUTE(LOWER(MID(LOOKUP(2,1/ISNUMBER(FIND(";",$D$25:H$25)),$D$25:H$25),FIND(";",LOOKUP(2,1/ISNUMBER(FIND(";",$D$25:H$25)),$D$25:H$25))+1,99))," ",""),"%%c","t"),"ø","t"),"φ","t"),"f","t"),"d","t")),$B$126)</f>
        <v/>
      </c>
      <c r="H94">
        <f>IFERROR(IF(ISNUMBER(MID(LOOKUP(2,1/ISNUMBER(FIND(";",$D$25:H$25)),$D$25:H$25),FIND(";",LOOKUP(2,1/ISNUMBER(FIND(";",$D$25:H$25)),$D$25:H$25))+1,99)*1),LEFT($B$126,FIND("t",$B$126))&amp;MID(LOOKUP(2,1/ISNUMBER(FIND(";",$D$25:H$25)),$D$25:H$25),FIND(";",LOOKUP(2,1/ISNUMBER(FIND(";",$D$25:H$25)),$D$25:H$25))+1,99),SUBSTITUTE(SUBSTITUTE(SUBSTITUTE(SUBSTITUTE(SUBSTITUTE(SUBSTITUTE(LOWER(MID(LOOKUP(2,1/ISNUMBER(FIND(";",$D$25:H$25)),$D$25:H$25),FIND(";",LOOKUP(2,1/ISNUMBER(FIND(";",$D$25:H$25)),$D$25:H$25))+1,99))," ",""),"%%c","t"),"ø","t"),"φ","t"),"f","t"),"d","t")),$B$126)</f>
        <v/>
      </c>
      <c r="I94">
        <f>IFERROR(IF(ISNUMBER(MID(LOOKUP(2,1/ISNUMBER(FIND(";",$D$25:J$25)),$D$25:J$25),FIND(";",LOOKUP(2,1/ISNUMBER(FIND(";",$D$25:J$25)),$D$25:J$25))+1,99)*1),LEFT($B$126,FIND("t",$B$126))&amp;MID(LOOKUP(2,1/ISNUMBER(FIND(";",$D$25:J$25)),$D$25:J$25),FIND(";",LOOKUP(2,1/ISNUMBER(FIND(";",$D$25:J$25)),$D$25:J$25))+1,99),SUBSTITUTE(SUBSTITUTE(SUBSTITUTE(SUBSTITUTE(SUBSTITUTE(SUBSTITUTE(LOWER(MID(LOOKUP(2,1/ISNUMBER(FIND(";",$D$25:J$25)),$D$25:J$25),FIND(";",LOOKUP(2,1/ISNUMBER(FIND(";",$D$25:J$25)),$D$25:J$25))+1,99))," ",""),"%%c","t"),"ø","t"),"φ","t"),"f","t"),"d","t")),$B$126)</f>
        <v/>
      </c>
      <c r="J94">
        <f>IFERROR(IF(ISNUMBER(MID(LOOKUP(2,1/ISNUMBER(FIND(";",$D$25:J$25)),$D$25:J$25),FIND(";",LOOKUP(2,1/ISNUMBER(FIND(";",$D$25:J$25)),$D$25:J$25))+1,99)*1),LEFT($B$126,FIND("t",$B$126))&amp;MID(LOOKUP(2,1/ISNUMBER(FIND(";",$D$25:J$25)),$D$25:J$25),FIND(";",LOOKUP(2,1/ISNUMBER(FIND(";",$D$25:J$25)),$D$25:J$25))+1,99),SUBSTITUTE(SUBSTITUTE(SUBSTITUTE(SUBSTITUTE(SUBSTITUTE(SUBSTITUTE(LOWER(MID(LOOKUP(2,1/ISNUMBER(FIND(";",$D$25:J$25)),$D$25:J$25),FIND(";",LOOKUP(2,1/ISNUMBER(FIND(";",$D$25:J$25)),$D$25:J$25))+1,99))," ",""),"%%c","t"),"ø","t"),"φ","t"),"f","t"),"d","t")),$B$126)</f>
        <v/>
      </c>
      <c r="K94">
        <f>IFERROR(IF(ISNUMBER(MID(LOOKUP(2,1/ISNUMBER(FIND(";",$D$25:L$25)),$D$25:L$25),FIND(";",LOOKUP(2,1/ISNUMBER(FIND(";",$D$25:L$25)),$D$25:L$25))+1,99)*1),LEFT($B$126,FIND("t",$B$126))&amp;MID(LOOKUP(2,1/ISNUMBER(FIND(";",$D$25:L$25)),$D$25:L$25),FIND(";",LOOKUP(2,1/ISNUMBER(FIND(";",$D$25:L$25)),$D$25:L$25))+1,99),SUBSTITUTE(SUBSTITUTE(SUBSTITUTE(SUBSTITUTE(SUBSTITUTE(SUBSTITUTE(LOWER(MID(LOOKUP(2,1/ISNUMBER(FIND(";",$D$25:L$25)),$D$25:L$25),FIND(";",LOOKUP(2,1/ISNUMBER(FIND(";",$D$25:L$25)),$D$25:L$25))+1,99))," ",""),"%%c","t"),"ø","t"),"φ","t"),"f","t"),"d","t")),$B$126)</f>
        <v/>
      </c>
      <c r="L94">
        <f>IFERROR(IF(ISNUMBER(MID(LOOKUP(2,1/ISNUMBER(FIND(";",$D$25:L$25)),$D$25:L$25),FIND(";",LOOKUP(2,1/ISNUMBER(FIND(";",$D$25:L$25)),$D$25:L$25))+1,99)*1),LEFT($B$126,FIND("t",$B$126))&amp;MID(LOOKUP(2,1/ISNUMBER(FIND(";",$D$25:L$25)),$D$25:L$25),FIND(";",LOOKUP(2,1/ISNUMBER(FIND(";",$D$25:L$25)),$D$25:L$25))+1,99),SUBSTITUTE(SUBSTITUTE(SUBSTITUTE(SUBSTITUTE(SUBSTITUTE(SUBSTITUTE(LOWER(MID(LOOKUP(2,1/ISNUMBER(FIND(";",$D$25:L$25)),$D$25:L$25),FIND(";",LOOKUP(2,1/ISNUMBER(FIND(";",$D$25:L$25)),$D$25:L$25))+1,99))," ",""),"%%c","t"),"ø","t"),"φ","t"),"f","t"),"d","t")),$B$126)</f>
        <v/>
      </c>
      <c r="M94">
        <f>IFERROR(IF(ISNUMBER(MID(LOOKUP(2,1/ISNUMBER(FIND(";",$D$25:N$25)),$D$25:N$25),FIND(";",LOOKUP(2,1/ISNUMBER(FIND(";",$D$25:N$25)),$D$25:N$25))+1,99)*1),LEFT($B$126,FIND("t",$B$126))&amp;MID(LOOKUP(2,1/ISNUMBER(FIND(";",$D$25:N$25)),$D$25:N$25),FIND(";",LOOKUP(2,1/ISNUMBER(FIND(";",$D$25:N$25)),$D$25:N$25))+1,99),SUBSTITUTE(SUBSTITUTE(SUBSTITUTE(SUBSTITUTE(SUBSTITUTE(SUBSTITUTE(LOWER(MID(LOOKUP(2,1/ISNUMBER(FIND(";",$D$25:N$25)),$D$25:N$25),FIND(";",LOOKUP(2,1/ISNUMBER(FIND(";",$D$25:N$25)),$D$25:N$25))+1,99))," ",""),"%%c","t"),"ø","t"),"φ","t"),"f","t"),"d","t")),$B$126)</f>
        <v/>
      </c>
      <c r="N94">
        <f>IFERROR(IF(ISNUMBER(MID(LOOKUP(2,1/ISNUMBER(FIND(";",$D$25:N$25)),$D$25:N$25),FIND(";",LOOKUP(2,1/ISNUMBER(FIND(";",$D$25:N$25)),$D$25:N$25))+1,99)*1),LEFT($B$126,FIND("t",$B$126))&amp;MID(LOOKUP(2,1/ISNUMBER(FIND(";",$D$25:N$25)),$D$25:N$25),FIND(";",LOOKUP(2,1/ISNUMBER(FIND(";",$D$25:N$25)),$D$25:N$25))+1,99),SUBSTITUTE(SUBSTITUTE(SUBSTITUTE(SUBSTITUTE(SUBSTITUTE(SUBSTITUTE(LOWER(MID(LOOKUP(2,1/ISNUMBER(FIND(";",$D$25:N$25)),$D$25:N$25),FIND(";",LOOKUP(2,1/ISNUMBER(FIND(";",$D$25:N$25)),$D$25:N$25))+1,99))," ",""),"%%c","t"),"ø","t"),"φ","t"),"f","t"),"d","t")),$B$126)</f>
        <v/>
      </c>
      <c r="O94">
        <f>IFERROR(IF(ISNUMBER(MID(LOOKUP(2,1/ISNUMBER(FIND(";",$D$25:P$25)),$D$25:P$25),FIND(";",LOOKUP(2,1/ISNUMBER(FIND(";",$D$25:P$25)),$D$25:P$25))+1,99)*1),LEFT($B$126,FIND("t",$B$126))&amp;MID(LOOKUP(2,1/ISNUMBER(FIND(";",$D$25:P$25)),$D$25:P$25),FIND(";",LOOKUP(2,1/ISNUMBER(FIND(";",$D$25:P$25)),$D$25:P$25))+1,99),SUBSTITUTE(SUBSTITUTE(SUBSTITUTE(SUBSTITUTE(SUBSTITUTE(SUBSTITUTE(LOWER(MID(LOOKUP(2,1/ISNUMBER(FIND(";",$D$25:P$25)),$D$25:P$25),FIND(";",LOOKUP(2,1/ISNUMBER(FIND(";",$D$25:P$25)),$D$25:P$25))+1,99))," ",""),"%%c","t"),"ø","t"),"φ","t"),"f","t"),"d","t")),$B$126)</f>
        <v/>
      </c>
      <c r="P94">
        <f>IFERROR(IF(ISNUMBER(MID(LOOKUP(2,1/ISNUMBER(FIND(";",$D$25:P$25)),$D$25:P$25),FIND(";",LOOKUP(2,1/ISNUMBER(FIND(";",$D$25:P$25)),$D$25:P$25))+1,99)*1),LEFT($B$126,FIND("t",$B$126))&amp;MID(LOOKUP(2,1/ISNUMBER(FIND(";",$D$25:P$25)),$D$25:P$25),FIND(";",LOOKUP(2,1/ISNUMBER(FIND(";",$D$25:P$25)),$D$25:P$25))+1,99),SUBSTITUTE(SUBSTITUTE(SUBSTITUTE(SUBSTITUTE(SUBSTITUTE(SUBSTITUTE(LOWER(MID(LOOKUP(2,1/ISNUMBER(FIND(";",$D$25:P$25)),$D$25:P$25),FIND(";",LOOKUP(2,1/ISNUMBER(FIND(";",$D$25:P$25)),$D$25:P$25))+1,99))," ",""),"%%c","t"),"ø","t"),"φ","t"),"f","t"),"d","t")),$B$126)</f>
        <v/>
      </c>
      <c r="Q94">
        <f>IFERROR(IF(ISNUMBER(MID(LOOKUP(2,1/ISNUMBER(FIND(";",$D$25:R$25)),$D$25:R$25),FIND(";",LOOKUP(2,1/ISNUMBER(FIND(";",$D$25:R$25)),$D$25:R$25))+1,99)*1),LEFT($B$126,FIND("t",$B$126))&amp;MID(LOOKUP(2,1/ISNUMBER(FIND(";",$D$25:R$25)),$D$25:R$25),FIND(";",LOOKUP(2,1/ISNUMBER(FIND(";",$D$25:R$25)),$D$25:R$25))+1,99),SUBSTITUTE(SUBSTITUTE(SUBSTITUTE(SUBSTITUTE(SUBSTITUTE(SUBSTITUTE(LOWER(MID(LOOKUP(2,1/ISNUMBER(FIND(";",$D$25:R$25)),$D$25:R$25),FIND(";",LOOKUP(2,1/ISNUMBER(FIND(";",$D$25:R$25)),$D$25:R$25))+1,99))," ",""),"%%c","t"),"ø","t"),"φ","t"),"f","t"),"d","t")),$B$126)</f>
        <v/>
      </c>
      <c r="R94">
        <f>IFERROR(IF(ISNUMBER(MID(LOOKUP(2,1/ISNUMBER(FIND(";",$D$25:R$25)),$D$25:R$25),FIND(";",LOOKUP(2,1/ISNUMBER(FIND(";",$D$25:R$25)),$D$25:R$25))+1,99)*1),LEFT($B$126,FIND("t",$B$126))&amp;MID(LOOKUP(2,1/ISNUMBER(FIND(";",$D$25:R$25)),$D$25:R$25),FIND(";",LOOKUP(2,1/ISNUMBER(FIND(";",$D$25:R$25)),$D$25:R$25))+1,99),SUBSTITUTE(SUBSTITUTE(SUBSTITUTE(SUBSTITUTE(SUBSTITUTE(SUBSTITUTE(LOWER(MID(LOOKUP(2,1/ISNUMBER(FIND(";",$D$25:R$25)),$D$25:R$25),FIND(";",LOOKUP(2,1/ISNUMBER(FIND(";",$D$25:R$25)),$D$25:R$25))+1,99))," ",""),"%%c","t"),"ø","t"),"φ","t"),"f","t"),"d","t")),$B$126)</f>
        <v/>
      </c>
      <c r="S94">
        <f>IFERROR(IF(ISNUMBER(MID(LOOKUP(2,1/ISNUMBER(FIND(";",$D$25:T$25)),$D$25:T$25),FIND(";",LOOKUP(2,1/ISNUMBER(FIND(";",$D$25:T$25)),$D$25:T$25))+1,99)*1),LEFT($B$126,FIND("t",$B$126))&amp;MID(LOOKUP(2,1/ISNUMBER(FIND(";",$D$25:T$25)),$D$25:T$25),FIND(";",LOOKUP(2,1/ISNUMBER(FIND(";",$D$25:T$25)),$D$25:T$25))+1,99),SUBSTITUTE(SUBSTITUTE(SUBSTITUTE(SUBSTITUTE(SUBSTITUTE(SUBSTITUTE(LOWER(MID(LOOKUP(2,1/ISNUMBER(FIND(";",$D$25:T$25)),$D$25:T$25),FIND(";",LOOKUP(2,1/ISNUMBER(FIND(";",$D$25:T$25)),$D$25:T$25))+1,99))," ",""),"%%c","t"),"ø","t"),"φ","t"),"f","t"),"d","t")),$B$126)</f>
        <v/>
      </c>
      <c r="T94">
        <f>IFERROR(IF(ISNUMBER(MID(LOOKUP(2,1/ISNUMBER(FIND(";",$D$25:T$25)),$D$25:T$25),FIND(";",LOOKUP(2,1/ISNUMBER(FIND(";",$D$25:T$25)),$D$25:T$25))+1,99)*1),LEFT($B$126,FIND("t",$B$126))&amp;MID(LOOKUP(2,1/ISNUMBER(FIND(";",$D$25:T$25)),$D$25:T$25),FIND(";",LOOKUP(2,1/ISNUMBER(FIND(";",$D$25:T$25)),$D$25:T$25))+1,99),SUBSTITUTE(SUBSTITUTE(SUBSTITUTE(SUBSTITUTE(SUBSTITUTE(SUBSTITUTE(LOWER(MID(LOOKUP(2,1/ISNUMBER(FIND(";",$D$25:T$25)),$D$25:T$25),FIND(";",LOOKUP(2,1/ISNUMBER(FIND(";",$D$25:T$25)),$D$25:T$25))+1,99))," ",""),"%%c","t"),"ø","t"),"φ","t"),"f","t"),"d","t")),$B$126)</f>
        <v/>
      </c>
      <c r="U94">
        <f>IFERROR(IF(ISNUMBER(MID(LOOKUP(2,1/ISNUMBER(FIND(";",$D$25:V$25)),$D$25:V$25),FIND(";",LOOKUP(2,1/ISNUMBER(FIND(";",$D$25:V$25)),$D$25:V$25))+1,99)*1),LEFT($B$126,FIND("t",$B$126))&amp;MID(LOOKUP(2,1/ISNUMBER(FIND(";",$D$25:V$25)),$D$25:V$25),FIND(";",LOOKUP(2,1/ISNUMBER(FIND(";",$D$25:V$25)),$D$25:V$25))+1,99),SUBSTITUTE(SUBSTITUTE(SUBSTITUTE(SUBSTITUTE(SUBSTITUTE(SUBSTITUTE(LOWER(MID(LOOKUP(2,1/ISNUMBER(FIND(";",$D$25:V$25)),$D$25:V$25),FIND(";",LOOKUP(2,1/ISNUMBER(FIND(";",$D$25:V$25)),$D$25:V$25))+1,99))," ",""),"%%c","t"),"ø","t"),"φ","t"),"f","t"),"d","t")),$B$126)</f>
        <v/>
      </c>
      <c r="V94">
        <f>IFERROR(IF(ISNUMBER(MID(LOOKUP(2,1/ISNUMBER(FIND(";",$D$25:V$25)),$D$25:V$25),FIND(";",LOOKUP(2,1/ISNUMBER(FIND(";",$D$25:V$25)),$D$25:V$25))+1,99)*1),LEFT($B$126,FIND("t",$B$126))&amp;MID(LOOKUP(2,1/ISNUMBER(FIND(";",$D$25:V$25)),$D$25:V$25),FIND(";",LOOKUP(2,1/ISNUMBER(FIND(";",$D$25:V$25)),$D$25:V$25))+1,99),SUBSTITUTE(SUBSTITUTE(SUBSTITUTE(SUBSTITUTE(SUBSTITUTE(SUBSTITUTE(LOWER(MID(LOOKUP(2,1/ISNUMBER(FIND(";",$D$25:V$25)),$D$25:V$25),FIND(";",LOOKUP(2,1/ISNUMBER(FIND(";",$D$25:V$25)),$D$25:V$25))+1,99))," ",""),"%%c","t"),"ø","t"),"φ","t"),"f","t"),"d","t")),$B$126)</f>
        <v/>
      </c>
      <c r="W94">
        <f>IFERROR(IF(ISNUMBER(MID(LOOKUP(2,1/ISNUMBER(FIND(";",$D$25:X$25)),$D$25:X$25),FIND(";",LOOKUP(2,1/ISNUMBER(FIND(";",$D$25:X$25)),$D$25:X$25))+1,99)*1),LEFT($B$126,FIND("t",$B$126))&amp;MID(LOOKUP(2,1/ISNUMBER(FIND(";",$D$25:X$25)),$D$25:X$25),FIND(";",LOOKUP(2,1/ISNUMBER(FIND(";",$D$25:X$25)),$D$25:X$25))+1,99),SUBSTITUTE(SUBSTITUTE(SUBSTITUTE(SUBSTITUTE(SUBSTITUTE(SUBSTITUTE(LOWER(MID(LOOKUP(2,1/ISNUMBER(FIND(";",$D$25:X$25)),$D$25:X$25),FIND(";",LOOKUP(2,1/ISNUMBER(FIND(";",$D$25:X$25)),$D$25:X$25))+1,99))," ",""),"%%c","t"),"ø","t"),"φ","t"),"f","t"),"d","t")),$B$126)</f>
        <v/>
      </c>
      <c r="X94">
        <f>IFERROR(IF(ISNUMBER(MID(LOOKUP(2,1/ISNUMBER(FIND(";",$D$25:X$25)),$D$25:X$25),FIND(";",LOOKUP(2,1/ISNUMBER(FIND(";",$D$25:X$25)),$D$25:X$25))+1,99)*1),LEFT($B$126,FIND("t",$B$126))&amp;MID(LOOKUP(2,1/ISNUMBER(FIND(";",$D$25:X$25)),$D$25:X$25),FIND(";",LOOKUP(2,1/ISNUMBER(FIND(";",$D$25:X$25)),$D$25:X$25))+1,99),SUBSTITUTE(SUBSTITUTE(SUBSTITUTE(SUBSTITUTE(SUBSTITUTE(SUBSTITUTE(LOWER(MID(LOOKUP(2,1/ISNUMBER(FIND(";",$D$25:X$25)),$D$25:X$25),FIND(";",LOOKUP(2,1/ISNUMBER(FIND(";",$D$25:X$25)),$D$25:X$25))+1,99))," ",""),"%%c","t"),"ø","t"),"φ","t"),"f","t"),"d","t")),$B$126)</f>
        <v/>
      </c>
      <c r="Y94">
        <f>IFERROR(IF(ISNUMBER(MID(LOOKUP(2,1/ISNUMBER(FIND(";",$D$25:Z$25)),$D$25:Z$25),FIND(";",LOOKUP(2,1/ISNUMBER(FIND(";",$D$25:Z$25)),$D$25:Z$25))+1,99)*1),LEFT($B$126,FIND("t",$B$126))&amp;MID(LOOKUP(2,1/ISNUMBER(FIND(";",$D$25:Z$25)),$D$25:Z$25),FIND(";",LOOKUP(2,1/ISNUMBER(FIND(";",$D$25:Z$25)),$D$25:Z$25))+1,99),SUBSTITUTE(SUBSTITUTE(SUBSTITUTE(SUBSTITUTE(SUBSTITUTE(SUBSTITUTE(LOWER(MID(LOOKUP(2,1/ISNUMBER(FIND(";",$D$25:Z$25)),$D$25:Z$25),FIND(";",LOOKUP(2,1/ISNUMBER(FIND(";",$D$25:Z$25)),$D$25:Z$25))+1,99))," ",""),"%%c","t"),"ø","t"),"φ","t"),"f","t"),"d","t")),$B$126)</f>
        <v/>
      </c>
      <c r="Z94">
        <f>IFERROR(IF(ISNUMBER(MID(LOOKUP(2,1/ISNUMBER(FIND(";",$D$25:Z$25)),$D$25:Z$25),FIND(";",LOOKUP(2,1/ISNUMBER(FIND(";",$D$25:Z$25)),$D$25:Z$25))+1,99)*1),LEFT($B$126,FIND("t",$B$126))&amp;MID(LOOKUP(2,1/ISNUMBER(FIND(";",$D$25:Z$25)),$D$25:Z$25),FIND(";",LOOKUP(2,1/ISNUMBER(FIND(";",$D$25:Z$25)),$D$25:Z$25))+1,99),SUBSTITUTE(SUBSTITUTE(SUBSTITUTE(SUBSTITUTE(SUBSTITUTE(SUBSTITUTE(LOWER(MID(LOOKUP(2,1/ISNUMBER(FIND(";",$D$25:Z$25)),$D$25:Z$25),FIND(";",LOOKUP(2,1/ISNUMBER(FIND(";",$D$25:Z$25)),$D$25:Z$25))+1,99))," ",""),"%%c","t"),"ø","t"),"φ","t"),"f","t"),"d","t")),$B$126)</f>
        <v/>
      </c>
      <c r="AA94">
        <f>IFERROR(IF(ISNUMBER(MID(LOOKUP(2,1/ISNUMBER(FIND(";",$D$25:AB$25)),$D$25:AB$25),FIND(";",LOOKUP(2,1/ISNUMBER(FIND(";",$D$25:AB$25)),$D$25:AB$25))+1,99)*1),LEFT($B$126,FIND("t",$B$126))&amp;MID(LOOKUP(2,1/ISNUMBER(FIND(";",$D$25:AB$25)),$D$25:AB$25),FIND(";",LOOKUP(2,1/ISNUMBER(FIND(";",$D$25:AB$25)),$D$25:AB$25))+1,99),SUBSTITUTE(SUBSTITUTE(SUBSTITUTE(SUBSTITUTE(SUBSTITUTE(SUBSTITUTE(LOWER(MID(LOOKUP(2,1/ISNUMBER(FIND(";",$D$25:AB$25)),$D$25:AB$25),FIND(";",LOOKUP(2,1/ISNUMBER(FIND(";",$D$25:AB$25)),$D$25:AB$25))+1,99))," ",""),"%%c","t"),"ø","t"),"φ","t"),"f","t"),"d","t")),$B$126)</f>
        <v/>
      </c>
      <c r="AB94">
        <f>IFERROR(IF(ISNUMBER(MID(LOOKUP(2,1/ISNUMBER(FIND(";",$D$25:AB$25)),$D$25:AB$25),FIND(";",LOOKUP(2,1/ISNUMBER(FIND(";",$D$25:AB$25)),$D$25:AB$25))+1,99)*1),LEFT($B$126,FIND("t",$B$126))&amp;MID(LOOKUP(2,1/ISNUMBER(FIND(";",$D$25:AB$25)),$D$25:AB$25),FIND(";",LOOKUP(2,1/ISNUMBER(FIND(";",$D$25:AB$25)),$D$25:AB$25))+1,99),SUBSTITUTE(SUBSTITUTE(SUBSTITUTE(SUBSTITUTE(SUBSTITUTE(SUBSTITUTE(LOWER(MID(LOOKUP(2,1/ISNUMBER(FIND(";",$D$25:AB$25)),$D$25:AB$25),FIND(";",LOOKUP(2,1/ISNUMBER(FIND(";",$D$25:AB$25)),$D$25:AB$25))+1,99))," ",""),"%%c","t"),"ø","t"),"φ","t"),"f","t"),"d","t")),$B$126)</f>
        <v/>
      </c>
      <c r="AC94">
        <f>IFERROR(IF(ISNUMBER(MID(LOOKUP(2,1/ISNUMBER(FIND(";",$D$25:AD$25)),$D$25:AD$25),FIND(";",LOOKUP(2,1/ISNUMBER(FIND(";",$D$25:AD$25)),$D$25:AD$25))+1,99)*1),LEFT($B$126,FIND("t",$B$126))&amp;MID(LOOKUP(2,1/ISNUMBER(FIND(";",$D$25:AD$25)),$D$25:AD$25),FIND(";",LOOKUP(2,1/ISNUMBER(FIND(";",$D$25:AD$25)),$D$25:AD$25))+1,99),SUBSTITUTE(SUBSTITUTE(SUBSTITUTE(SUBSTITUTE(SUBSTITUTE(SUBSTITUTE(LOWER(MID(LOOKUP(2,1/ISNUMBER(FIND(";",$D$25:AD$25)),$D$25:AD$25),FIND(";",LOOKUP(2,1/ISNUMBER(FIND(";",$D$25:AD$25)),$D$25:AD$25))+1,99))," ",""),"%%c","t"),"ø","t"),"φ","t"),"f","t"),"d","t")),$B$126)</f>
        <v/>
      </c>
      <c r="AD94">
        <f>IFERROR(IF(ISNUMBER(MID(LOOKUP(2,1/ISNUMBER(FIND(";",$D$25:AD$25)),$D$25:AD$25),FIND(";",LOOKUP(2,1/ISNUMBER(FIND(";",$D$25:AD$25)),$D$25:AD$25))+1,99)*1),LEFT($B$126,FIND("t",$B$126))&amp;MID(LOOKUP(2,1/ISNUMBER(FIND(";",$D$25:AD$25)),$D$25:AD$25),FIND(";",LOOKUP(2,1/ISNUMBER(FIND(";",$D$25:AD$25)),$D$25:AD$25))+1,99),SUBSTITUTE(SUBSTITUTE(SUBSTITUTE(SUBSTITUTE(SUBSTITUTE(SUBSTITUTE(LOWER(MID(LOOKUP(2,1/ISNUMBER(FIND(";",$D$25:AD$25)),$D$25:AD$25),FIND(";",LOOKUP(2,1/ISNUMBER(FIND(";",$D$25:AD$25)),$D$25:AD$25))+1,99))," ",""),"%%c","t"),"ø","t"),"φ","t"),"f","t"),"d","t")),$B$126)</f>
        <v/>
      </c>
      <c r="AE94">
        <f>IFERROR(IF(ISNUMBER(MID(LOOKUP(2,1/ISNUMBER(FIND(";",$D$25:AF$25)),$D$25:AF$25),FIND(";",LOOKUP(2,1/ISNUMBER(FIND(";",$D$25:AF$25)),$D$25:AF$25))+1,99)*1),LEFT($B$126,FIND("t",$B$126))&amp;MID(LOOKUP(2,1/ISNUMBER(FIND(";",$D$25:AF$25)),$D$25:AF$25),FIND(";",LOOKUP(2,1/ISNUMBER(FIND(";",$D$25:AF$25)),$D$25:AF$25))+1,99),SUBSTITUTE(SUBSTITUTE(SUBSTITUTE(SUBSTITUTE(SUBSTITUTE(SUBSTITUTE(LOWER(MID(LOOKUP(2,1/ISNUMBER(FIND(";",$D$25:AF$25)),$D$25:AF$25),FIND(";",LOOKUP(2,1/ISNUMBER(FIND(";",$D$25:AF$25)),$D$25:AF$25))+1,99))," ",""),"%%c","t"),"ø","t"),"φ","t"),"f","t"),"d","t")),$B$126)</f>
        <v/>
      </c>
      <c r="AF94">
        <f>IFERROR(IF(ISNUMBER(MID(LOOKUP(2,1/ISNUMBER(FIND(";",$D$25:AF$25)),$D$25:AF$25),FIND(";",LOOKUP(2,1/ISNUMBER(FIND(";",$D$25:AF$25)),$D$25:AF$25))+1,99)*1),LEFT($B$126,FIND("t",$B$126))&amp;MID(LOOKUP(2,1/ISNUMBER(FIND(";",$D$25:AF$25)),$D$25:AF$25),FIND(";",LOOKUP(2,1/ISNUMBER(FIND(";",$D$25:AF$25)),$D$25:AF$25))+1,99),SUBSTITUTE(SUBSTITUTE(SUBSTITUTE(SUBSTITUTE(SUBSTITUTE(SUBSTITUTE(LOWER(MID(LOOKUP(2,1/ISNUMBER(FIND(";",$D$25:AF$25)),$D$25:AF$25),FIND(";",LOOKUP(2,1/ISNUMBER(FIND(";",$D$25:AF$25)),$D$25:AF$25))+1,99))," ",""),"%%c","t"),"ø","t"),"φ","t"),"f","t"),"d","t")),$B$126)</f>
        <v/>
      </c>
      <c r="AG94">
        <f>IFERROR(IF(ISNUMBER(MID(LOOKUP(2,1/ISNUMBER(FIND(";",$D$25:AH$25)),$D$25:AH$25),FIND(";",LOOKUP(2,1/ISNUMBER(FIND(";",$D$25:AH$25)),$D$25:AH$25))+1,99)*1),LEFT($B$126,FIND("t",$B$126))&amp;MID(LOOKUP(2,1/ISNUMBER(FIND(";",$D$25:AH$25)),$D$25:AH$25),FIND(";",LOOKUP(2,1/ISNUMBER(FIND(";",$D$25:AH$25)),$D$25:AH$25))+1,99),SUBSTITUTE(SUBSTITUTE(SUBSTITUTE(SUBSTITUTE(SUBSTITUTE(SUBSTITUTE(LOWER(MID(LOOKUP(2,1/ISNUMBER(FIND(";",$D$25:AH$25)),$D$25:AH$25),FIND(";",LOOKUP(2,1/ISNUMBER(FIND(";",$D$25:AH$25)),$D$25:AH$25))+1,99))," ",""),"%%c","t"),"ø","t"),"φ","t"),"f","t"),"d","t")),$B$126)</f>
        <v/>
      </c>
    </row>
    <row r="95" hidden="1" outlineLevel="1">
      <c r="A95" s="60" t="inlineStr">
        <is>
          <t>(phụ trợ) A_B0R</t>
        </is>
      </c>
      <c r="C95">
        <f>IFERROR(LEFT(LEFT(C94,FIND("+",C94&amp;"+")-1),FIND("t",LEFT(C94,FIND("+",C94&amp;"+")-1))-1)*MID(LEFT(C94,FIND("+",C94&amp;"+")-1),FIND("t",LEFT(C94,FIND("+",C94&amp;"+")-1))+1,2)^2*PI()/400,0)+IFERROR(LEFT(MID(C94,FIND("+",C94&amp;"+")+1,99),FIND("t",MID(C94,FIND("+",C94&amp;"+")+1,99))-1)*MID(MID(C94,FIND("+",C94&amp;"+")+1,99),FIND("t",MID(C94,FIND("+",C94&amp;"+")+1,99))+1,2)^2*PI()/400,0)</f>
        <v/>
      </c>
      <c r="D95">
        <f>IFERROR(LEFT(LEFT(D94,FIND("+",D94&amp;"+")-1),FIND("t",LEFT(D94,FIND("+",D94&amp;"+")-1))-1)*MID(LEFT(D94,FIND("+",D94&amp;"+")-1),FIND("t",LEFT(D94,FIND("+",D94&amp;"+")-1))+1,2)^2*PI()/400,0)+IFERROR(LEFT(MID(D94,FIND("+",D94&amp;"+")+1,99),FIND("t",MID(D94,FIND("+",D94&amp;"+")+1,99))-1)*MID(MID(D94,FIND("+",D94&amp;"+")+1,99),FIND("t",MID(D94,FIND("+",D94&amp;"+")+1,99))+1,2)^2*PI()/400,0)</f>
        <v/>
      </c>
      <c r="E95">
        <f>IFERROR(LEFT(LEFT(E94,FIND("+",E94&amp;"+")-1),FIND("t",LEFT(E94,FIND("+",E94&amp;"+")-1))-1)*MID(LEFT(E94,FIND("+",E94&amp;"+")-1),FIND("t",LEFT(E94,FIND("+",E94&amp;"+")-1))+1,2)^2*PI()/400,0)+IFERROR(LEFT(MID(E94,FIND("+",E94&amp;"+")+1,99),FIND("t",MID(E94,FIND("+",E94&amp;"+")+1,99))-1)*MID(MID(E94,FIND("+",E94&amp;"+")+1,99),FIND("t",MID(E94,FIND("+",E94&amp;"+")+1,99))+1,2)^2*PI()/400,0)</f>
        <v/>
      </c>
      <c r="F95">
        <f>IFERROR(LEFT(LEFT(F94,FIND("+",F94&amp;"+")-1),FIND("t",LEFT(F94,FIND("+",F94&amp;"+")-1))-1)*MID(LEFT(F94,FIND("+",F94&amp;"+")-1),FIND("t",LEFT(F94,FIND("+",F94&amp;"+")-1))+1,2)^2*PI()/400,0)+IFERROR(LEFT(MID(F94,FIND("+",F94&amp;"+")+1,99),FIND("t",MID(F94,FIND("+",F94&amp;"+")+1,99))-1)*MID(MID(F94,FIND("+",F94&amp;"+")+1,99),FIND("t",MID(F94,FIND("+",F94&amp;"+")+1,99))+1,2)^2*PI()/400,0)</f>
        <v/>
      </c>
      <c r="G95">
        <f>IFERROR(LEFT(LEFT(G94,FIND("+",G94&amp;"+")-1),FIND("t",LEFT(G94,FIND("+",G94&amp;"+")-1))-1)*MID(LEFT(G94,FIND("+",G94&amp;"+")-1),FIND("t",LEFT(G94,FIND("+",G94&amp;"+")-1))+1,2)^2*PI()/400,0)+IFERROR(LEFT(MID(G94,FIND("+",G94&amp;"+")+1,99),FIND("t",MID(G94,FIND("+",G94&amp;"+")+1,99))-1)*MID(MID(G94,FIND("+",G94&amp;"+")+1,99),FIND("t",MID(G94,FIND("+",G94&amp;"+")+1,99))+1,2)^2*PI()/400,0)</f>
        <v/>
      </c>
      <c r="H95">
        <f>IFERROR(LEFT(LEFT(H94,FIND("+",H94&amp;"+")-1),FIND("t",LEFT(H94,FIND("+",H94&amp;"+")-1))-1)*MID(LEFT(H94,FIND("+",H94&amp;"+")-1),FIND("t",LEFT(H94,FIND("+",H94&amp;"+")-1))+1,2)^2*PI()/400,0)+IFERROR(LEFT(MID(H94,FIND("+",H94&amp;"+")+1,99),FIND("t",MID(H94,FIND("+",H94&amp;"+")+1,99))-1)*MID(MID(H94,FIND("+",H94&amp;"+")+1,99),FIND("t",MID(H94,FIND("+",H94&amp;"+")+1,99))+1,2)^2*PI()/400,0)</f>
        <v/>
      </c>
      <c r="I95">
        <f>IFERROR(LEFT(LEFT(I94,FIND("+",I94&amp;"+")-1),FIND("t",LEFT(I94,FIND("+",I94&amp;"+")-1))-1)*MID(LEFT(I94,FIND("+",I94&amp;"+")-1),FIND("t",LEFT(I94,FIND("+",I94&amp;"+")-1))+1,2)^2*PI()/400,0)+IFERROR(LEFT(MID(I94,FIND("+",I94&amp;"+")+1,99),FIND("t",MID(I94,FIND("+",I94&amp;"+")+1,99))-1)*MID(MID(I94,FIND("+",I94&amp;"+")+1,99),FIND("t",MID(I94,FIND("+",I94&amp;"+")+1,99))+1,2)^2*PI()/400,0)</f>
        <v/>
      </c>
      <c r="J95">
        <f>IFERROR(LEFT(LEFT(J94,FIND("+",J94&amp;"+")-1),FIND("t",LEFT(J94,FIND("+",J94&amp;"+")-1))-1)*MID(LEFT(J94,FIND("+",J94&amp;"+")-1),FIND("t",LEFT(J94,FIND("+",J94&amp;"+")-1))+1,2)^2*PI()/400,0)+IFERROR(LEFT(MID(J94,FIND("+",J94&amp;"+")+1,99),FIND("t",MID(J94,FIND("+",J94&amp;"+")+1,99))-1)*MID(MID(J94,FIND("+",J94&amp;"+")+1,99),FIND("t",MID(J94,FIND("+",J94&amp;"+")+1,99))+1,2)^2*PI()/400,0)</f>
        <v/>
      </c>
      <c r="K95">
        <f>IFERROR(LEFT(LEFT(K94,FIND("+",K94&amp;"+")-1),FIND("t",LEFT(K94,FIND("+",K94&amp;"+")-1))-1)*MID(LEFT(K94,FIND("+",K94&amp;"+")-1),FIND("t",LEFT(K94,FIND("+",K94&amp;"+")-1))+1,2)^2*PI()/400,0)+IFERROR(LEFT(MID(K94,FIND("+",K94&amp;"+")+1,99),FIND("t",MID(K94,FIND("+",K94&amp;"+")+1,99))-1)*MID(MID(K94,FIND("+",K94&amp;"+")+1,99),FIND("t",MID(K94,FIND("+",K94&amp;"+")+1,99))+1,2)^2*PI()/400,0)</f>
        <v/>
      </c>
      <c r="L95">
        <f>IFERROR(LEFT(LEFT(L94,FIND("+",L94&amp;"+")-1),FIND("t",LEFT(L94,FIND("+",L94&amp;"+")-1))-1)*MID(LEFT(L94,FIND("+",L94&amp;"+")-1),FIND("t",LEFT(L94,FIND("+",L94&amp;"+")-1))+1,2)^2*PI()/400,0)+IFERROR(LEFT(MID(L94,FIND("+",L94&amp;"+")+1,99),FIND("t",MID(L94,FIND("+",L94&amp;"+")+1,99))-1)*MID(MID(L94,FIND("+",L94&amp;"+")+1,99),FIND("t",MID(L94,FIND("+",L94&amp;"+")+1,99))+1,2)^2*PI()/400,0)</f>
        <v/>
      </c>
      <c r="M95">
        <f>IFERROR(LEFT(LEFT(M94,FIND("+",M94&amp;"+")-1),FIND("t",LEFT(M94,FIND("+",M94&amp;"+")-1))-1)*MID(LEFT(M94,FIND("+",M94&amp;"+")-1),FIND("t",LEFT(M94,FIND("+",M94&amp;"+")-1))+1,2)^2*PI()/400,0)+IFERROR(LEFT(MID(M94,FIND("+",M94&amp;"+")+1,99),FIND("t",MID(M94,FIND("+",M94&amp;"+")+1,99))-1)*MID(MID(M94,FIND("+",M94&amp;"+")+1,99),FIND("t",MID(M94,FIND("+",M94&amp;"+")+1,99))+1,2)^2*PI()/400,0)</f>
        <v/>
      </c>
      <c r="N95">
        <f>IFERROR(LEFT(LEFT(N94,FIND("+",N94&amp;"+")-1),FIND("t",LEFT(N94,FIND("+",N94&amp;"+")-1))-1)*MID(LEFT(N94,FIND("+",N94&amp;"+")-1),FIND("t",LEFT(N94,FIND("+",N94&amp;"+")-1))+1,2)^2*PI()/400,0)+IFERROR(LEFT(MID(N94,FIND("+",N94&amp;"+")+1,99),FIND("t",MID(N94,FIND("+",N94&amp;"+")+1,99))-1)*MID(MID(N94,FIND("+",N94&amp;"+")+1,99),FIND("t",MID(N94,FIND("+",N94&amp;"+")+1,99))+1,2)^2*PI()/400,0)</f>
        <v/>
      </c>
      <c r="O95">
        <f>IFERROR(LEFT(LEFT(O94,FIND("+",O94&amp;"+")-1),FIND("t",LEFT(O94,FIND("+",O94&amp;"+")-1))-1)*MID(LEFT(O94,FIND("+",O94&amp;"+")-1),FIND("t",LEFT(O94,FIND("+",O94&amp;"+")-1))+1,2)^2*PI()/400,0)+IFERROR(LEFT(MID(O94,FIND("+",O94&amp;"+")+1,99),FIND("t",MID(O94,FIND("+",O94&amp;"+")+1,99))-1)*MID(MID(O94,FIND("+",O94&amp;"+")+1,99),FIND("t",MID(O94,FIND("+",O94&amp;"+")+1,99))+1,2)^2*PI()/400,0)</f>
        <v/>
      </c>
      <c r="P95">
        <f>IFERROR(LEFT(LEFT(P94,FIND("+",P94&amp;"+")-1),FIND("t",LEFT(P94,FIND("+",P94&amp;"+")-1))-1)*MID(LEFT(P94,FIND("+",P94&amp;"+")-1),FIND("t",LEFT(P94,FIND("+",P94&amp;"+")-1))+1,2)^2*PI()/400,0)+IFERROR(LEFT(MID(P94,FIND("+",P94&amp;"+")+1,99),FIND("t",MID(P94,FIND("+",P94&amp;"+")+1,99))-1)*MID(MID(P94,FIND("+",P94&amp;"+")+1,99),FIND("t",MID(P94,FIND("+",P94&amp;"+")+1,99))+1,2)^2*PI()/400,0)</f>
        <v/>
      </c>
      <c r="Q95">
        <f>IFERROR(LEFT(LEFT(Q94,FIND("+",Q94&amp;"+")-1),FIND("t",LEFT(Q94,FIND("+",Q94&amp;"+")-1))-1)*MID(LEFT(Q94,FIND("+",Q94&amp;"+")-1),FIND("t",LEFT(Q94,FIND("+",Q94&amp;"+")-1))+1,2)^2*PI()/400,0)+IFERROR(LEFT(MID(Q94,FIND("+",Q94&amp;"+")+1,99),FIND("t",MID(Q94,FIND("+",Q94&amp;"+")+1,99))-1)*MID(MID(Q94,FIND("+",Q94&amp;"+")+1,99),FIND("t",MID(Q94,FIND("+",Q94&amp;"+")+1,99))+1,2)^2*PI()/400,0)</f>
        <v/>
      </c>
      <c r="R95">
        <f>IFERROR(LEFT(LEFT(R94,FIND("+",R94&amp;"+")-1),FIND("t",LEFT(R94,FIND("+",R94&amp;"+")-1))-1)*MID(LEFT(R94,FIND("+",R94&amp;"+")-1),FIND("t",LEFT(R94,FIND("+",R94&amp;"+")-1))+1,2)^2*PI()/400,0)+IFERROR(LEFT(MID(R94,FIND("+",R94&amp;"+")+1,99),FIND("t",MID(R94,FIND("+",R94&amp;"+")+1,99))-1)*MID(MID(R94,FIND("+",R94&amp;"+")+1,99),FIND("t",MID(R94,FIND("+",R94&amp;"+")+1,99))+1,2)^2*PI()/400,0)</f>
        <v/>
      </c>
      <c r="S95">
        <f>IFERROR(LEFT(LEFT(S94,FIND("+",S94&amp;"+")-1),FIND("t",LEFT(S94,FIND("+",S94&amp;"+")-1))-1)*MID(LEFT(S94,FIND("+",S94&amp;"+")-1),FIND("t",LEFT(S94,FIND("+",S94&amp;"+")-1))+1,2)^2*PI()/400,0)+IFERROR(LEFT(MID(S94,FIND("+",S94&amp;"+")+1,99),FIND("t",MID(S94,FIND("+",S94&amp;"+")+1,99))-1)*MID(MID(S94,FIND("+",S94&amp;"+")+1,99),FIND("t",MID(S94,FIND("+",S94&amp;"+")+1,99))+1,2)^2*PI()/400,0)</f>
        <v/>
      </c>
      <c r="T95">
        <f>IFERROR(LEFT(LEFT(T94,FIND("+",T94&amp;"+")-1),FIND("t",LEFT(T94,FIND("+",T94&amp;"+")-1))-1)*MID(LEFT(T94,FIND("+",T94&amp;"+")-1),FIND("t",LEFT(T94,FIND("+",T94&amp;"+")-1))+1,2)^2*PI()/400,0)+IFERROR(LEFT(MID(T94,FIND("+",T94&amp;"+")+1,99),FIND("t",MID(T94,FIND("+",T94&amp;"+")+1,99))-1)*MID(MID(T94,FIND("+",T94&amp;"+")+1,99),FIND("t",MID(T94,FIND("+",T94&amp;"+")+1,99))+1,2)^2*PI()/400,0)</f>
        <v/>
      </c>
      <c r="U95">
        <f>IFERROR(LEFT(LEFT(U94,FIND("+",U94&amp;"+")-1),FIND("t",LEFT(U94,FIND("+",U94&amp;"+")-1))-1)*MID(LEFT(U94,FIND("+",U94&amp;"+")-1),FIND("t",LEFT(U94,FIND("+",U94&amp;"+")-1))+1,2)^2*PI()/400,0)+IFERROR(LEFT(MID(U94,FIND("+",U94&amp;"+")+1,99),FIND("t",MID(U94,FIND("+",U94&amp;"+")+1,99))-1)*MID(MID(U94,FIND("+",U94&amp;"+")+1,99),FIND("t",MID(U94,FIND("+",U94&amp;"+")+1,99))+1,2)^2*PI()/400,0)</f>
        <v/>
      </c>
      <c r="V95">
        <f>IFERROR(LEFT(LEFT(V94,FIND("+",V94&amp;"+")-1),FIND("t",LEFT(V94,FIND("+",V94&amp;"+")-1))-1)*MID(LEFT(V94,FIND("+",V94&amp;"+")-1),FIND("t",LEFT(V94,FIND("+",V94&amp;"+")-1))+1,2)^2*PI()/400,0)+IFERROR(LEFT(MID(V94,FIND("+",V94&amp;"+")+1,99),FIND("t",MID(V94,FIND("+",V94&amp;"+")+1,99))-1)*MID(MID(V94,FIND("+",V94&amp;"+")+1,99),FIND("t",MID(V94,FIND("+",V94&amp;"+")+1,99))+1,2)^2*PI()/400,0)</f>
        <v/>
      </c>
      <c r="W95">
        <f>IFERROR(LEFT(LEFT(W94,FIND("+",W94&amp;"+")-1),FIND("t",LEFT(W94,FIND("+",W94&amp;"+")-1))-1)*MID(LEFT(W94,FIND("+",W94&amp;"+")-1),FIND("t",LEFT(W94,FIND("+",W94&amp;"+")-1))+1,2)^2*PI()/400,0)+IFERROR(LEFT(MID(W94,FIND("+",W94&amp;"+")+1,99),FIND("t",MID(W94,FIND("+",W94&amp;"+")+1,99))-1)*MID(MID(W94,FIND("+",W94&amp;"+")+1,99),FIND("t",MID(W94,FIND("+",W94&amp;"+")+1,99))+1,2)^2*PI()/400,0)</f>
        <v/>
      </c>
      <c r="X95">
        <f>IFERROR(LEFT(LEFT(X94,FIND("+",X94&amp;"+")-1),FIND("t",LEFT(X94,FIND("+",X94&amp;"+")-1))-1)*MID(LEFT(X94,FIND("+",X94&amp;"+")-1),FIND("t",LEFT(X94,FIND("+",X94&amp;"+")-1))+1,2)^2*PI()/400,0)+IFERROR(LEFT(MID(X94,FIND("+",X94&amp;"+")+1,99),FIND("t",MID(X94,FIND("+",X94&amp;"+")+1,99))-1)*MID(MID(X94,FIND("+",X94&amp;"+")+1,99),FIND("t",MID(X94,FIND("+",X94&amp;"+")+1,99))+1,2)^2*PI()/400,0)</f>
        <v/>
      </c>
      <c r="Y95">
        <f>IFERROR(LEFT(LEFT(Y94,FIND("+",Y94&amp;"+")-1),FIND("t",LEFT(Y94,FIND("+",Y94&amp;"+")-1))-1)*MID(LEFT(Y94,FIND("+",Y94&amp;"+")-1),FIND("t",LEFT(Y94,FIND("+",Y94&amp;"+")-1))+1,2)^2*PI()/400,0)+IFERROR(LEFT(MID(Y94,FIND("+",Y94&amp;"+")+1,99),FIND("t",MID(Y94,FIND("+",Y94&amp;"+")+1,99))-1)*MID(MID(Y94,FIND("+",Y94&amp;"+")+1,99),FIND("t",MID(Y94,FIND("+",Y94&amp;"+")+1,99))+1,2)^2*PI()/400,0)</f>
        <v/>
      </c>
      <c r="Z95">
        <f>IFERROR(LEFT(LEFT(Z94,FIND("+",Z94&amp;"+")-1),FIND("t",LEFT(Z94,FIND("+",Z94&amp;"+")-1))-1)*MID(LEFT(Z94,FIND("+",Z94&amp;"+")-1),FIND("t",LEFT(Z94,FIND("+",Z94&amp;"+")-1))+1,2)^2*PI()/400,0)+IFERROR(LEFT(MID(Z94,FIND("+",Z94&amp;"+")+1,99),FIND("t",MID(Z94,FIND("+",Z94&amp;"+")+1,99))-1)*MID(MID(Z94,FIND("+",Z94&amp;"+")+1,99),FIND("t",MID(Z94,FIND("+",Z94&amp;"+")+1,99))+1,2)^2*PI()/400,0)</f>
        <v/>
      </c>
      <c r="AA95">
        <f>IFERROR(LEFT(LEFT(AA94,FIND("+",AA94&amp;"+")-1),FIND("t",LEFT(AA94,FIND("+",AA94&amp;"+")-1))-1)*MID(LEFT(AA94,FIND("+",AA94&amp;"+")-1),FIND("t",LEFT(AA94,FIND("+",AA94&amp;"+")-1))+1,2)^2*PI()/400,0)+IFERROR(LEFT(MID(AA94,FIND("+",AA94&amp;"+")+1,99),FIND("t",MID(AA94,FIND("+",AA94&amp;"+")+1,99))-1)*MID(MID(AA94,FIND("+",AA94&amp;"+")+1,99),FIND("t",MID(AA94,FIND("+",AA94&amp;"+")+1,99))+1,2)^2*PI()/400,0)</f>
        <v/>
      </c>
      <c r="AB95">
        <f>IFERROR(LEFT(LEFT(AB94,FIND("+",AB94&amp;"+")-1),FIND("t",LEFT(AB94,FIND("+",AB94&amp;"+")-1))-1)*MID(LEFT(AB94,FIND("+",AB94&amp;"+")-1),FIND("t",LEFT(AB94,FIND("+",AB94&amp;"+")-1))+1,2)^2*PI()/400,0)+IFERROR(LEFT(MID(AB94,FIND("+",AB94&amp;"+")+1,99),FIND("t",MID(AB94,FIND("+",AB94&amp;"+")+1,99))-1)*MID(MID(AB94,FIND("+",AB94&amp;"+")+1,99),FIND("t",MID(AB94,FIND("+",AB94&amp;"+")+1,99))+1,2)^2*PI()/400,0)</f>
        <v/>
      </c>
      <c r="AC95">
        <f>IFERROR(LEFT(LEFT(AC94,FIND("+",AC94&amp;"+")-1),FIND("t",LEFT(AC94,FIND("+",AC94&amp;"+")-1))-1)*MID(LEFT(AC94,FIND("+",AC94&amp;"+")-1),FIND("t",LEFT(AC94,FIND("+",AC94&amp;"+")-1))+1,2)^2*PI()/400,0)+IFERROR(LEFT(MID(AC94,FIND("+",AC94&amp;"+")+1,99),FIND("t",MID(AC94,FIND("+",AC94&amp;"+")+1,99))-1)*MID(MID(AC94,FIND("+",AC94&amp;"+")+1,99),FIND("t",MID(AC94,FIND("+",AC94&amp;"+")+1,99))+1,2)^2*PI()/400,0)</f>
        <v/>
      </c>
      <c r="AD95">
        <f>IFERROR(LEFT(LEFT(AD94,FIND("+",AD94&amp;"+")-1),FIND("t",LEFT(AD94,FIND("+",AD94&amp;"+")-1))-1)*MID(LEFT(AD94,FIND("+",AD94&amp;"+")-1),FIND("t",LEFT(AD94,FIND("+",AD94&amp;"+")-1))+1,2)^2*PI()/400,0)+IFERROR(LEFT(MID(AD94,FIND("+",AD94&amp;"+")+1,99),FIND("t",MID(AD94,FIND("+",AD94&amp;"+")+1,99))-1)*MID(MID(AD94,FIND("+",AD94&amp;"+")+1,99),FIND("t",MID(AD94,FIND("+",AD94&amp;"+")+1,99))+1,2)^2*PI()/400,0)</f>
        <v/>
      </c>
      <c r="AE95">
        <f>IFERROR(LEFT(LEFT(AE94,FIND("+",AE94&amp;"+")-1),FIND("t",LEFT(AE94,FIND("+",AE94&amp;"+")-1))-1)*MID(LEFT(AE94,FIND("+",AE94&amp;"+")-1),FIND("t",LEFT(AE94,FIND("+",AE94&amp;"+")-1))+1,2)^2*PI()/400,0)+IFERROR(LEFT(MID(AE94,FIND("+",AE94&amp;"+")+1,99),FIND("t",MID(AE94,FIND("+",AE94&amp;"+")+1,99))-1)*MID(MID(AE94,FIND("+",AE94&amp;"+")+1,99),FIND("t",MID(AE94,FIND("+",AE94&amp;"+")+1,99))+1,2)^2*PI()/400,0)</f>
        <v/>
      </c>
      <c r="AF95">
        <f>IFERROR(LEFT(LEFT(AF94,FIND("+",AF94&amp;"+")-1),FIND("t",LEFT(AF94,FIND("+",AF94&amp;"+")-1))-1)*MID(LEFT(AF94,FIND("+",AF94&amp;"+")-1),FIND("t",LEFT(AF94,FIND("+",AF94&amp;"+")-1))+1,2)^2*PI()/400,0)+IFERROR(LEFT(MID(AF94,FIND("+",AF94&amp;"+")+1,99),FIND("t",MID(AF94,FIND("+",AF94&amp;"+")+1,99))-1)*MID(MID(AF94,FIND("+",AF94&amp;"+")+1,99),FIND("t",MID(AF94,FIND("+",AF94&amp;"+")+1,99))+1,2)^2*PI()/400,0)</f>
        <v/>
      </c>
      <c r="AG95">
        <f>IFERROR(LEFT(LEFT(AG94,FIND("+",AG94&amp;"+")-1),FIND("t",LEFT(AG94,FIND("+",AG94&amp;"+")-1))-1)*MID(LEFT(AG94,FIND("+",AG94&amp;"+")-1),FIND("t",LEFT(AG94,FIND("+",AG94&amp;"+")-1))+1,2)^2*PI()/400,0)+IFERROR(LEFT(MID(AG94,FIND("+",AG94&amp;"+")+1,99),FIND("t",MID(AG94,FIND("+",AG94&amp;"+")+1,99))-1)*MID(MID(AG94,FIND("+",AG94&amp;"+")+1,99),FIND("t",MID(AG94,FIND("+",AG94&amp;"+")+1,99))+1,2)^2*PI()/400,0)</f>
        <v/>
      </c>
    </row>
    <row r="96" hidden="1" outlineLevel="1">
      <c r="A96" s="60" t="inlineStr">
        <is>
          <t>(phụ trợ) N_B1L</t>
        </is>
      </c>
      <c r="C96">
        <f>SUBSTITUTE(SUBSTITUTE(SUBSTITUTE(SUBSTITUTE(SUBSTITUTE(SUBSTITUTE(LOWER(IF(ISNUMBER(FIND(";",C22)),LEFT(C22,FIND(";",C22)-1),C22))," ",""),"%%c","t"),"ø","t"),"φ","t"),"f","t"),"d","t")</f>
        <v/>
      </c>
      <c r="D96">
        <f>SUBSTITUTE(SUBSTITUTE(SUBSTITUTE(SUBSTITUTE(SUBSTITUTE(SUBSTITUTE(LOWER(IF(ISNUMBER(FIND(";",D22)),LEFT(D22,FIND(";",D22)-1),D22))," ",""),"%%c","t"),"ø","t"),"φ","t"),"f","t"),"d","t")</f>
        <v/>
      </c>
      <c r="E96">
        <f>SUBSTITUTE(SUBSTITUTE(SUBSTITUTE(SUBSTITUTE(SUBSTITUTE(SUBSTITUTE(LOWER(IF(ISNUMBER(FIND(";",E22)),LEFT(E22,FIND(";",E22)-1),E22))," ",""),"%%c","t"),"ø","t"),"φ","t"),"f","t"),"d","t")</f>
        <v/>
      </c>
      <c r="F96">
        <f>SUBSTITUTE(SUBSTITUTE(SUBSTITUTE(SUBSTITUTE(SUBSTITUTE(SUBSTITUTE(LOWER(IF(ISNUMBER(FIND(";",F22)),LEFT(F22,FIND(";",F22)-1),F22))," ",""),"%%c","t"),"ø","t"),"φ","t"),"f","t"),"d","t")</f>
        <v/>
      </c>
      <c r="G96">
        <f>SUBSTITUTE(SUBSTITUTE(SUBSTITUTE(SUBSTITUTE(SUBSTITUTE(SUBSTITUTE(LOWER(IF(ISNUMBER(FIND(";",G22)),LEFT(G22,FIND(";",G22)-1),G22))," ",""),"%%c","t"),"ø","t"),"φ","t"),"f","t"),"d","t")</f>
        <v/>
      </c>
      <c r="H96">
        <f>SUBSTITUTE(SUBSTITUTE(SUBSTITUTE(SUBSTITUTE(SUBSTITUTE(SUBSTITUTE(LOWER(IF(ISNUMBER(FIND(";",H22)),LEFT(H22,FIND(";",H22)-1),H22))," ",""),"%%c","t"),"ø","t"),"φ","t"),"f","t"),"d","t")</f>
        <v/>
      </c>
      <c r="I96">
        <f>SUBSTITUTE(SUBSTITUTE(SUBSTITUTE(SUBSTITUTE(SUBSTITUTE(SUBSTITUTE(LOWER(IF(ISNUMBER(FIND(";",I22)),LEFT(I22,FIND(";",I22)-1),I22))," ",""),"%%c","t"),"ø","t"),"φ","t"),"f","t"),"d","t")</f>
        <v/>
      </c>
      <c r="J96">
        <f>SUBSTITUTE(SUBSTITUTE(SUBSTITUTE(SUBSTITUTE(SUBSTITUTE(SUBSTITUTE(LOWER(IF(ISNUMBER(FIND(";",J22)),LEFT(J22,FIND(";",J22)-1),J22))," ",""),"%%c","t"),"ø","t"),"φ","t"),"f","t"),"d","t")</f>
        <v/>
      </c>
      <c r="K96">
        <f>SUBSTITUTE(SUBSTITUTE(SUBSTITUTE(SUBSTITUTE(SUBSTITUTE(SUBSTITUTE(LOWER(IF(ISNUMBER(FIND(";",K22)),LEFT(K22,FIND(";",K22)-1),K22))," ",""),"%%c","t"),"ø","t"),"φ","t"),"f","t"),"d","t")</f>
        <v/>
      </c>
      <c r="L96">
        <f>SUBSTITUTE(SUBSTITUTE(SUBSTITUTE(SUBSTITUTE(SUBSTITUTE(SUBSTITUTE(LOWER(IF(ISNUMBER(FIND(";",L22)),LEFT(L22,FIND(";",L22)-1),L22))," ",""),"%%c","t"),"ø","t"),"φ","t"),"f","t"),"d","t")</f>
        <v/>
      </c>
      <c r="M96">
        <f>SUBSTITUTE(SUBSTITUTE(SUBSTITUTE(SUBSTITUTE(SUBSTITUTE(SUBSTITUTE(LOWER(IF(ISNUMBER(FIND(";",M22)),LEFT(M22,FIND(";",M22)-1),M22))," ",""),"%%c","t"),"ø","t"),"φ","t"),"f","t"),"d","t")</f>
        <v/>
      </c>
      <c r="N96">
        <f>SUBSTITUTE(SUBSTITUTE(SUBSTITUTE(SUBSTITUTE(SUBSTITUTE(SUBSTITUTE(LOWER(IF(ISNUMBER(FIND(";",N22)),LEFT(N22,FIND(";",N22)-1),N22))," ",""),"%%c","t"),"ø","t"),"φ","t"),"f","t"),"d","t")</f>
        <v/>
      </c>
      <c r="O96">
        <f>SUBSTITUTE(SUBSTITUTE(SUBSTITUTE(SUBSTITUTE(SUBSTITUTE(SUBSTITUTE(LOWER(IF(ISNUMBER(FIND(";",O22)),LEFT(O22,FIND(";",O22)-1),O22))," ",""),"%%c","t"),"ø","t"),"φ","t"),"f","t"),"d","t")</f>
        <v/>
      </c>
      <c r="P96">
        <f>SUBSTITUTE(SUBSTITUTE(SUBSTITUTE(SUBSTITUTE(SUBSTITUTE(SUBSTITUTE(LOWER(IF(ISNUMBER(FIND(";",P22)),LEFT(P22,FIND(";",P22)-1),P22))," ",""),"%%c","t"),"ø","t"),"φ","t"),"f","t"),"d","t")</f>
        <v/>
      </c>
      <c r="Q96">
        <f>SUBSTITUTE(SUBSTITUTE(SUBSTITUTE(SUBSTITUTE(SUBSTITUTE(SUBSTITUTE(LOWER(IF(ISNUMBER(FIND(";",Q22)),LEFT(Q22,FIND(";",Q22)-1),Q22))," ",""),"%%c","t"),"ø","t"),"φ","t"),"f","t"),"d","t")</f>
        <v/>
      </c>
      <c r="R96">
        <f>SUBSTITUTE(SUBSTITUTE(SUBSTITUTE(SUBSTITUTE(SUBSTITUTE(SUBSTITUTE(LOWER(IF(ISNUMBER(FIND(";",R22)),LEFT(R22,FIND(";",R22)-1),R22))," ",""),"%%c","t"),"ø","t"),"φ","t"),"f","t"),"d","t")</f>
        <v/>
      </c>
      <c r="S96">
        <f>SUBSTITUTE(SUBSTITUTE(SUBSTITUTE(SUBSTITUTE(SUBSTITUTE(SUBSTITUTE(LOWER(IF(ISNUMBER(FIND(";",S22)),LEFT(S22,FIND(";",S22)-1),S22))," ",""),"%%c","t"),"ø","t"),"φ","t"),"f","t"),"d","t")</f>
        <v/>
      </c>
      <c r="T96">
        <f>SUBSTITUTE(SUBSTITUTE(SUBSTITUTE(SUBSTITUTE(SUBSTITUTE(SUBSTITUTE(LOWER(IF(ISNUMBER(FIND(";",T22)),LEFT(T22,FIND(";",T22)-1),T22))," ",""),"%%c","t"),"ø","t"),"φ","t"),"f","t"),"d","t")</f>
        <v/>
      </c>
      <c r="U96">
        <f>SUBSTITUTE(SUBSTITUTE(SUBSTITUTE(SUBSTITUTE(SUBSTITUTE(SUBSTITUTE(LOWER(IF(ISNUMBER(FIND(";",U22)),LEFT(U22,FIND(";",U22)-1),U22))," ",""),"%%c","t"),"ø","t"),"φ","t"),"f","t"),"d","t")</f>
        <v/>
      </c>
      <c r="V96">
        <f>SUBSTITUTE(SUBSTITUTE(SUBSTITUTE(SUBSTITUTE(SUBSTITUTE(SUBSTITUTE(LOWER(IF(ISNUMBER(FIND(";",V22)),LEFT(V22,FIND(";",V22)-1),V22))," ",""),"%%c","t"),"ø","t"),"φ","t"),"f","t"),"d","t")</f>
        <v/>
      </c>
      <c r="W96">
        <f>SUBSTITUTE(SUBSTITUTE(SUBSTITUTE(SUBSTITUTE(SUBSTITUTE(SUBSTITUTE(LOWER(IF(ISNUMBER(FIND(";",W22)),LEFT(W22,FIND(";",W22)-1),W22))," ",""),"%%c","t"),"ø","t"),"φ","t"),"f","t"),"d","t")</f>
        <v/>
      </c>
      <c r="X96">
        <f>SUBSTITUTE(SUBSTITUTE(SUBSTITUTE(SUBSTITUTE(SUBSTITUTE(SUBSTITUTE(LOWER(IF(ISNUMBER(FIND(";",X22)),LEFT(X22,FIND(";",X22)-1),X22))," ",""),"%%c","t"),"ø","t"),"φ","t"),"f","t"),"d","t")</f>
        <v/>
      </c>
      <c r="Y96">
        <f>SUBSTITUTE(SUBSTITUTE(SUBSTITUTE(SUBSTITUTE(SUBSTITUTE(SUBSTITUTE(LOWER(IF(ISNUMBER(FIND(";",Y22)),LEFT(Y22,FIND(";",Y22)-1),Y22))," ",""),"%%c","t"),"ø","t"),"φ","t"),"f","t"),"d","t")</f>
        <v/>
      </c>
      <c r="Z96">
        <f>SUBSTITUTE(SUBSTITUTE(SUBSTITUTE(SUBSTITUTE(SUBSTITUTE(SUBSTITUTE(LOWER(IF(ISNUMBER(FIND(";",Z22)),LEFT(Z22,FIND(";",Z22)-1),Z22))," ",""),"%%c","t"),"ø","t"),"φ","t"),"f","t"),"d","t")</f>
        <v/>
      </c>
      <c r="AA96">
        <f>SUBSTITUTE(SUBSTITUTE(SUBSTITUTE(SUBSTITUTE(SUBSTITUTE(SUBSTITUTE(LOWER(IF(ISNUMBER(FIND(";",AA22)),LEFT(AA22,FIND(";",AA22)-1),AA22))," ",""),"%%c","t"),"ø","t"),"φ","t"),"f","t"),"d","t")</f>
        <v/>
      </c>
      <c r="AB96">
        <f>SUBSTITUTE(SUBSTITUTE(SUBSTITUTE(SUBSTITUTE(SUBSTITUTE(SUBSTITUTE(LOWER(IF(ISNUMBER(FIND(";",AB22)),LEFT(AB22,FIND(";",AB22)-1),AB22))," ",""),"%%c","t"),"ø","t"),"φ","t"),"f","t"),"d","t")</f>
        <v/>
      </c>
      <c r="AC96">
        <f>SUBSTITUTE(SUBSTITUTE(SUBSTITUTE(SUBSTITUTE(SUBSTITUTE(SUBSTITUTE(LOWER(IF(ISNUMBER(FIND(";",AC22)),LEFT(AC22,FIND(";",AC22)-1),AC22))," ",""),"%%c","t"),"ø","t"),"φ","t"),"f","t"),"d","t")</f>
        <v/>
      </c>
      <c r="AD96">
        <f>SUBSTITUTE(SUBSTITUTE(SUBSTITUTE(SUBSTITUTE(SUBSTITUTE(SUBSTITUTE(LOWER(IF(ISNUMBER(FIND(";",AD22)),LEFT(AD22,FIND(";",AD22)-1),AD22))," ",""),"%%c","t"),"ø","t"),"φ","t"),"f","t"),"d","t")</f>
        <v/>
      </c>
      <c r="AE96">
        <f>SUBSTITUTE(SUBSTITUTE(SUBSTITUTE(SUBSTITUTE(SUBSTITUTE(SUBSTITUTE(LOWER(IF(ISNUMBER(FIND(";",AE22)),LEFT(AE22,FIND(";",AE22)-1),AE22))," ",""),"%%c","t"),"ø","t"),"φ","t"),"f","t"),"d","t")</f>
        <v/>
      </c>
      <c r="AF96">
        <f>SUBSTITUTE(SUBSTITUTE(SUBSTITUTE(SUBSTITUTE(SUBSTITUTE(SUBSTITUTE(LOWER(IF(ISNUMBER(FIND(";",AF22)),LEFT(AF22,FIND(";",AF22)-1),AF22))," ",""),"%%c","t"),"ø","t"),"φ","t"),"f","t"),"d","t")</f>
        <v/>
      </c>
      <c r="AG96">
        <f>SUBSTITUTE(SUBSTITUTE(SUBSTITUTE(SUBSTITUTE(SUBSTITUTE(SUBSTITUTE(LOWER(IF(ISNUMBER(FIND(";",AG22)),LEFT(AG22,FIND(";",AG22)-1),AG22))," ",""),"%%c","t"),"ø","t"),"φ","t"),"f","t"),"d","t")</f>
        <v/>
      </c>
    </row>
    <row r="97" hidden="1" outlineLevel="1">
      <c r="A97" s="60" t="inlineStr">
        <is>
          <t>(phụ trợ) A_B1L</t>
        </is>
      </c>
      <c r="C97">
        <f>IFERROR(LEFT(LEFT(C96,FIND("+",C96&amp;"+")-1),FIND("t",LEFT(C96,FIND("+",C96&amp;"+")-1))-1)*MID(LEFT(C96,FIND("+",C96&amp;"+")-1),FIND("t",LEFT(C96,FIND("+",C96&amp;"+")-1))+1,2)^2*PI()/400,0)+IFERROR(LEFT(MID(C96,FIND("+",C96&amp;"+")+1,99),FIND("t",MID(C96,FIND("+",C96&amp;"+")+1,99))-1)*MID(MID(C96,FIND("+",C96&amp;"+")+1,99),FIND("t",MID(C96,FIND("+",C96&amp;"+")+1,99))+1,2)^2*PI()/400,0)</f>
        <v/>
      </c>
      <c r="D97">
        <f>IFERROR(LEFT(LEFT(D96,FIND("+",D96&amp;"+")-1),FIND("t",LEFT(D96,FIND("+",D96&amp;"+")-1))-1)*MID(LEFT(D96,FIND("+",D96&amp;"+")-1),FIND("t",LEFT(D96,FIND("+",D96&amp;"+")-1))+1,2)^2*PI()/400,0)+IFERROR(LEFT(MID(D96,FIND("+",D96&amp;"+")+1,99),FIND("t",MID(D96,FIND("+",D96&amp;"+")+1,99))-1)*MID(MID(D96,FIND("+",D96&amp;"+")+1,99),FIND("t",MID(D96,FIND("+",D96&amp;"+")+1,99))+1,2)^2*PI()/400,0)</f>
        <v/>
      </c>
      <c r="E97">
        <f>IFERROR(LEFT(LEFT(E96,FIND("+",E96&amp;"+")-1),FIND("t",LEFT(E96,FIND("+",E96&amp;"+")-1))-1)*MID(LEFT(E96,FIND("+",E96&amp;"+")-1),FIND("t",LEFT(E96,FIND("+",E96&amp;"+")-1))+1,2)^2*PI()/400,0)+IFERROR(LEFT(MID(E96,FIND("+",E96&amp;"+")+1,99),FIND("t",MID(E96,FIND("+",E96&amp;"+")+1,99))-1)*MID(MID(E96,FIND("+",E96&amp;"+")+1,99),FIND("t",MID(E96,FIND("+",E96&amp;"+")+1,99))+1,2)^2*PI()/400,0)</f>
        <v/>
      </c>
      <c r="F97">
        <f>IFERROR(LEFT(LEFT(F96,FIND("+",F96&amp;"+")-1),FIND("t",LEFT(F96,FIND("+",F96&amp;"+")-1))-1)*MID(LEFT(F96,FIND("+",F96&amp;"+")-1),FIND("t",LEFT(F96,FIND("+",F96&amp;"+")-1))+1,2)^2*PI()/400,0)+IFERROR(LEFT(MID(F96,FIND("+",F96&amp;"+")+1,99),FIND("t",MID(F96,FIND("+",F96&amp;"+")+1,99))-1)*MID(MID(F96,FIND("+",F96&amp;"+")+1,99),FIND("t",MID(F96,FIND("+",F96&amp;"+")+1,99))+1,2)^2*PI()/400,0)</f>
        <v/>
      </c>
      <c r="G97">
        <f>IFERROR(LEFT(LEFT(G96,FIND("+",G96&amp;"+")-1),FIND("t",LEFT(G96,FIND("+",G96&amp;"+")-1))-1)*MID(LEFT(G96,FIND("+",G96&amp;"+")-1),FIND("t",LEFT(G96,FIND("+",G96&amp;"+")-1))+1,2)^2*PI()/400,0)+IFERROR(LEFT(MID(G96,FIND("+",G96&amp;"+")+1,99),FIND("t",MID(G96,FIND("+",G96&amp;"+")+1,99))-1)*MID(MID(G96,FIND("+",G96&amp;"+")+1,99),FIND("t",MID(G96,FIND("+",G96&amp;"+")+1,99))+1,2)^2*PI()/400,0)</f>
        <v/>
      </c>
      <c r="H97">
        <f>IFERROR(LEFT(LEFT(H96,FIND("+",H96&amp;"+")-1),FIND("t",LEFT(H96,FIND("+",H96&amp;"+")-1))-1)*MID(LEFT(H96,FIND("+",H96&amp;"+")-1),FIND("t",LEFT(H96,FIND("+",H96&amp;"+")-1))+1,2)^2*PI()/400,0)+IFERROR(LEFT(MID(H96,FIND("+",H96&amp;"+")+1,99),FIND("t",MID(H96,FIND("+",H96&amp;"+")+1,99))-1)*MID(MID(H96,FIND("+",H96&amp;"+")+1,99),FIND("t",MID(H96,FIND("+",H96&amp;"+")+1,99))+1,2)^2*PI()/400,0)</f>
        <v/>
      </c>
      <c r="I97">
        <f>IFERROR(LEFT(LEFT(I96,FIND("+",I96&amp;"+")-1),FIND("t",LEFT(I96,FIND("+",I96&amp;"+")-1))-1)*MID(LEFT(I96,FIND("+",I96&amp;"+")-1),FIND("t",LEFT(I96,FIND("+",I96&amp;"+")-1))+1,2)^2*PI()/400,0)+IFERROR(LEFT(MID(I96,FIND("+",I96&amp;"+")+1,99),FIND("t",MID(I96,FIND("+",I96&amp;"+")+1,99))-1)*MID(MID(I96,FIND("+",I96&amp;"+")+1,99),FIND("t",MID(I96,FIND("+",I96&amp;"+")+1,99))+1,2)^2*PI()/400,0)</f>
        <v/>
      </c>
      <c r="J97">
        <f>IFERROR(LEFT(LEFT(J96,FIND("+",J96&amp;"+")-1),FIND("t",LEFT(J96,FIND("+",J96&amp;"+")-1))-1)*MID(LEFT(J96,FIND("+",J96&amp;"+")-1),FIND("t",LEFT(J96,FIND("+",J96&amp;"+")-1))+1,2)^2*PI()/400,0)+IFERROR(LEFT(MID(J96,FIND("+",J96&amp;"+")+1,99),FIND("t",MID(J96,FIND("+",J96&amp;"+")+1,99))-1)*MID(MID(J96,FIND("+",J96&amp;"+")+1,99),FIND("t",MID(J96,FIND("+",J96&amp;"+")+1,99))+1,2)^2*PI()/400,0)</f>
        <v/>
      </c>
      <c r="K97">
        <f>IFERROR(LEFT(LEFT(K96,FIND("+",K96&amp;"+")-1),FIND("t",LEFT(K96,FIND("+",K96&amp;"+")-1))-1)*MID(LEFT(K96,FIND("+",K96&amp;"+")-1),FIND("t",LEFT(K96,FIND("+",K96&amp;"+")-1))+1,2)^2*PI()/400,0)+IFERROR(LEFT(MID(K96,FIND("+",K96&amp;"+")+1,99),FIND("t",MID(K96,FIND("+",K96&amp;"+")+1,99))-1)*MID(MID(K96,FIND("+",K96&amp;"+")+1,99),FIND("t",MID(K96,FIND("+",K96&amp;"+")+1,99))+1,2)^2*PI()/400,0)</f>
        <v/>
      </c>
      <c r="L97">
        <f>IFERROR(LEFT(LEFT(L96,FIND("+",L96&amp;"+")-1),FIND("t",LEFT(L96,FIND("+",L96&amp;"+")-1))-1)*MID(LEFT(L96,FIND("+",L96&amp;"+")-1),FIND("t",LEFT(L96,FIND("+",L96&amp;"+")-1))+1,2)^2*PI()/400,0)+IFERROR(LEFT(MID(L96,FIND("+",L96&amp;"+")+1,99),FIND("t",MID(L96,FIND("+",L96&amp;"+")+1,99))-1)*MID(MID(L96,FIND("+",L96&amp;"+")+1,99),FIND("t",MID(L96,FIND("+",L96&amp;"+")+1,99))+1,2)^2*PI()/400,0)</f>
        <v/>
      </c>
      <c r="M97">
        <f>IFERROR(LEFT(LEFT(M96,FIND("+",M96&amp;"+")-1),FIND("t",LEFT(M96,FIND("+",M96&amp;"+")-1))-1)*MID(LEFT(M96,FIND("+",M96&amp;"+")-1),FIND("t",LEFT(M96,FIND("+",M96&amp;"+")-1))+1,2)^2*PI()/400,0)+IFERROR(LEFT(MID(M96,FIND("+",M96&amp;"+")+1,99),FIND("t",MID(M96,FIND("+",M96&amp;"+")+1,99))-1)*MID(MID(M96,FIND("+",M96&amp;"+")+1,99),FIND("t",MID(M96,FIND("+",M96&amp;"+")+1,99))+1,2)^2*PI()/400,0)</f>
        <v/>
      </c>
      <c r="N97">
        <f>IFERROR(LEFT(LEFT(N96,FIND("+",N96&amp;"+")-1),FIND("t",LEFT(N96,FIND("+",N96&amp;"+")-1))-1)*MID(LEFT(N96,FIND("+",N96&amp;"+")-1),FIND("t",LEFT(N96,FIND("+",N96&amp;"+")-1))+1,2)^2*PI()/400,0)+IFERROR(LEFT(MID(N96,FIND("+",N96&amp;"+")+1,99),FIND("t",MID(N96,FIND("+",N96&amp;"+")+1,99))-1)*MID(MID(N96,FIND("+",N96&amp;"+")+1,99),FIND("t",MID(N96,FIND("+",N96&amp;"+")+1,99))+1,2)^2*PI()/400,0)</f>
        <v/>
      </c>
      <c r="O97">
        <f>IFERROR(LEFT(LEFT(O96,FIND("+",O96&amp;"+")-1),FIND("t",LEFT(O96,FIND("+",O96&amp;"+")-1))-1)*MID(LEFT(O96,FIND("+",O96&amp;"+")-1),FIND("t",LEFT(O96,FIND("+",O96&amp;"+")-1))+1,2)^2*PI()/400,0)+IFERROR(LEFT(MID(O96,FIND("+",O96&amp;"+")+1,99),FIND("t",MID(O96,FIND("+",O96&amp;"+")+1,99))-1)*MID(MID(O96,FIND("+",O96&amp;"+")+1,99),FIND("t",MID(O96,FIND("+",O96&amp;"+")+1,99))+1,2)^2*PI()/400,0)</f>
        <v/>
      </c>
      <c r="P97">
        <f>IFERROR(LEFT(LEFT(P96,FIND("+",P96&amp;"+")-1),FIND("t",LEFT(P96,FIND("+",P96&amp;"+")-1))-1)*MID(LEFT(P96,FIND("+",P96&amp;"+")-1),FIND("t",LEFT(P96,FIND("+",P96&amp;"+")-1))+1,2)^2*PI()/400,0)+IFERROR(LEFT(MID(P96,FIND("+",P96&amp;"+")+1,99),FIND("t",MID(P96,FIND("+",P96&amp;"+")+1,99))-1)*MID(MID(P96,FIND("+",P96&amp;"+")+1,99),FIND("t",MID(P96,FIND("+",P96&amp;"+")+1,99))+1,2)^2*PI()/400,0)</f>
        <v/>
      </c>
      <c r="Q97">
        <f>IFERROR(LEFT(LEFT(Q96,FIND("+",Q96&amp;"+")-1),FIND("t",LEFT(Q96,FIND("+",Q96&amp;"+")-1))-1)*MID(LEFT(Q96,FIND("+",Q96&amp;"+")-1),FIND("t",LEFT(Q96,FIND("+",Q96&amp;"+")-1))+1,2)^2*PI()/400,0)+IFERROR(LEFT(MID(Q96,FIND("+",Q96&amp;"+")+1,99),FIND("t",MID(Q96,FIND("+",Q96&amp;"+")+1,99))-1)*MID(MID(Q96,FIND("+",Q96&amp;"+")+1,99),FIND("t",MID(Q96,FIND("+",Q96&amp;"+")+1,99))+1,2)^2*PI()/400,0)</f>
        <v/>
      </c>
      <c r="R97">
        <f>IFERROR(LEFT(LEFT(R96,FIND("+",R96&amp;"+")-1),FIND("t",LEFT(R96,FIND("+",R96&amp;"+")-1))-1)*MID(LEFT(R96,FIND("+",R96&amp;"+")-1),FIND("t",LEFT(R96,FIND("+",R96&amp;"+")-1))+1,2)^2*PI()/400,0)+IFERROR(LEFT(MID(R96,FIND("+",R96&amp;"+")+1,99),FIND("t",MID(R96,FIND("+",R96&amp;"+")+1,99))-1)*MID(MID(R96,FIND("+",R96&amp;"+")+1,99),FIND("t",MID(R96,FIND("+",R96&amp;"+")+1,99))+1,2)^2*PI()/400,0)</f>
        <v/>
      </c>
      <c r="S97">
        <f>IFERROR(LEFT(LEFT(S96,FIND("+",S96&amp;"+")-1),FIND("t",LEFT(S96,FIND("+",S96&amp;"+")-1))-1)*MID(LEFT(S96,FIND("+",S96&amp;"+")-1),FIND("t",LEFT(S96,FIND("+",S96&amp;"+")-1))+1,2)^2*PI()/400,0)+IFERROR(LEFT(MID(S96,FIND("+",S96&amp;"+")+1,99),FIND("t",MID(S96,FIND("+",S96&amp;"+")+1,99))-1)*MID(MID(S96,FIND("+",S96&amp;"+")+1,99),FIND("t",MID(S96,FIND("+",S96&amp;"+")+1,99))+1,2)^2*PI()/400,0)</f>
        <v/>
      </c>
      <c r="T97">
        <f>IFERROR(LEFT(LEFT(T96,FIND("+",T96&amp;"+")-1),FIND("t",LEFT(T96,FIND("+",T96&amp;"+")-1))-1)*MID(LEFT(T96,FIND("+",T96&amp;"+")-1),FIND("t",LEFT(T96,FIND("+",T96&amp;"+")-1))+1,2)^2*PI()/400,0)+IFERROR(LEFT(MID(T96,FIND("+",T96&amp;"+")+1,99),FIND("t",MID(T96,FIND("+",T96&amp;"+")+1,99))-1)*MID(MID(T96,FIND("+",T96&amp;"+")+1,99),FIND("t",MID(T96,FIND("+",T96&amp;"+")+1,99))+1,2)^2*PI()/400,0)</f>
        <v/>
      </c>
      <c r="U97">
        <f>IFERROR(LEFT(LEFT(U96,FIND("+",U96&amp;"+")-1),FIND("t",LEFT(U96,FIND("+",U96&amp;"+")-1))-1)*MID(LEFT(U96,FIND("+",U96&amp;"+")-1),FIND("t",LEFT(U96,FIND("+",U96&amp;"+")-1))+1,2)^2*PI()/400,0)+IFERROR(LEFT(MID(U96,FIND("+",U96&amp;"+")+1,99),FIND("t",MID(U96,FIND("+",U96&amp;"+")+1,99))-1)*MID(MID(U96,FIND("+",U96&amp;"+")+1,99),FIND("t",MID(U96,FIND("+",U96&amp;"+")+1,99))+1,2)^2*PI()/400,0)</f>
        <v/>
      </c>
      <c r="V97">
        <f>IFERROR(LEFT(LEFT(V96,FIND("+",V96&amp;"+")-1),FIND("t",LEFT(V96,FIND("+",V96&amp;"+")-1))-1)*MID(LEFT(V96,FIND("+",V96&amp;"+")-1),FIND("t",LEFT(V96,FIND("+",V96&amp;"+")-1))+1,2)^2*PI()/400,0)+IFERROR(LEFT(MID(V96,FIND("+",V96&amp;"+")+1,99),FIND("t",MID(V96,FIND("+",V96&amp;"+")+1,99))-1)*MID(MID(V96,FIND("+",V96&amp;"+")+1,99),FIND("t",MID(V96,FIND("+",V96&amp;"+")+1,99))+1,2)^2*PI()/400,0)</f>
        <v/>
      </c>
      <c r="W97">
        <f>IFERROR(LEFT(LEFT(W96,FIND("+",W96&amp;"+")-1),FIND("t",LEFT(W96,FIND("+",W96&amp;"+")-1))-1)*MID(LEFT(W96,FIND("+",W96&amp;"+")-1),FIND("t",LEFT(W96,FIND("+",W96&amp;"+")-1))+1,2)^2*PI()/400,0)+IFERROR(LEFT(MID(W96,FIND("+",W96&amp;"+")+1,99),FIND("t",MID(W96,FIND("+",W96&amp;"+")+1,99))-1)*MID(MID(W96,FIND("+",W96&amp;"+")+1,99),FIND("t",MID(W96,FIND("+",W96&amp;"+")+1,99))+1,2)^2*PI()/400,0)</f>
        <v/>
      </c>
      <c r="X97">
        <f>IFERROR(LEFT(LEFT(X96,FIND("+",X96&amp;"+")-1),FIND("t",LEFT(X96,FIND("+",X96&amp;"+")-1))-1)*MID(LEFT(X96,FIND("+",X96&amp;"+")-1),FIND("t",LEFT(X96,FIND("+",X96&amp;"+")-1))+1,2)^2*PI()/400,0)+IFERROR(LEFT(MID(X96,FIND("+",X96&amp;"+")+1,99),FIND("t",MID(X96,FIND("+",X96&amp;"+")+1,99))-1)*MID(MID(X96,FIND("+",X96&amp;"+")+1,99),FIND("t",MID(X96,FIND("+",X96&amp;"+")+1,99))+1,2)^2*PI()/400,0)</f>
        <v/>
      </c>
      <c r="Y97">
        <f>IFERROR(LEFT(LEFT(Y96,FIND("+",Y96&amp;"+")-1),FIND("t",LEFT(Y96,FIND("+",Y96&amp;"+")-1))-1)*MID(LEFT(Y96,FIND("+",Y96&amp;"+")-1),FIND("t",LEFT(Y96,FIND("+",Y96&amp;"+")-1))+1,2)^2*PI()/400,0)+IFERROR(LEFT(MID(Y96,FIND("+",Y96&amp;"+")+1,99),FIND("t",MID(Y96,FIND("+",Y96&amp;"+")+1,99))-1)*MID(MID(Y96,FIND("+",Y96&amp;"+")+1,99),FIND("t",MID(Y96,FIND("+",Y96&amp;"+")+1,99))+1,2)^2*PI()/400,0)</f>
        <v/>
      </c>
      <c r="Z97">
        <f>IFERROR(LEFT(LEFT(Z96,FIND("+",Z96&amp;"+")-1),FIND("t",LEFT(Z96,FIND("+",Z96&amp;"+")-1))-1)*MID(LEFT(Z96,FIND("+",Z96&amp;"+")-1),FIND("t",LEFT(Z96,FIND("+",Z96&amp;"+")-1))+1,2)^2*PI()/400,0)+IFERROR(LEFT(MID(Z96,FIND("+",Z96&amp;"+")+1,99),FIND("t",MID(Z96,FIND("+",Z96&amp;"+")+1,99))-1)*MID(MID(Z96,FIND("+",Z96&amp;"+")+1,99),FIND("t",MID(Z96,FIND("+",Z96&amp;"+")+1,99))+1,2)^2*PI()/400,0)</f>
        <v/>
      </c>
      <c r="AA97">
        <f>IFERROR(LEFT(LEFT(AA96,FIND("+",AA96&amp;"+")-1),FIND("t",LEFT(AA96,FIND("+",AA96&amp;"+")-1))-1)*MID(LEFT(AA96,FIND("+",AA96&amp;"+")-1),FIND("t",LEFT(AA96,FIND("+",AA96&amp;"+")-1))+1,2)^2*PI()/400,0)+IFERROR(LEFT(MID(AA96,FIND("+",AA96&amp;"+")+1,99),FIND("t",MID(AA96,FIND("+",AA96&amp;"+")+1,99))-1)*MID(MID(AA96,FIND("+",AA96&amp;"+")+1,99),FIND("t",MID(AA96,FIND("+",AA96&amp;"+")+1,99))+1,2)^2*PI()/400,0)</f>
        <v/>
      </c>
      <c r="AB97">
        <f>IFERROR(LEFT(LEFT(AB96,FIND("+",AB96&amp;"+")-1),FIND("t",LEFT(AB96,FIND("+",AB96&amp;"+")-1))-1)*MID(LEFT(AB96,FIND("+",AB96&amp;"+")-1),FIND("t",LEFT(AB96,FIND("+",AB96&amp;"+")-1))+1,2)^2*PI()/400,0)+IFERROR(LEFT(MID(AB96,FIND("+",AB96&amp;"+")+1,99),FIND("t",MID(AB96,FIND("+",AB96&amp;"+")+1,99))-1)*MID(MID(AB96,FIND("+",AB96&amp;"+")+1,99),FIND("t",MID(AB96,FIND("+",AB96&amp;"+")+1,99))+1,2)^2*PI()/400,0)</f>
        <v/>
      </c>
      <c r="AC97">
        <f>IFERROR(LEFT(LEFT(AC96,FIND("+",AC96&amp;"+")-1),FIND("t",LEFT(AC96,FIND("+",AC96&amp;"+")-1))-1)*MID(LEFT(AC96,FIND("+",AC96&amp;"+")-1),FIND("t",LEFT(AC96,FIND("+",AC96&amp;"+")-1))+1,2)^2*PI()/400,0)+IFERROR(LEFT(MID(AC96,FIND("+",AC96&amp;"+")+1,99),FIND("t",MID(AC96,FIND("+",AC96&amp;"+")+1,99))-1)*MID(MID(AC96,FIND("+",AC96&amp;"+")+1,99),FIND("t",MID(AC96,FIND("+",AC96&amp;"+")+1,99))+1,2)^2*PI()/400,0)</f>
        <v/>
      </c>
      <c r="AD97">
        <f>IFERROR(LEFT(LEFT(AD96,FIND("+",AD96&amp;"+")-1),FIND("t",LEFT(AD96,FIND("+",AD96&amp;"+")-1))-1)*MID(LEFT(AD96,FIND("+",AD96&amp;"+")-1),FIND("t",LEFT(AD96,FIND("+",AD96&amp;"+")-1))+1,2)^2*PI()/400,0)+IFERROR(LEFT(MID(AD96,FIND("+",AD96&amp;"+")+1,99),FIND("t",MID(AD96,FIND("+",AD96&amp;"+")+1,99))-1)*MID(MID(AD96,FIND("+",AD96&amp;"+")+1,99),FIND("t",MID(AD96,FIND("+",AD96&amp;"+")+1,99))+1,2)^2*PI()/400,0)</f>
        <v/>
      </c>
      <c r="AE97">
        <f>IFERROR(LEFT(LEFT(AE96,FIND("+",AE96&amp;"+")-1),FIND("t",LEFT(AE96,FIND("+",AE96&amp;"+")-1))-1)*MID(LEFT(AE96,FIND("+",AE96&amp;"+")-1),FIND("t",LEFT(AE96,FIND("+",AE96&amp;"+")-1))+1,2)^2*PI()/400,0)+IFERROR(LEFT(MID(AE96,FIND("+",AE96&amp;"+")+1,99),FIND("t",MID(AE96,FIND("+",AE96&amp;"+")+1,99))-1)*MID(MID(AE96,FIND("+",AE96&amp;"+")+1,99),FIND("t",MID(AE96,FIND("+",AE96&amp;"+")+1,99))+1,2)^2*PI()/400,0)</f>
        <v/>
      </c>
      <c r="AF97">
        <f>IFERROR(LEFT(LEFT(AF96,FIND("+",AF96&amp;"+")-1),FIND("t",LEFT(AF96,FIND("+",AF96&amp;"+")-1))-1)*MID(LEFT(AF96,FIND("+",AF96&amp;"+")-1),FIND("t",LEFT(AF96,FIND("+",AF96&amp;"+")-1))+1,2)^2*PI()/400,0)+IFERROR(LEFT(MID(AF96,FIND("+",AF96&amp;"+")+1,99),FIND("t",MID(AF96,FIND("+",AF96&amp;"+")+1,99))-1)*MID(MID(AF96,FIND("+",AF96&amp;"+")+1,99),FIND("t",MID(AF96,FIND("+",AF96&amp;"+")+1,99))+1,2)^2*PI()/400,0)</f>
        <v/>
      </c>
      <c r="AG97">
        <f>IFERROR(LEFT(LEFT(AG96,FIND("+",AG96&amp;"+")-1),FIND("t",LEFT(AG96,FIND("+",AG96&amp;"+")-1))-1)*MID(LEFT(AG96,FIND("+",AG96&amp;"+")-1),FIND("t",LEFT(AG96,FIND("+",AG96&amp;"+")-1))+1,2)^2*PI()/400,0)+IFERROR(LEFT(MID(AG96,FIND("+",AG96&amp;"+")+1,99),FIND("t",MID(AG96,FIND("+",AG96&amp;"+")+1,99))-1)*MID(MID(AG96,FIND("+",AG96&amp;"+")+1,99),FIND("t",MID(AG96,FIND("+",AG96&amp;"+")+1,99))+1,2)^2*PI()/400,0)</f>
        <v/>
      </c>
    </row>
    <row r="98" hidden="1" outlineLevel="1">
      <c r="A98" s="60" t="inlineStr">
        <is>
          <t>(phụ trợ) N_B1R</t>
        </is>
      </c>
      <c r="C98">
        <f>SUBSTITUTE(SUBSTITUTE(SUBSTITUTE(SUBSTITUTE(SUBSTITUTE(SUBSTITUTE(LOWER(IF(ISNUMBER(FIND(";",C22)),MID(C22,FIND(";",C22)+1,99),C22))," ",""),"%%c","t"),"ø","t"),"φ","t"),"f","t"),"d","t")</f>
        <v/>
      </c>
      <c r="D98">
        <f>SUBSTITUTE(SUBSTITUTE(SUBSTITUTE(SUBSTITUTE(SUBSTITUTE(SUBSTITUTE(LOWER(IF(ISNUMBER(FIND(";",D22)),MID(D22,FIND(";",D22)+1,99),D22))," ",""),"%%c","t"),"ø","t"),"φ","t"),"f","t"),"d","t")</f>
        <v/>
      </c>
      <c r="E98">
        <f>SUBSTITUTE(SUBSTITUTE(SUBSTITUTE(SUBSTITUTE(SUBSTITUTE(SUBSTITUTE(LOWER(IF(ISNUMBER(FIND(";",E22)),MID(E22,FIND(";",E22)+1,99),E22))," ",""),"%%c","t"),"ø","t"),"φ","t"),"f","t"),"d","t")</f>
        <v/>
      </c>
      <c r="F98">
        <f>SUBSTITUTE(SUBSTITUTE(SUBSTITUTE(SUBSTITUTE(SUBSTITUTE(SUBSTITUTE(LOWER(IF(ISNUMBER(FIND(";",F22)),MID(F22,FIND(";",F22)+1,99),F22))," ",""),"%%c","t"),"ø","t"),"φ","t"),"f","t"),"d","t")</f>
        <v/>
      </c>
      <c r="G98">
        <f>SUBSTITUTE(SUBSTITUTE(SUBSTITUTE(SUBSTITUTE(SUBSTITUTE(SUBSTITUTE(LOWER(IF(ISNUMBER(FIND(";",G22)),MID(G22,FIND(";",G22)+1,99),G22))," ",""),"%%c","t"),"ø","t"),"φ","t"),"f","t"),"d","t")</f>
        <v/>
      </c>
      <c r="H98">
        <f>SUBSTITUTE(SUBSTITUTE(SUBSTITUTE(SUBSTITUTE(SUBSTITUTE(SUBSTITUTE(LOWER(IF(ISNUMBER(FIND(";",H22)),MID(H22,FIND(";",H22)+1,99),H22))," ",""),"%%c","t"),"ø","t"),"φ","t"),"f","t"),"d","t")</f>
        <v/>
      </c>
      <c r="I98">
        <f>SUBSTITUTE(SUBSTITUTE(SUBSTITUTE(SUBSTITUTE(SUBSTITUTE(SUBSTITUTE(LOWER(IF(ISNUMBER(FIND(";",I22)),MID(I22,FIND(";",I22)+1,99),I22))," ",""),"%%c","t"),"ø","t"),"φ","t"),"f","t"),"d","t")</f>
        <v/>
      </c>
      <c r="J98">
        <f>SUBSTITUTE(SUBSTITUTE(SUBSTITUTE(SUBSTITUTE(SUBSTITUTE(SUBSTITUTE(LOWER(IF(ISNUMBER(FIND(";",J22)),MID(J22,FIND(";",J22)+1,99),J22))," ",""),"%%c","t"),"ø","t"),"φ","t"),"f","t"),"d","t")</f>
        <v/>
      </c>
      <c r="K98">
        <f>SUBSTITUTE(SUBSTITUTE(SUBSTITUTE(SUBSTITUTE(SUBSTITUTE(SUBSTITUTE(LOWER(IF(ISNUMBER(FIND(";",K22)),MID(K22,FIND(";",K22)+1,99),K22))," ",""),"%%c","t"),"ø","t"),"φ","t"),"f","t"),"d","t")</f>
        <v/>
      </c>
      <c r="L98">
        <f>SUBSTITUTE(SUBSTITUTE(SUBSTITUTE(SUBSTITUTE(SUBSTITUTE(SUBSTITUTE(LOWER(IF(ISNUMBER(FIND(";",L22)),MID(L22,FIND(";",L22)+1,99),L22))," ",""),"%%c","t"),"ø","t"),"φ","t"),"f","t"),"d","t")</f>
        <v/>
      </c>
      <c r="M98">
        <f>SUBSTITUTE(SUBSTITUTE(SUBSTITUTE(SUBSTITUTE(SUBSTITUTE(SUBSTITUTE(LOWER(IF(ISNUMBER(FIND(";",M22)),MID(M22,FIND(";",M22)+1,99),M22))," ",""),"%%c","t"),"ø","t"),"φ","t"),"f","t"),"d","t")</f>
        <v/>
      </c>
      <c r="N98">
        <f>SUBSTITUTE(SUBSTITUTE(SUBSTITUTE(SUBSTITUTE(SUBSTITUTE(SUBSTITUTE(LOWER(IF(ISNUMBER(FIND(";",N22)),MID(N22,FIND(";",N22)+1,99),N22))," ",""),"%%c","t"),"ø","t"),"φ","t"),"f","t"),"d","t")</f>
        <v/>
      </c>
      <c r="O98">
        <f>SUBSTITUTE(SUBSTITUTE(SUBSTITUTE(SUBSTITUTE(SUBSTITUTE(SUBSTITUTE(LOWER(IF(ISNUMBER(FIND(";",O22)),MID(O22,FIND(";",O22)+1,99),O22))," ",""),"%%c","t"),"ø","t"),"φ","t"),"f","t"),"d","t")</f>
        <v/>
      </c>
      <c r="P98">
        <f>SUBSTITUTE(SUBSTITUTE(SUBSTITUTE(SUBSTITUTE(SUBSTITUTE(SUBSTITUTE(LOWER(IF(ISNUMBER(FIND(";",P22)),MID(P22,FIND(";",P22)+1,99),P22))," ",""),"%%c","t"),"ø","t"),"φ","t"),"f","t"),"d","t")</f>
        <v/>
      </c>
      <c r="Q98">
        <f>SUBSTITUTE(SUBSTITUTE(SUBSTITUTE(SUBSTITUTE(SUBSTITUTE(SUBSTITUTE(LOWER(IF(ISNUMBER(FIND(";",Q22)),MID(Q22,FIND(";",Q22)+1,99),Q22))," ",""),"%%c","t"),"ø","t"),"φ","t"),"f","t"),"d","t")</f>
        <v/>
      </c>
      <c r="R98">
        <f>SUBSTITUTE(SUBSTITUTE(SUBSTITUTE(SUBSTITUTE(SUBSTITUTE(SUBSTITUTE(LOWER(IF(ISNUMBER(FIND(";",R22)),MID(R22,FIND(";",R22)+1,99),R22))," ",""),"%%c","t"),"ø","t"),"φ","t"),"f","t"),"d","t")</f>
        <v/>
      </c>
      <c r="S98">
        <f>SUBSTITUTE(SUBSTITUTE(SUBSTITUTE(SUBSTITUTE(SUBSTITUTE(SUBSTITUTE(LOWER(IF(ISNUMBER(FIND(";",S22)),MID(S22,FIND(";",S22)+1,99),S22))," ",""),"%%c","t"),"ø","t"),"φ","t"),"f","t"),"d","t")</f>
        <v/>
      </c>
      <c r="T98">
        <f>SUBSTITUTE(SUBSTITUTE(SUBSTITUTE(SUBSTITUTE(SUBSTITUTE(SUBSTITUTE(LOWER(IF(ISNUMBER(FIND(";",T22)),MID(T22,FIND(";",T22)+1,99),T22))," ",""),"%%c","t"),"ø","t"),"φ","t"),"f","t"),"d","t")</f>
        <v/>
      </c>
      <c r="U98">
        <f>SUBSTITUTE(SUBSTITUTE(SUBSTITUTE(SUBSTITUTE(SUBSTITUTE(SUBSTITUTE(LOWER(IF(ISNUMBER(FIND(";",U22)),MID(U22,FIND(";",U22)+1,99),U22))," ",""),"%%c","t"),"ø","t"),"φ","t"),"f","t"),"d","t")</f>
        <v/>
      </c>
      <c r="V98">
        <f>SUBSTITUTE(SUBSTITUTE(SUBSTITUTE(SUBSTITUTE(SUBSTITUTE(SUBSTITUTE(LOWER(IF(ISNUMBER(FIND(";",V22)),MID(V22,FIND(";",V22)+1,99),V22))," ",""),"%%c","t"),"ø","t"),"φ","t"),"f","t"),"d","t")</f>
        <v/>
      </c>
      <c r="W98">
        <f>SUBSTITUTE(SUBSTITUTE(SUBSTITUTE(SUBSTITUTE(SUBSTITUTE(SUBSTITUTE(LOWER(IF(ISNUMBER(FIND(";",W22)),MID(W22,FIND(";",W22)+1,99),W22))," ",""),"%%c","t"),"ø","t"),"φ","t"),"f","t"),"d","t")</f>
        <v/>
      </c>
      <c r="X98">
        <f>SUBSTITUTE(SUBSTITUTE(SUBSTITUTE(SUBSTITUTE(SUBSTITUTE(SUBSTITUTE(LOWER(IF(ISNUMBER(FIND(";",X22)),MID(X22,FIND(";",X22)+1,99),X22))," ",""),"%%c","t"),"ø","t"),"φ","t"),"f","t"),"d","t")</f>
        <v/>
      </c>
      <c r="Y98">
        <f>SUBSTITUTE(SUBSTITUTE(SUBSTITUTE(SUBSTITUTE(SUBSTITUTE(SUBSTITUTE(LOWER(IF(ISNUMBER(FIND(";",Y22)),MID(Y22,FIND(";",Y22)+1,99),Y22))," ",""),"%%c","t"),"ø","t"),"φ","t"),"f","t"),"d","t")</f>
        <v/>
      </c>
      <c r="Z98">
        <f>SUBSTITUTE(SUBSTITUTE(SUBSTITUTE(SUBSTITUTE(SUBSTITUTE(SUBSTITUTE(LOWER(IF(ISNUMBER(FIND(";",Z22)),MID(Z22,FIND(";",Z22)+1,99),Z22))," ",""),"%%c","t"),"ø","t"),"φ","t"),"f","t"),"d","t")</f>
        <v/>
      </c>
      <c r="AA98">
        <f>SUBSTITUTE(SUBSTITUTE(SUBSTITUTE(SUBSTITUTE(SUBSTITUTE(SUBSTITUTE(LOWER(IF(ISNUMBER(FIND(";",AA22)),MID(AA22,FIND(";",AA22)+1,99),AA22))," ",""),"%%c","t"),"ø","t"),"φ","t"),"f","t"),"d","t")</f>
        <v/>
      </c>
      <c r="AB98">
        <f>SUBSTITUTE(SUBSTITUTE(SUBSTITUTE(SUBSTITUTE(SUBSTITUTE(SUBSTITUTE(LOWER(IF(ISNUMBER(FIND(";",AB22)),MID(AB22,FIND(";",AB22)+1,99),AB22))," ",""),"%%c","t"),"ø","t"),"φ","t"),"f","t"),"d","t")</f>
        <v/>
      </c>
      <c r="AC98">
        <f>SUBSTITUTE(SUBSTITUTE(SUBSTITUTE(SUBSTITUTE(SUBSTITUTE(SUBSTITUTE(LOWER(IF(ISNUMBER(FIND(";",AC22)),MID(AC22,FIND(";",AC22)+1,99),AC22))," ",""),"%%c","t"),"ø","t"),"φ","t"),"f","t"),"d","t")</f>
        <v/>
      </c>
      <c r="AD98">
        <f>SUBSTITUTE(SUBSTITUTE(SUBSTITUTE(SUBSTITUTE(SUBSTITUTE(SUBSTITUTE(LOWER(IF(ISNUMBER(FIND(";",AD22)),MID(AD22,FIND(";",AD22)+1,99),AD22))," ",""),"%%c","t"),"ø","t"),"φ","t"),"f","t"),"d","t")</f>
        <v/>
      </c>
      <c r="AE98">
        <f>SUBSTITUTE(SUBSTITUTE(SUBSTITUTE(SUBSTITUTE(SUBSTITUTE(SUBSTITUTE(LOWER(IF(ISNUMBER(FIND(";",AE22)),MID(AE22,FIND(";",AE22)+1,99),AE22))," ",""),"%%c","t"),"ø","t"),"φ","t"),"f","t"),"d","t")</f>
        <v/>
      </c>
      <c r="AF98">
        <f>SUBSTITUTE(SUBSTITUTE(SUBSTITUTE(SUBSTITUTE(SUBSTITUTE(SUBSTITUTE(LOWER(IF(ISNUMBER(FIND(";",AF22)),MID(AF22,FIND(";",AF22)+1,99),AF22))," ",""),"%%c","t"),"ø","t"),"φ","t"),"f","t"),"d","t")</f>
        <v/>
      </c>
      <c r="AG98">
        <f>SUBSTITUTE(SUBSTITUTE(SUBSTITUTE(SUBSTITUTE(SUBSTITUTE(SUBSTITUTE(LOWER(IF(ISNUMBER(FIND(";",AG22)),MID(AG22,FIND(";",AG22)+1,99),AG22))," ",""),"%%c","t"),"ø","t"),"φ","t"),"f","t"),"d","t")</f>
        <v/>
      </c>
    </row>
    <row r="99" hidden="1" outlineLevel="1">
      <c r="A99" s="60" t="inlineStr">
        <is>
          <t>(phụ trợ) A_B1R</t>
        </is>
      </c>
      <c r="C99">
        <f>IFERROR(LEFT(LEFT(C98,FIND("+",C98&amp;"+")-1),FIND("t",LEFT(C98,FIND("+",C98&amp;"+")-1))-1)*MID(LEFT(C98,FIND("+",C98&amp;"+")-1),FIND("t",LEFT(C98,FIND("+",C98&amp;"+")-1))+1,2)^2*PI()/400,0)+IFERROR(LEFT(MID(C98,FIND("+",C98&amp;"+")+1,99),FIND("t",MID(C98,FIND("+",C98&amp;"+")+1,99))-1)*MID(MID(C98,FIND("+",C98&amp;"+")+1,99),FIND("t",MID(C98,FIND("+",C98&amp;"+")+1,99))+1,2)^2*PI()/400,0)</f>
        <v/>
      </c>
      <c r="D99">
        <f>IFERROR(LEFT(LEFT(D98,FIND("+",D98&amp;"+")-1),FIND("t",LEFT(D98,FIND("+",D98&amp;"+")-1))-1)*MID(LEFT(D98,FIND("+",D98&amp;"+")-1),FIND("t",LEFT(D98,FIND("+",D98&amp;"+")-1))+1,2)^2*PI()/400,0)+IFERROR(LEFT(MID(D98,FIND("+",D98&amp;"+")+1,99),FIND("t",MID(D98,FIND("+",D98&amp;"+")+1,99))-1)*MID(MID(D98,FIND("+",D98&amp;"+")+1,99),FIND("t",MID(D98,FIND("+",D98&amp;"+")+1,99))+1,2)^2*PI()/400,0)</f>
        <v/>
      </c>
      <c r="E99">
        <f>IFERROR(LEFT(LEFT(E98,FIND("+",E98&amp;"+")-1),FIND("t",LEFT(E98,FIND("+",E98&amp;"+")-1))-1)*MID(LEFT(E98,FIND("+",E98&amp;"+")-1),FIND("t",LEFT(E98,FIND("+",E98&amp;"+")-1))+1,2)^2*PI()/400,0)+IFERROR(LEFT(MID(E98,FIND("+",E98&amp;"+")+1,99),FIND("t",MID(E98,FIND("+",E98&amp;"+")+1,99))-1)*MID(MID(E98,FIND("+",E98&amp;"+")+1,99),FIND("t",MID(E98,FIND("+",E98&amp;"+")+1,99))+1,2)^2*PI()/400,0)</f>
        <v/>
      </c>
      <c r="F99">
        <f>IFERROR(LEFT(LEFT(F98,FIND("+",F98&amp;"+")-1),FIND("t",LEFT(F98,FIND("+",F98&amp;"+")-1))-1)*MID(LEFT(F98,FIND("+",F98&amp;"+")-1),FIND("t",LEFT(F98,FIND("+",F98&amp;"+")-1))+1,2)^2*PI()/400,0)+IFERROR(LEFT(MID(F98,FIND("+",F98&amp;"+")+1,99),FIND("t",MID(F98,FIND("+",F98&amp;"+")+1,99))-1)*MID(MID(F98,FIND("+",F98&amp;"+")+1,99),FIND("t",MID(F98,FIND("+",F98&amp;"+")+1,99))+1,2)^2*PI()/400,0)</f>
        <v/>
      </c>
      <c r="G99">
        <f>IFERROR(LEFT(LEFT(G98,FIND("+",G98&amp;"+")-1),FIND("t",LEFT(G98,FIND("+",G98&amp;"+")-1))-1)*MID(LEFT(G98,FIND("+",G98&amp;"+")-1),FIND("t",LEFT(G98,FIND("+",G98&amp;"+")-1))+1,2)^2*PI()/400,0)+IFERROR(LEFT(MID(G98,FIND("+",G98&amp;"+")+1,99),FIND("t",MID(G98,FIND("+",G98&amp;"+")+1,99))-1)*MID(MID(G98,FIND("+",G98&amp;"+")+1,99),FIND("t",MID(G98,FIND("+",G98&amp;"+")+1,99))+1,2)^2*PI()/400,0)</f>
        <v/>
      </c>
      <c r="H99">
        <f>IFERROR(LEFT(LEFT(H98,FIND("+",H98&amp;"+")-1),FIND("t",LEFT(H98,FIND("+",H98&amp;"+")-1))-1)*MID(LEFT(H98,FIND("+",H98&amp;"+")-1),FIND("t",LEFT(H98,FIND("+",H98&amp;"+")-1))+1,2)^2*PI()/400,0)+IFERROR(LEFT(MID(H98,FIND("+",H98&amp;"+")+1,99),FIND("t",MID(H98,FIND("+",H98&amp;"+")+1,99))-1)*MID(MID(H98,FIND("+",H98&amp;"+")+1,99),FIND("t",MID(H98,FIND("+",H98&amp;"+")+1,99))+1,2)^2*PI()/400,0)</f>
        <v/>
      </c>
      <c r="I99">
        <f>IFERROR(LEFT(LEFT(I98,FIND("+",I98&amp;"+")-1),FIND("t",LEFT(I98,FIND("+",I98&amp;"+")-1))-1)*MID(LEFT(I98,FIND("+",I98&amp;"+")-1),FIND("t",LEFT(I98,FIND("+",I98&amp;"+")-1))+1,2)^2*PI()/400,0)+IFERROR(LEFT(MID(I98,FIND("+",I98&amp;"+")+1,99),FIND("t",MID(I98,FIND("+",I98&amp;"+")+1,99))-1)*MID(MID(I98,FIND("+",I98&amp;"+")+1,99),FIND("t",MID(I98,FIND("+",I98&amp;"+")+1,99))+1,2)^2*PI()/400,0)</f>
        <v/>
      </c>
      <c r="J99">
        <f>IFERROR(LEFT(LEFT(J98,FIND("+",J98&amp;"+")-1),FIND("t",LEFT(J98,FIND("+",J98&amp;"+")-1))-1)*MID(LEFT(J98,FIND("+",J98&amp;"+")-1),FIND("t",LEFT(J98,FIND("+",J98&amp;"+")-1))+1,2)^2*PI()/400,0)+IFERROR(LEFT(MID(J98,FIND("+",J98&amp;"+")+1,99),FIND("t",MID(J98,FIND("+",J98&amp;"+")+1,99))-1)*MID(MID(J98,FIND("+",J98&amp;"+")+1,99),FIND("t",MID(J98,FIND("+",J98&amp;"+")+1,99))+1,2)^2*PI()/400,0)</f>
        <v/>
      </c>
      <c r="K99">
        <f>IFERROR(LEFT(LEFT(K98,FIND("+",K98&amp;"+")-1),FIND("t",LEFT(K98,FIND("+",K98&amp;"+")-1))-1)*MID(LEFT(K98,FIND("+",K98&amp;"+")-1),FIND("t",LEFT(K98,FIND("+",K98&amp;"+")-1))+1,2)^2*PI()/400,0)+IFERROR(LEFT(MID(K98,FIND("+",K98&amp;"+")+1,99),FIND("t",MID(K98,FIND("+",K98&amp;"+")+1,99))-1)*MID(MID(K98,FIND("+",K98&amp;"+")+1,99),FIND("t",MID(K98,FIND("+",K98&amp;"+")+1,99))+1,2)^2*PI()/400,0)</f>
        <v/>
      </c>
      <c r="L99">
        <f>IFERROR(LEFT(LEFT(L98,FIND("+",L98&amp;"+")-1),FIND("t",LEFT(L98,FIND("+",L98&amp;"+")-1))-1)*MID(LEFT(L98,FIND("+",L98&amp;"+")-1),FIND("t",LEFT(L98,FIND("+",L98&amp;"+")-1))+1,2)^2*PI()/400,0)+IFERROR(LEFT(MID(L98,FIND("+",L98&amp;"+")+1,99),FIND("t",MID(L98,FIND("+",L98&amp;"+")+1,99))-1)*MID(MID(L98,FIND("+",L98&amp;"+")+1,99),FIND("t",MID(L98,FIND("+",L98&amp;"+")+1,99))+1,2)^2*PI()/400,0)</f>
        <v/>
      </c>
      <c r="M99">
        <f>IFERROR(LEFT(LEFT(M98,FIND("+",M98&amp;"+")-1),FIND("t",LEFT(M98,FIND("+",M98&amp;"+")-1))-1)*MID(LEFT(M98,FIND("+",M98&amp;"+")-1),FIND("t",LEFT(M98,FIND("+",M98&amp;"+")-1))+1,2)^2*PI()/400,0)+IFERROR(LEFT(MID(M98,FIND("+",M98&amp;"+")+1,99),FIND("t",MID(M98,FIND("+",M98&amp;"+")+1,99))-1)*MID(MID(M98,FIND("+",M98&amp;"+")+1,99),FIND("t",MID(M98,FIND("+",M98&amp;"+")+1,99))+1,2)^2*PI()/400,0)</f>
        <v/>
      </c>
      <c r="N99">
        <f>IFERROR(LEFT(LEFT(N98,FIND("+",N98&amp;"+")-1),FIND("t",LEFT(N98,FIND("+",N98&amp;"+")-1))-1)*MID(LEFT(N98,FIND("+",N98&amp;"+")-1),FIND("t",LEFT(N98,FIND("+",N98&amp;"+")-1))+1,2)^2*PI()/400,0)+IFERROR(LEFT(MID(N98,FIND("+",N98&amp;"+")+1,99),FIND("t",MID(N98,FIND("+",N98&amp;"+")+1,99))-1)*MID(MID(N98,FIND("+",N98&amp;"+")+1,99),FIND("t",MID(N98,FIND("+",N98&amp;"+")+1,99))+1,2)^2*PI()/400,0)</f>
        <v/>
      </c>
      <c r="O99">
        <f>IFERROR(LEFT(LEFT(O98,FIND("+",O98&amp;"+")-1),FIND("t",LEFT(O98,FIND("+",O98&amp;"+")-1))-1)*MID(LEFT(O98,FIND("+",O98&amp;"+")-1),FIND("t",LEFT(O98,FIND("+",O98&amp;"+")-1))+1,2)^2*PI()/400,0)+IFERROR(LEFT(MID(O98,FIND("+",O98&amp;"+")+1,99),FIND("t",MID(O98,FIND("+",O98&amp;"+")+1,99))-1)*MID(MID(O98,FIND("+",O98&amp;"+")+1,99),FIND("t",MID(O98,FIND("+",O98&amp;"+")+1,99))+1,2)^2*PI()/400,0)</f>
        <v/>
      </c>
      <c r="P99">
        <f>IFERROR(LEFT(LEFT(P98,FIND("+",P98&amp;"+")-1),FIND("t",LEFT(P98,FIND("+",P98&amp;"+")-1))-1)*MID(LEFT(P98,FIND("+",P98&amp;"+")-1),FIND("t",LEFT(P98,FIND("+",P98&amp;"+")-1))+1,2)^2*PI()/400,0)+IFERROR(LEFT(MID(P98,FIND("+",P98&amp;"+")+1,99),FIND("t",MID(P98,FIND("+",P98&amp;"+")+1,99))-1)*MID(MID(P98,FIND("+",P98&amp;"+")+1,99),FIND("t",MID(P98,FIND("+",P98&amp;"+")+1,99))+1,2)^2*PI()/400,0)</f>
        <v/>
      </c>
      <c r="Q99">
        <f>IFERROR(LEFT(LEFT(Q98,FIND("+",Q98&amp;"+")-1),FIND("t",LEFT(Q98,FIND("+",Q98&amp;"+")-1))-1)*MID(LEFT(Q98,FIND("+",Q98&amp;"+")-1),FIND("t",LEFT(Q98,FIND("+",Q98&amp;"+")-1))+1,2)^2*PI()/400,0)+IFERROR(LEFT(MID(Q98,FIND("+",Q98&amp;"+")+1,99),FIND("t",MID(Q98,FIND("+",Q98&amp;"+")+1,99))-1)*MID(MID(Q98,FIND("+",Q98&amp;"+")+1,99),FIND("t",MID(Q98,FIND("+",Q98&amp;"+")+1,99))+1,2)^2*PI()/400,0)</f>
        <v/>
      </c>
      <c r="R99">
        <f>IFERROR(LEFT(LEFT(R98,FIND("+",R98&amp;"+")-1),FIND("t",LEFT(R98,FIND("+",R98&amp;"+")-1))-1)*MID(LEFT(R98,FIND("+",R98&amp;"+")-1),FIND("t",LEFT(R98,FIND("+",R98&amp;"+")-1))+1,2)^2*PI()/400,0)+IFERROR(LEFT(MID(R98,FIND("+",R98&amp;"+")+1,99),FIND("t",MID(R98,FIND("+",R98&amp;"+")+1,99))-1)*MID(MID(R98,FIND("+",R98&amp;"+")+1,99),FIND("t",MID(R98,FIND("+",R98&amp;"+")+1,99))+1,2)^2*PI()/400,0)</f>
        <v/>
      </c>
      <c r="S99">
        <f>IFERROR(LEFT(LEFT(S98,FIND("+",S98&amp;"+")-1),FIND("t",LEFT(S98,FIND("+",S98&amp;"+")-1))-1)*MID(LEFT(S98,FIND("+",S98&amp;"+")-1),FIND("t",LEFT(S98,FIND("+",S98&amp;"+")-1))+1,2)^2*PI()/400,0)+IFERROR(LEFT(MID(S98,FIND("+",S98&amp;"+")+1,99),FIND("t",MID(S98,FIND("+",S98&amp;"+")+1,99))-1)*MID(MID(S98,FIND("+",S98&amp;"+")+1,99),FIND("t",MID(S98,FIND("+",S98&amp;"+")+1,99))+1,2)^2*PI()/400,0)</f>
        <v/>
      </c>
      <c r="T99">
        <f>IFERROR(LEFT(LEFT(T98,FIND("+",T98&amp;"+")-1),FIND("t",LEFT(T98,FIND("+",T98&amp;"+")-1))-1)*MID(LEFT(T98,FIND("+",T98&amp;"+")-1),FIND("t",LEFT(T98,FIND("+",T98&amp;"+")-1))+1,2)^2*PI()/400,0)+IFERROR(LEFT(MID(T98,FIND("+",T98&amp;"+")+1,99),FIND("t",MID(T98,FIND("+",T98&amp;"+")+1,99))-1)*MID(MID(T98,FIND("+",T98&amp;"+")+1,99),FIND("t",MID(T98,FIND("+",T98&amp;"+")+1,99))+1,2)^2*PI()/400,0)</f>
        <v/>
      </c>
      <c r="U99">
        <f>IFERROR(LEFT(LEFT(U98,FIND("+",U98&amp;"+")-1),FIND("t",LEFT(U98,FIND("+",U98&amp;"+")-1))-1)*MID(LEFT(U98,FIND("+",U98&amp;"+")-1),FIND("t",LEFT(U98,FIND("+",U98&amp;"+")-1))+1,2)^2*PI()/400,0)+IFERROR(LEFT(MID(U98,FIND("+",U98&amp;"+")+1,99),FIND("t",MID(U98,FIND("+",U98&amp;"+")+1,99))-1)*MID(MID(U98,FIND("+",U98&amp;"+")+1,99),FIND("t",MID(U98,FIND("+",U98&amp;"+")+1,99))+1,2)^2*PI()/400,0)</f>
        <v/>
      </c>
      <c r="V99">
        <f>IFERROR(LEFT(LEFT(V98,FIND("+",V98&amp;"+")-1),FIND("t",LEFT(V98,FIND("+",V98&amp;"+")-1))-1)*MID(LEFT(V98,FIND("+",V98&amp;"+")-1),FIND("t",LEFT(V98,FIND("+",V98&amp;"+")-1))+1,2)^2*PI()/400,0)+IFERROR(LEFT(MID(V98,FIND("+",V98&amp;"+")+1,99),FIND("t",MID(V98,FIND("+",V98&amp;"+")+1,99))-1)*MID(MID(V98,FIND("+",V98&amp;"+")+1,99),FIND("t",MID(V98,FIND("+",V98&amp;"+")+1,99))+1,2)^2*PI()/400,0)</f>
        <v/>
      </c>
      <c r="W99">
        <f>IFERROR(LEFT(LEFT(W98,FIND("+",W98&amp;"+")-1),FIND("t",LEFT(W98,FIND("+",W98&amp;"+")-1))-1)*MID(LEFT(W98,FIND("+",W98&amp;"+")-1),FIND("t",LEFT(W98,FIND("+",W98&amp;"+")-1))+1,2)^2*PI()/400,0)+IFERROR(LEFT(MID(W98,FIND("+",W98&amp;"+")+1,99),FIND("t",MID(W98,FIND("+",W98&amp;"+")+1,99))-1)*MID(MID(W98,FIND("+",W98&amp;"+")+1,99),FIND("t",MID(W98,FIND("+",W98&amp;"+")+1,99))+1,2)^2*PI()/400,0)</f>
        <v/>
      </c>
      <c r="X99">
        <f>IFERROR(LEFT(LEFT(X98,FIND("+",X98&amp;"+")-1),FIND("t",LEFT(X98,FIND("+",X98&amp;"+")-1))-1)*MID(LEFT(X98,FIND("+",X98&amp;"+")-1),FIND("t",LEFT(X98,FIND("+",X98&amp;"+")-1))+1,2)^2*PI()/400,0)+IFERROR(LEFT(MID(X98,FIND("+",X98&amp;"+")+1,99),FIND("t",MID(X98,FIND("+",X98&amp;"+")+1,99))-1)*MID(MID(X98,FIND("+",X98&amp;"+")+1,99),FIND("t",MID(X98,FIND("+",X98&amp;"+")+1,99))+1,2)^2*PI()/400,0)</f>
        <v/>
      </c>
      <c r="Y99">
        <f>IFERROR(LEFT(LEFT(Y98,FIND("+",Y98&amp;"+")-1),FIND("t",LEFT(Y98,FIND("+",Y98&amp;"+")-1))-1)*MID(LEFT(Y98,FIND("+",Y98&amp;"+")-1),FIND("t",LEFT(Y98,FIND("+",Y98&amp;"+")-1))+1,2)^2*PI()/400,0)+IFERROR(LEFT(MID(Y98,FIND("+",Y98&amp;"+")+1,99),FIND("t",MID(Y98,FIND("+",Y98&amp;"+")+1,99))-1)*MID(MID(Y98,FIND("+",Y98&amp;"+")+1,99),FIND("t",MID(Y98,FIND("+",Y98&amp;"+")+1,99))+1,2)^2*PI()/400,0)</f>
        <v/>
      </c>
      <c r="Z99">
        <f>IFERROR(LEFT(LEFT(Z98,FIND("+",Z98&amp;"+")-1),FIND("t",LEFT(Z98,FIND("+",Z98&amp;"+")-1))-1)*MID(LEFT(Z98,FIND("+",Z98&amp;"+")-1),FIND("t",LEFT(Z98,FIND("+",Z98&amp;"+")-1))+1,2)^2*PI()/400,0)+IFERROR(LEFT(MID(Z98,FIND("+",Z98&amp;"+")+1,99),FIND("t",MID(Z98,FIND("+",Z98&amp;"+")+1,99))-1)*MID(MID(Z98,FIND("+",Z98&amp;"+")+1,99),FIND("t",MID(Z98,FIND("+",Z98&amp;"+")+1,99))+1,2)^2*PI()/400,0)</f>
        <v/>
      </c>
      <c r="AA99">
        <f>IFERROR(LEFT(LEFT(AA98,FIND("+",AA98&amp;"+")-1),FIND("t",LEFT(AA98,FIND("+",AA98&amp;"+")-1))-1)*MID(LEFT(AA98,FIND("+",AA98&amp;"+")-1),FIND("t",LEFT(AA98,FIND("+",AA98&amp;"+")-1))+1,2)^2*PI()/400,0)+IFERROR(LEFT(MID(AA98,FIND("+",AA98&amp;"+")+1,99),FIND("t",MID(AA98,FIND("+",AA98&amp;"+")+1,99))-1)*MID(MID(AA98,FIND("+",AA98&amp;"+")+1,99),FIND("t",MID(AA98,FIND("+",AA98&amp;"+")+1,99))+1,2)^2*PI()/400,0)</f>
        <v/>
      </c>
      <c r="AB99">
        <f>IFERROR(LEFT(LEFT(AB98,FIND("+",AB98&amp;"+")-1),FIND("t",LEFT(AB98,FIND("+",AB98&amp;"+")-1))-1)*MID(LEFT(AB98,FIND("+",AB98&amp;"+")-1),FIND("t",LEFT(AB98,FIND("+",AB98&amp;"+")-1))+1,2)^2*PI()/400,0)+IFERROR(LEFT(MID(AB98,FIND("+",AB98&amp;"+")+1,99),FIND("t",MID(AB98,FIND("+",AB98&amp;"+")+1,99))-1)*MID(MID(AB98,FIND("+",AB98&amp;"+")+1,99),FIND("t",MID(AB98,FIND("+",AB98&amp;"+")+1,99))+1,2)^2*PI()/400,0)</f>
        <v/>
      </c>
      <c r="AC99">
        <f>IFERROR(LEFT(LEFT(AC98,FIND("+",AC98&amp;"+")-1),FIND("t",LEFT(AC98,FIND("+",AC98&amp;"+")-1))-1)*MID(LEFT(AC98,FIND("+",AC98&amp;"+")-1),FIND("t",LEFT(AC98,FIND("+",AC98&amp;"+")-1))+1,2)^2*PI()/400,0)+IFERROR(LEFT(MID(AC98,FIND("+",AC98&amp;"+")+1,99),FIND("t",MID(AC98,FIND("+",AC98&amp;"+")+1,99))-1)*MID(MID(AC98,FIND("+",AC98&amp;"+")+1,99),FIND("t",MID(AC98,FIND("+",AC98&amp;"+")+1,99))+1,2)^2*PI()/400,0)</f>
        <v/>
      </c>
      <c r="AD99">
        <f>IFERROR(LEFT(LEFT(AD98,FIND("+",AD98&amp;"+")-1),FIND("t",LEFT(AD98,FIND("+",AD98&amp;"+")-1))-1)*MID(LEFT(AD98,FIND("+",AD98&amp;"+")-1),FIND("t",LEFT(AD98,FIND("+",AD98&amp;"+")-1))+1,2)^2*PI()/400,0)+IFERROR(LEFT(MID(AD98,FIND("+",AD98&amp;"+")+1,99),FIND("t",MID(AD98,FIND("+",AD98&amp;"+")+1,99))-1)*MID(MID(AD98,FIND("+",AD98&amp;"+")+1,99),FIND("t",MID(AD98,FIND("+",AD98&amp;"+")+1,99))+1,2)^2*PI()/400,0)</f>
        <v/>
      </c>
      <c r="AE99">
        <f>IFERROR(LEFT(LEFT(AE98,FIND("+",AE98&amp;"+")-1),FIND("t",LEFT(AE98,FIND("+",AE98&amp;"+")-1))-1)*MID(LEFT(AE98,FIND("+",AE98&amp;"+")-1),FIND("t",LEFT(AE98,FIND("+",AE98&amp;"+")-1))+1,2)^2*PI()/400,0)+IFERROR(LEFT(MID(AE98,FIND("+",AE98&amp;"+")+1,99),FIND("t",MID(AE98,FIND("+",AE98&amp;"+")+1,99))-1)*MID(MID(AE98,FIND("+",AE98&amp;"+")+1,99),FIND("t",MID(AE98,FIND("+",AE98&amp;"+")+1,99))+1,2)^2*PI()/400,0)</f>
        <v/>
      </c>
      <c r="AF99">
        <f>IFERROR(LEFT(LEFT(AF98,FIND("+",AF98&amp;"+")-1),FIND("t",LEFT(AF98,FIND("+",AF98&amp;"+")-1))-1)*MID(LEFT(AF98,FIND("+",AF98&amp;"+")-1),FIND("t",LEFT(AF98,FIND("+",AF98&amp;"+")-1))+1,2)^2*PI()/400,0)+IFERROR(LEFT(MID(AF98,FIND("+",AF98&amp;"+")+1,99),FIND("t",MID(AF98,FIND("+",AF98&amp;"+")+1,99))-1)*MID(MID(AF98,FIND("+",AF98&amp;"+")+1,99),FIND("t",MID(AF98,FIND("+",AF98&amp;"+")+1,99))+1,2)^2*PI()/400,0)</f>
        <v/>
      </c>
      <c r="AG99">
        <f>IFERROR(LEFT(LEFT(AG98,FIND("+",AG98&amp;"+")-1),FIND("t",LEFT(AG98,FIND("+",AG98&amp;"+")-1))-1)*MID(LEFT(AG98,FIND("+",AG98&amp;"+")-1),FIND("t",LEFT(AG98,FIND("+",AG98&amp;"+")-1))+1,2)^2*PI()/400,0)+IFERROR(LEFT(MID(AG98,FIND("+",AG98&amp;"+")+1,99),FIND("t",MID(AG98,FIND("+",AG98&amp;"+")+1,99))-1)*MID(MID(AG98,FIND("+",AG98&amp;"+")+1,99),FIND("t",MID(AG98,FIND("+",AG98&amp;"+")+1,99))+1,2)^2*PI()/400,0)</f>
        <v/>
      </c>
    </row>
    <row r="100" hidden="1" outlineLevel="1">
      <c r="A100" s="60" t="inlineStr">
        <is>
          <t>(phụ trợ) N_B2L</t>
        </is>
      </c>
      <c r="C100">
        <f>SUBSTITUTE(SUBSTITUTE(SUBSTITUTE(SUBSTITUTE(SUBSTITUTE(SUBSTITUTE(LOWER(IF(ISNUMBER(FIND(";",C21)),LEFT(C21,FIND(";",C21)-1),C21))," ",""),"%%c","t"),"ø","t"),"φ","t"),"f","t"),"d","t")</f>
        <v/>
      </c>
      <c r="D100">
        <f>SUBSTITUTE(SUBSTITUTE(SUBSTITUTE(SUBSTITUTE(SUBSTITUTE(SUBSTITUTE(LOWER(IF(ISNUMBER(FIND(";",D21)),LEFT(D21,FIND(";",D21)-1),D21))," ",""),"%%c","t"),"ø","t"),"φ","t"),"f","t"),"d","t")</f>
        <v/>
      </c>
      <c r="E100">
        <f>SUBSTITUTE(SUBSTITUTE(SUBSTITUTE(SUBSTITUTE(SUBSTITUTE(SUBSTITUTE(LOWER(IF(ISNUMBER(FIND(";",E21)),LEFT(E21,FIND(";",E21)-1),E21))," ",""),"%%c","t"),"ø","t"),"φ","t"),"f","t"),"d","t")</f>
        <v/>
      </c>
      <c r="F100">
        <f>SUBSTITUTE(SUBSTITUTE(SUBSTITUTE(SUBSTITUTE(SUBSTITUTE(SUBSTITUTE(LOWER(IF(ISNUMBER(FIND(";",F21)),LEFT(F21,FIND(";",F21)-1),F21))," ",""),"%%c","t"),"ø","t"),"φ","t"),"f","t"),"d","t")</f>
        <v/>
      </c>
      <c r="G100">
        <f>SUBSTITUTE(SUBSTITUTE(SUBSTITUTE(SUBSTITUTE(SUBSTITUTE(SUBSTITUTE(LOWER(IF(ISNUMBER(FIND(";",G21)),LEFT(G21,FIND(";",G21)-1),G21))," ",""),"%%c","t"),"ø","t"),"φ","t"),"f","t"),"d","t")</f>
        <v/>
      </c>
      <c r="H100">
        <f>SUBSTITUTE(SUBSTITUTE(SUBSTITUTE(SUBSTITUTE(SUBSTITUTE(SUBSTITUTE(LOWER(IF(ISNUMBER(FIND(";",H21)),LEFT(H21,FIND(";",H21)-1),H21))," ",""),"%%c","t"),"ø","t"),"φ","t"),"f","t"),"d","t")</f>
        <v/>
      </c>
      <c r="I100">
        <f>SUBSTITUTE(SUBSTITUTE(SUBSTITUTE(SUBSTITUTE(SUBSTITUTE(SUBSTITUTE(LOWER(IF(ISNUMBER(FIND(";",I21)),LEFT(I21,FIND(";",I21)-1),I21))," ",""),"%%c","t"),"ø","t"),"φ","t"),"f","t"),"d","t")</f>
        <v/>
      </c>
      <c r="J100">
        <f>SUBSTITUTE(SUBSTITUTE(SUBSTITUTE(SUBSTITUTE(SUBSTITUTE(SUBSTITUTE(LOWER(IF(ISNUMBER(FIND(";",J21)),LEFT(J21,FIND(";",J21)-1),J21))," ",""),"%%c","t"),"ø","t"),"φ","t"),"f","t"),"d","t")</f>
        <v/>
      </c>
      <c r="K100">
        <f>SUBSTITUTE(SUBSTITUTE(SUBSTITUTE(SUBSTITUTE(SUBSTITUTE(SUBSTITUTE(LOWER(IF(ISNUMBER(FIND(";",K21)),LEFT(K21,FIND(";",K21)-1),K21))," ",""),"%%c","t"),"ø","t"),"φ","t"),"f","t"),"d","t")</f>
        <v/>
      </c>
      <c r="L100">
        <f>SUBSTITUTE(SUBSTITUTE(SUBSTITUTE(SUBSTITUTE(SUBSTITUTE(SUBSTITUTE(LOWER(IF(ISNUMBER(FIND(";",L21)),LEFT(L21,FIND(";",L21)-1),L21))," ",""),"%%c","t"),"ø","t"),"φ","t"),"f","t"),"d","t")</f>
        <v/>
      </c>
      <c r="M100">
        <f>SUBSTITUTE(SUBSTITUTE(SUBSTITUTE(SUBSTITUTE(SUBSTITUTE(SUBSTITUTE(LOWER(IF(ISNUMBER(FIND(";",M21)),LEFT(M21,FIND(";",M21)-1),M21))," ",""),"%%c","t"),"ø","t"),"φ","t"),"f","t"),"d","t")</f>
        <v/>
      </c>
      <c r="N100">
        <f>SUBSTITUTE(SUBSTITUTE(SUBSTITUTE(SUBSTITUTE(SUBSTITUTE(SUBSTITUTE(LOWER(IF(ISNUMBER(FIND(";",N21)),LEFT(N21,FIND(";",N21)-1),N21))," ",""),"%%c","t"),"ø","t"),"φ","t"),"f","t"),"d","t")</f>
        <v/>
      </c>
      <c r="O100">
        <f>SUBSTITUTE(SUBSTITUTE(SUBSTITUTE(SUBSTITUTE(SUBSTITUTE(SUBSTITUTE(LOWER(IF(ISNUMBER(FIND(";",O21)),LEFT(O21,FIND(";",O21)-1),O21))," ",""),"%%c","t"),"ø","t"),"φ","t"),"f","t"),"d","t")</f>
        <v/>
      </c>
      <c r="P100">
        <f>SUBSTITUTE(SUBSTITUTE(SUBSTITUTE(SUBSTITUTE(SUBSTITUTE(SUBSTITUTE(LOWER(IF(ISNUMBER(FIND(";",P21)),LEFT(P21,FIND(";",P21)-1),P21))," ",""),"%%c","t"),"ø","t"),"φ","t"),"f","t"),"d","t")</f>
        <v/>
      </c>
      <c r="Q100">
        <f>SUBSTITUTE(SUBSTITUTE(SUBSTITUTE(SUBSTITUTE(SUBSTITUTE(SUBSTITUTE(LOWER(IF(ISNUMBER(FIND(";",Q21)),LEFT(Q21,FIND(";",Q21)-1),Q21))," ",""),"%%c","t"),"ø","t"),"φ","t"),"f","t"),"d","t")</f>
        <v/>
      </c>
      <c r="R100">
        <f>SUBSTITUTE(SUBSTITUTE(SUBSTITUTE(SUBSTITUTE(SUBSTITUTE(SUBSTITUTE(LOWER(IF(ISNUMBER(FIND(";",R21)),LEFT(R21,FIND(";",R21)-1),R21))," ",""),"%%c","t"),"ø","t"),"φ","t"),"f","t"),"d","t")</f>
        <v/>
      </c>
      <c r="S100">
        <f>SUBSTITUTE(SUBSTITUTE(SUBSTITUTE(SUBSTITUTE(SUBSTITUTE(SUBSTITUTE(LOWER(IF(ISNUMBER(FIND(";",S21)),LEFT(S21,FIND(";",S21)-1),S21))," ",""),"%%c","t"),"ø","t"),"φ","t"),"f","t"),"d","t")</f>
        <v/>
      </c>
      <c r="T100">
        <f>SUBSTITUTE(SUBSTITUTE(SUBSTITUTE(SUBSTITUTE(SUBSTITUTE(SUBSTITUTE(LOWER(IF(ISNUMBER(FIND(";",T21)),LEFT(T21,FIND(";",T21)-1),T21))," ",""),"%%c","t"),"ø","t"),"φ","t"),"f","t"),"d","t")</f>
        <v/>
      </c>
      <c r="U100">
        <f>SUBSTITUTE(SUBSTITUTE(SUBSTITUTE(SUBSTITUTE(SUBSTITUTE(SUBSTITUTE(LOWER(IF(ISNUMBER(FIND(";",U21)),LEFT(U21,FIND(";",U21)-1),U21))," ",""),"%%c","t"),"ø","t"),"φ","t"),"f","t"),"d","t")</f>
        <v/>
      </c>
      <c r="V100">
        <f>SUBSTITUTE(SUBSTITUTE(SUBSTITUTE(SUBSTITUTE(SUBSTITUTE(SUBSTITUTE(LOWER(IF(ISNUMBER(FIND(";",V21)),LEFT(V21,FIND(";",V21)-1),V21))," ",""),"%%c","t"),"ø","t"),"φ","t"),"f","t"),"d","t")</f>
        <v/>
      </c>
      <c r="W100">
        <f>SUBSTITUTE(SUBSTITUTE(SUBSTITUTE(SUBSTITUTE(SUBSTITUTE(SUBSTITUTE(LOWER(IF(ISNUMBER(FIND(";",W21)),LEFT(W21,FIND(";",W21)-1),W21))," ",""),"%%c","t"),"ø","t"),"φ","t"),"f","t"),"d","t")</f>
        <v/>
      </c>
      <c r="X100">
        <f>SUBSTITUTE(SUBSTITUTE(SUBSTITUTE(SUBSTITUTE(SUBSTITUTE(SUBSTITUTE(LOWER(IF(ISNUMBER(FIND(";",X21)),LEFT(X21,FIND(";",X21)-1),X21))," ",""),"%%c","t"),"ø","t"),"φ","t"),"f","t"),"d","t")</f>
        <v/>
      </c>
      <c r="Y100">
        <f>SUBSTITUTE(SUBSTITUTE(SUBSTITUTE(SUBSTITUTE(SUBSTITUTE(SUBSTITUTE(LOWER(IF(ISNUMBER(FIND(";",Y21)),LEFT(Y21,FIND(";",Y21)-1),Y21))," ",""),"%%c","t"),"ø","t"),"φ","t"),"f","t"),"d","t")</f>
        <v/>
      </c>
      <c r="Z100">
        <f>SUBSTITUTE(SUBSTITUTE(SUBSTITUTE(SUBSTITUTE(SUBSTITUTE(SUBSTITUTE(LOWER(IF(ISNUMBER(FIND(";",Z21)),LEFT(Z21,FIND(";",Z21)-1),Z21))," ",""),"%%c","t"),"ø","t"),"φ","t"),"f","t"),"d","t")</f>
        <v/>
      </c>
      <c r="AA100">
        <f>SUBSTITUTE(SUBSTITUTE(SUBSTITUTE(SUBSTITUTE(SUBSTITUTE(SUBSTITUTE(LOWER(IF(ISNUMBER(FIND(";",AA21)),LEFT(AA21,FIND(";",AA21)-1),AA21))," ",""),"%%c","t"),"ø","t"),"φ","t"),"f","t"),"d","t")</f>
        <v/>
      </c>
      <c r="AB100">
        <f>SUBSTITUTE(SUBSTITUTE(SUBSTITUTE(SUBSTITUTE(SUBSTITUTE(SUBSTITUTE(LOWER(IF(ISNUMBER(FIND(";",AB21)),LEFT(AB21,FIND(";",AB21)-1),AB21))," ",""),"%%c","t"),"ø","t"),"φ","t"),"f","t"),"d","t")</f>
        <v/>
      </c>
      <c r="AC100">
        <f>SUBSTITUTE(SUBSTITUTE(SUBSTITUTE(SUBSTITUTE(SUBSTITUTE(SUBSTITUTE(LOWER(IF(ISNUMBER(FIND(";",AC21)),LEFT(AC21,FIND(";",AC21)-1),AC21))," ",""),"%%c","t"),"ø","t"),"φ","t"),"f","t"),"d","t")</f>
        <v/>
      </c>
      <c r="AD100">
        <f>SUBSTITUTE(SUBSTITUTE(SUBSTITUTE(SUBSTITUTE(SUBSTITUTE(SUBSTITUTE(LOWER(IF(ISNUMBER(FIND(";",AD21)),LEFT(AD21,FIND(";",AD21)-1),AD21))," ",""),"%%c","t"),"ø","t"),"φ","t"),"f","t"),"d","t")</f>
        <v/>
      </c>
      <c r="AE100">
        <f>SUBSTITUTE(SUBSTITUTE(SUBSTITUTE(SUBSTITUTE(SUBSTITUTE(SUBSTITUTE(LOWER(IF(ISNUMBER(FIND(";",AE21)),LEFT(AE21,FIND(";",AE21)-1),AE21))," ",""),"%%c","t"),"ø","t"),"φ","t"),"f","t"),"d","t")</f>
        <v/>
      </c>
      <c r="AF100">
        <f>SUBSTITUTE(SUBSTITUTE(SUBSTITUTE(SUBSTITUTE(SUBSTITUTE(SUBSTITUTE(LOWER(IF(ISNUMBER(FIND(";",AF21)),LEFT(AF21,FIND(";",AF21)-1),AF21))," ",""),"%%c","t"),"ø","t"),"φ","t"),"f","t"),"d","t")</f>
        <v/>
      </c>
      <c r="AG100">
        <f>SUBSTITUTE(SUBSTITUTE(SUBSTITUTE(SUBSTITUTE(SUBSTITUTE(SUBSTITUTE(LOWER(IF(ISNUMBER(FIND(";",AG21)),LEFT(AG21,FIND(";",AG21)-1),AG21))," ",""),"%%c","t"),"ø","t"),"φ","t"),"f","t"),"d","t")</f>
        <v/>
      </c>
    </row>
    <row r="101" hidden="1" outlineLevel="1">
      <c r="A101" s="60" t="inlineStr">
        <is>
          <t>(phụ trợ) A_B2L</t>
        </is>
      </c>
      <c r="C101">
        <f>IFERROR(LEFT(LEFT(C100,FIND("+",C100&amp;"+")-1),FIND("t",LEFT(C100,FIND("+",C100&amp;"+")-1))-1)*MID(LEFT(C100,FIND("+",C100&amp;"+")-1),FIND("t",LEFT(C100,FIND("+",C100&amp;"+")-1))+1,2)^2*PI()/400,0)+IFERROR(LEFT(MID(C100,FIND("+",C100&amp;"+")+1,99),FIND("t",MID(C100,FIND("+",C100&amp;"+")+1,99))-1)*MID(MID(C100,FIND("+",C100&amp;"+")+1,99),FIND("t",MID(C100,FIND("+",C100&amp;"+")+1,99))+1,2)^2*PI()/400,0)</f>
        <v/>
      </c>
      <c r="D101">
        <f>IFERROR(LEFT(LEFT(D100,FIND("+",D100&amp;"+")-1),FIND("t",LEFT(D100,FIND("+",D100&amp;"+")-1))-1)*MID(LEFT(D100,FIND("+",D100&amp;"+")-1),FIND("t",LEFT(D100,FIND("+",D100&amp;"+")-1))+1,2)^2*PI()/400,0)+IFERROR(LEFT(MID(D100,FIND("+",D100&amp;"+")+1,99),FIND("t",MID(D100,FIND("+",D100&amp;"+")+1,99))-1)*MID(MID(D100,FIND("+",D100&amp;"+")+1,99),FIND("t",MID(D100,FIND("+",D100&amp;"+")+1,99))+1,2)^2*PI()/400,0)</f>
        <v/>
      </c>
      <c r="E101">
        <f>IFERROR(LEFT(LEFT(E100,FIND("+",E100&amp;"+")-1),FIND("t",LEFT(E100,FIND("+",E100&amp;"+")-1))-1)*MID(LEFT(E100,FIND("+",E100&amp;"+")-1),FIND("t",LEFT(E100,FIND("+",E100&amp;"+")-1))+1,2)^2*PI()/400,0)+IFERROR(LEFT(MID(E100,FIND("+",E100&amp;"+")+1,99),FIND("t",MID(E100,FIND("+",E100&amp;"+")+1,99))-1)*MID(MID(E100,FIND("+",E100&amp;"+")+1,99),FIND("t",MID(E100,FIND("+",E100&amp;"+")+1,99))+1,2)^2*PI()/400,0)</f>
        <v/>
      </c>
      <c r="F101">
        <f>IFERROR(LEFT(LEFT(F100,FIND("+",F100&amp;"+")-1),FIND("t",LEFT(F100,FIND("+",F100&amp;"+")-1))-1)*MID(LEFT(F100,FIND("+",F100&amp;"+")-1),FIND("t",LEFT(F100,FIND("+",F100&amp;"+")-1))+1,2)^2*PI()/400,0)+IFERROR(LEFT(MID(F100,FIND("+",F100&amp;"+")+1,99),FIND("t",MID(F100,FIND("+",F100&amp;"+")+1,99))-1)*MID(MID(F100,FIND("+",F100&amp;"+")+1,99),FIND("t",MID(F100,FIND("+",F100&amp;"+")+1,99))+1,2)^2*PI()/400,0)</f>
        <v/>
      </c>
      <c r="G101">
        <f>IFERROR(LEFT(LEFT(G100,FIND("+",G100&amp;"+")-1),FIND("t",LEFT(G100,FIND("+",G100&amp;"+")-1))-1)*MID(LEFT(G100,FIND("+",G100&amp;"+")-1),FIND("t",LEFT(G100,FIND("+",G100&amp;"+")-1))+1,2)^2*PI()/400,0)+IFERROR(LEFT(MID(G100,FIND("+",G100&amp;"+")+1,99),FIND("t",MID(G100,FIND("+",G100&amp;"+")+1,99))-1)*MID(MID(G100,FIND("+",G100&amp;"+")+1,99),FIND("t",MID(G100,FIND("+",G100&amp;"+")+1,99))+1,2)^2*PI()/400,0)</f>
        <v/>
      </c>
      <c r="H101">
        <f>IFERROR(LEFT(LEFT(H100,FIND("+",H100&amp;"+")-1),FIND("t",LEFT(H100,FIND("+",H100&amp;"+")-1))-1)*MID(LEFT(H100,FIND("+",H100&amp;"+")-1),FIND("t",LEFT(H100,FIND("+",H100&amp;"+")-1))+1,2)^2*PI()/400,0)+IFERROR(LEFT(MID(H100,FIND("+",H100&amp;"+")+1,99),FIND("t",MID(H100,FIND("+",H100&amp;"+")+1,99))-1)*MID(MID(H100,FIND("+",H100&amp;"+")+1,99),FIND("t",MID(H100,FIND("+",H100&amp;"+")+1,99))+1,2)^2*PI()/400,0)</f>
        <v/>
      </c>
      <c r="I101">
        <f>IFERROR(LEFT(LEFT(I100,FIND("+",I100&amp;"+")-1),FIND("t",LEFT(I100,FIND("+",I100&amp;"+")-1))-1)*MID(LEFT(I100,FIND("+",I100&amp;"+")-1),FIND("t",LEFT(I100,FIND("+",I100&amp;"+")-1))+1,2)^2*PI()/400,0)+IFERROR(LEFT(MID(I100,FIND("+",I100&amp;"+")+1,99),FIND("t",MID(I100,FIND("+",I100&amp;"+")+1,99))-1)*MID(MID(I100,FIND("+",I100&amp;"+")+1,99),FIND("t",MID(I100,FIND("+",I100&amp;"+")+1,99))+1,2)^2*PI()/400,0)</f>
        <v/>
      </c>
      <c r="J101">
        <f>IFERROR(LEFT(LEFT(J100,FIND("+",J100&amp;"+")-1),FIND("t",LEFT(J100,FIND("+",J100&amp;"+")-1))-1)*MID(LEFT(J100,FIND("+",J100&amp;"+")-1),FIND("t",LEFT(J100,FIND("+",J100&amp;"+")-1))+1,2)^2*PI()/400,0)+IFERROR(LEFT(MID(J100,FIND("+",J100&amp;"+")+1,99),FIND("t",MID(J100,FIND("+",J100&amp;"+")+1,99))-1)*MID(MID(J100,FIND("+",J100&amp;"+")+1,99),FIND("t",MID(J100,FIND("+",J100&amp;"+")+1,99))+1,2)^2*PI()/400,0)</f>
        <v/>
      </c>
      <c r="K101">
        <f>IFERROR(LEFT(LEFT(K100,FIND("+",K100&amp;"+")-1),FIND("t",LEFT(K100,FIND("+",K100&amp;"+")-1))-1)*MID(LEFT(K100,FIND("+",K100&amp;"+")-1),FIND("t",LEFT(K100,FIND("+",K100&amp;"+")-1))+1,2)^2*PI()/400,0)+IFERROR(LEFT(MID(K100,FIND("+",K100&amp;"+")+1,99),FIND("t",MID(K100,FIND("+",K100&amp;"+")+1,99))-1)*MID(MID(K100,FIND("+",K100&amp;"+")+1,99),FIND("t",MID(K100,FIND("+",K100&amp;"+")+1,99))+1,2)^2*PI()/400,0)</f>
        <v/>
      </c>
      <c r="L101">
        <f>IFERROR(LEFT(LEFT(L100,FIND("+",L100&amp;"+")-1),FIND("t",LEFT(L100,FIND("+",L100&amp;"+")-1))-1)*MID(LEFT(L100,FIND("+",L100&amp;"+")-1),FIND("t",LEFT(L100,FIND("+",L100&amp;"+")-1))+1,2)^2*PI()/400,0)+IFERROR(LEFT(MID(L100,FIND("+",L100&amp;"+")+1,99),FIND("t",MID(L100,FIND("+",L100&amp;"+")+1,99))-1)*MID(MID(L100,FIND("+",L100&amp;"+")+1,99),FIND("t",MID(L100,FIND("+",L100&amp;"+")+1,99))+1,2)^2*PI()/400,0)</f>
        <v/>
      </c>
      <c r="M101">
        <f>IFERROR(LEFT(LEFT(M100,FIND("+",M100&amp;"+")-1),FIND("t",LEFT(M100,FIND("+",M100&amp;"+")-1))-1)*MID(LEFT(M100,FIND("+",M100&amp;"+")-1),FIND("t",LEFT(M100,FIND("+",M100&amp;"+")-1))+1,2)^2*PI()/400,0)+IFERROR(LEFT(MID(M100,FIND("+",M100&amp;"+")+1,99),FIND("t",MID(M100,FIND("+",M100&amp;"+")+1,99))-1)*MID(MID(M100,FIND("+",M100&amp;"+")+1,99),FIND("t",MID(M100,FIND("+",M100&amp;"+")+1,99))+1,2)^2*PI()/400,0)</f>
        <v/>
      </c>
      <c r="N101">
        <f>IFERROR(LEFT(LEFT(N100,FIND("+",N100&amp;"+")-1),FIND("t",LEFT(N100,FIND("+",N100&amp;"+")-1))-1)*MID(LEFT(N100,FIND("+",N100&amp;"+")-1),FIND("t",LEFT(N100,FIND("+",N100&amp;"+")-1))+1,2)^2*PI()/400,0)+IFERROR(LEFT(MID(N100,FIND("+",N100&amp;"+")+1,99),FIND("t",MID(N100,FIND("+",N100&amp;"+")+1,99))-1)*MID(MID(N100,FIND("+",N100&amp;"+")+1,99),FIND("t",MID(N100,FIND("+",N100&amp;"+")+1,99))+1,2)^2*PI()/400,0)</f>
        <v/>
      </c>
      <c r="O101">
        <f>IFERROR(LEFT(LEFT(O100,FIND("+",O100&amp;"+")-1),FIND("t",LEFT(O100,FIND("+",O100&amp;"+")-1))-1)*MID(LEFT(O100,FIND("+",O100&amp;"+")-1),FIND("t",LEFT(O100,FIND("+",O100&amp;"+")-1))+1,2)^2*PI()/400,0)+IFERROR(LEFT(MID(O100,FIND("+",O100&amp;"+")+1,99),FIND("t",MID(O100,FIND("+",O100&amp;"+")+1,99))-1)*MID(MID(O100,FIND("+",O100&amp;"+")+1,99),FIND("t",MID(O100,FIND("+",O100&amp;"+")+1,99))+1,2)^2*PI()/400,0)</f>
        <v/>
      </c>
      <c r="P101">
        <f>IFERROR(LEFT(LEFT(P100,FIND("+",P100&amp;"+")-1),FIND("t",LEFT(P100,FIND("+",P100&amp;"+")-1))-1)*MID(LEFT(P100,FIND("+",P100&amp;"+")-1),FIND("t",LEFT(P100,FIND("+",P100&amp;"+")-1))+1,2)^2*PI()/400,0)+IFERROR(LEFT(MID(P100,FIND("+",P100&amp;"+")+1,99),FIND("t",MID(P100,FIND("+",P100&amp;"+")+1,99))-1)*MID(MID(P100,FIND("+",P100&amp;"+")+1,99),FIND("t",MID(P100,FIND("+",P100&amp;"+")+1,99))+1,2)^2*PI()/400,0)</f>
        <v/>
      </c>
      <c r="Q101">
        <f>IFERROR(LEFT(LEFT(Q100,FIND("+",Q100&amp;"+")-1),FIND("t",LEFT(Q100,FIND("+",Q100&amp;"+")-1))-1)*MID(LEFT(Q100,FIND("+",Q100&amp;"+")-1),FIND("t",LEFT(Q100,FIND("+",Q100&amp;"+")-1))+1,2)^2*PI()/400,0)+IFERROR(LEFT(MID(Q100,FIND("+",Q100&amp;"+")+1,99),FIND("t",MID(Q100,FIND("+",Q100&amp;"+")+1,99))-1)*MID(MID(Q100,FIND("+",Q100&amp;"+")+1,99),FIND("t",MID(Q100,FIND("+",Q100&amp;"+")+1,99))+1,2)^2*PI()/400,0)</f>
        <v/>
      </c>
      <c r="R101">
        <f>IFERROR(LEFT(LEFT(R100,FIND("+",R100&amp;"+")-1),FIND("t",LEFT(R100,FIND("+",R100&amp;"+")-1))-1)*MID(LEFT(R100,FIND("+",R100&amp;"+")-1),FIND("t",LEFT(R100,FIND("+",R100&amp;"+")-1))+1,2)^2*PI()/400,0)+IFERROR(LEFT(MID(R100,FIND("+",R100&amp;"+")+1,99),FIND("t",MID(R100,FIND("+",R100&amp;"+")+1,99))-1)*MID(MID(R100,FIND("+",R100&amp;"+")+1,99),FIND("t",MID(R100,FIND("+",R100&amp;"+")+1,99))+1,2)^2*PI()/400,0)</f>
        <v/>
      </c>
      <c r="S101">
        <f>IFERROR(LEFT(LEFT(S100,FIND("+",S100&amp;"+")-1),FIND("t",LEFT(S100,FIND("+",S100&amp;"+")-1))-1)*MID(LEFT(S100,FIND("+",S100&amp;"+")-1),FIND("t",LEFT(S100,FIND("+",S100&amp;"+")-1))+1,2)^2*PI()/400,0)+IFERROR(LEFT(MID(S100,FIND("+",S100&amp;"+")+1,99),FIND("t",MID(S100,FIND("+",S100&amp;"+")+1,99))-1)*MID(MID(S100,FIND("+",S100&amp;"+")+1,99),FIND("t",MID(S100,FIND("+",S100&amp;"+")+1,99))+1,2)^2*PI()/400,0)</f>
        <v/>
      </c>
      <c r="T101">
        <f>IFERROR(LEFT(LEFT(T100,FIND("+",T100&amp;"+")-1),FIND("t",LEFT(T100,FIND("+",T100&amp;"+")-1))-1)*MID(LEFT(T100,FIND("+",T100&amp;"+")-1),FIND("t",LEFT(T100,FIND("+",T100&amp;"+")-1))+1,2)^2*PI()/400,0)+IFERROR(LEFT(MID(T100,FIND("+",T100&amp;"+")+1,99),FIND("t",MID(T100,FIND("+",T100&amp;"+")+1,99))-1)*MID(MID(T100,FIND("+",T100&amp;"+")+1,99),FIND("t",MID(T100,FIND("+",T100&amp;"+")+1,99))+1,2)^2*PI()/400,0)</f>
        <v/>
      </c>
      <c r="U101">
        <f>IFERROR(LEFT(LEFT(U100,FIND("+",U100&amp;"+")-1),FIND("t",LEFT(U100,FIND("+",U100&amp;"+")-1))-1)*MID(LEFT(U100,FIND("+",U100&amp;"+")-1),FIND("t",LEFT(U100,FIND("+",U100&amp;"+")-1))+1,2)^2*PI()/400,0)+IFERROR(LEFT(MID(U100,FIND("+",U100&amp;"+")+1,99),FIND("t",MID(U100,FIND("+",U100&amp;"+")+1,99))-1)*MID(MID(U100,FIND("+",U100&amp;"+")+1,99),FIND("t",MID(U100,FIND("+",U100&amp;"+")+1,99))+1,2)^2*PI()/400,0)</f>
        <v/>
      </c>
      <c r="V101">
        <f>IFERROR(LEFT(LEFT(V100,FIND("+",V100&amp;"+")-1),FIND("t",LEFT(V100,FIND("+",V100&amp;"+")-1))-1)*MID(LEFT(V100,FIND("+",V100&amp;"+")-1),FIND("t",LEFT(V100,FIND("+",V100&amp;"+")-1))+1,2)^2*PI()/400,0)+IFERROR(LEFT(MID(V100,FIND("+",V100&amp;"+")+1,99),FIND("t",MID(V100,FIND("+",V100&amp;"+")+1,99))-1)*MID(MID(V100,FIND("+",V100&amp;"+")+1,99),FIND("t",MID(V100,FIND("+",V100&amp;"+")+1,99))+1,2)^2*PI()/400,0)</f>
        <v/>
      </c>
      <c r="W101">
        <f>IFERROR(LEFT(LEFT(W100,FIND("+",W100&amp;"+")-1),FIND("t",LEFT(W100,FIND("+",W100&amp;"+")-1))-1)*MID(LEFT(W100,FIND("+",W100&amp;"+")-1),FIND("t",LEFT(W100,FIND("+",W100&amp;"+")-1))+1,2)^2*PI()/400,0)+IFERROR(LEFT(MID(W100,FIND("+",W100&amp;"+")+1,99),FIND("t",MID(W100,FIND("+",W100&amp;"+")+1,99))-1)*MID(MID(W100,FIND("+",W100&amp;"+")+1,99),FIND("t",MID(W100,FIND("+",W100&amp;"+")+1,99))+1,2)^2*PI()/400,0)</f>
        <v/>
      </c>
      <c r="X101">
        <f>IFERROR(LEFT(LEFT(X100,FIND("+",X100&amp;"+")-1),FIND("t",LEFT(X100,FIND("+",X100&amp;"+")-1))-1)*MID(LEFT(X100,FIND("+",X100&amp;"+")-1),FIND("t",LEFT(X100,FIND("+",X100&amp;"+")-1))+1,2)^2*PI()/400,0)+IFERROR(LEFT(MID(X100,FIND("+",X100&amp;"+")+1,99),FIND("t",MID(X100,FIND("+",X100&amp;"+")+1,99))-1)*MID(MID(X100,FIND("+",X100&amp;"+")+1,99),FIND("t",MID(X100,FIND("+",X100&amp;"+")+1,99))+1,2)^2*PI()/400,0)</f>
        <v/>
      </c>
      <c r="Y101">
        <f>IFERROR(LEFT(LEFT(Y100,FIND("+",Y100&amp;"+")-1),FIND("t",LEFT(Y100,FIND("+",Y100&amp;"+")-1))-1)*MID(LEFT(Y100,FIND("+",Y100&amp;"+")-1),FIND("t",LEFT(Y100,FIND("+",Y100&amp;"+")-1))+1,2)^2*PI()/400,0)+IFERROR(LEFT(MID(Y100,FIND("+",Y100&amp;"+")+1,99),FIND("t",MID(Y100,FIND("+",Y100&amp;"+")+1,99))-1)*MID(MID(Y100,FIND("+",Y100&amp;"+")+1,99),FIND("t",MID(Y100,FIND("+",Y100&amp;"+")+1,99))+1,2)^2*PI()/400,0)</f>
        <v/>
      </c>
      <c r="Z101">
        <f>IFERROR(LEFT(LEFT(Z100,FIND("+",Z100&amp;"+")-1),FIND("t",LEFT(Z100,FIND("+",Z100&amp;"+")-1))-1)*MID(LEFT(Z100,FIND("+",Z100&amp;"+")-1),FIND("t",LEFT(Z100,FIND("+",Z100&amp;"+")-1))+1,2)^2*PI()/400,0)+IFERROR(LEFT(MID(Z100,FIND("+",Z100&amp;"+")+1,99),FIND("t",MID(Z100,FIND("+",Z100&amp;"+")+1,99))-1)*MID(MID(Z100,FIND("+",Z100&amp;"+")+1,99),FIND("t",MID(Z100,FIND("+",Z100&amp;"+")+1,99))+1,2)^2*PI()/400,0)</f>
        <v/>
      </c>
      <c r="AA101">
        <f>IFERROR(LEFT(LEFT(AA100,FIND("+",AA100&amp;"+")-1),FIND("t",LEFT(AA100,FIND("+",AA100&amp;"+")-1))-1)*MID(LEFT(AA100,FIND("+",AA100&amp;"+")-1),FIND("t",LEFT(AA100,FIND("+",AA100&amp;"+")-1))+1,2)^2*PI()/400,0)+IFERROR(LEFT(MID(AA100,FIND("+",AA100&amp;"+")+1,99),FIND("t",MID(AA100,FIND("+",AA100&amp;"+")+1,99))-1)*MID(MID(AA100,FIND("+",AA100&amp;"+")+1,99),FIND("t",MID(AA100,FIND("+",AA100&amp;"+")+1,99))+1,2)^2*PI()/400,0)</f>
        <v/>
      </c>
      <c r="AB101">
        <f>IFERROR(LEFT(LEFT(AB100,FIND("+",AB100&amp;"+")-1),FIND("t",LEFT(AB100,FIND("+",AB100&amp;"+")-1))-1)*MID(LEFT(AB100,FIND("+",AB100&amp;"+")-1),FIND("t",LEFT(AB100,FIND("+",AB100&amp;"+")-1))+1,2)^2*PI()/400,0)+IFERROR(LEFT(MID(AB100,FIND("+",AB100&amp;"+")+1,99),FIND("t",MID(AB100,FIND("+",AB100&amp;"+")+1,99))-1)*MID(MID(AB100,FIND("+",AB100&amp;"+")+1,99),FIND("t",MID(AB100,FIND("+",AB100&amp;"+")+1,99))+1,2)^2*PI()/400,0)</f>
        <v/>
      </c>
      <c r="AC101">
        <f>IFERROR(LEFT(LEFT(AC100,FIND("+",AC100&amp;"+")-1),FIND("t",LEFT(AC100,FIND("+",AC100&amp;"+")-1))-1)*MID(LEFT(AC100,FIND("+",AC100&amp;"+")-1),FIND("t",LEFT(AC100,FIND("+",AC100&amp;"+")-1))+1,2)^2*PI()/400,0)+IFERROR(LEFT(MID(AC100,FIND("+",AC100&amp;"+")+1,99),FIND("t",MID(AC100,FIND("+",AC100&amp;"+")+1,99))-1)*MID(MID(AC100,FIND("+",AC100&amp;"+")+1,99),FIND("t",MID(AC100,FIND("+",AC100&amp;"+")+1,99))+1,2)^2*PI()/400,0)</f>
        <v/>
      </c>
      <c r="AD101">
        <f>IFERROR(LEFT(LEFT(AD100,FIND("+",AD100&amp;"+")-1),FIND("t",LEFT(AD100,FIND("+",AD100&amp;"+")-1))-1)*MID(LEFT(AD100,FIND("+",AD100&amp;"+")-1),FIND("t",LEFT(AD100,FIND("+",AD100&amp;"+")-1))+1,2)^2*PI()/400,0)+IFERROR(LEFT(MID(AD100,FIND("+",AD100&amp;"+")+1,99),FIND("t",MID(AD100,FIND("+",AD100&amp;"+")+1,99))-1)*MID(MID(AD100,FIND("+",AD100&amp;"+")+1,99),FIND("t",MID(AD100,FIND("+",AD100&amp;"+")+1,99))+1,2)^2*PI()/400,0)</f>
        <v/>
      </c>
      <c r="AE101">
        <f>IFERROR(LEFT(LEFT(AE100,FIND("+",AE100&amp;"+")-1),FIND("t",LEFT(AE100,FIND("+",AE100&amp;"+")-1))-1)*MID(LEFT(AE100,FIND("+",AE100&amp;"+")-1),FIND("t",LEFT(AE100,FIND("+",AE100&amp;"+")-1))+1,2)^2*PI()/400,0)+IFERROR(LEFT(MID(AE100,FIND("+",AE100&amp;"+")+1,99),FIND("t",MID(AE100,FIND("+",AE100&amp;"+")+1,99))-1)*MID(MID(AE100,FIND("+",AE100&amp;"+")+1,99),FIND("t",MID(AE100,FIND("+",AE100&amp;"+")+1,99))+1,2)^2*PI()/400,0)</f>
        <v/>
      </c>
      <c r="AF101">
        <f>IFERROR(LEFT(LEFT(AF100,FIND("+",AF100&amp;"+")-1),FIND("t",LEFT(AF100,FIND("+",AF100&amp;"+")-1))-1)*MID(LEFT(AF100,FIND("+",AF100&amp;"+")-1),FIND("t",LEFT(AF100,FIND("+",AF100&amp;"+")-1))+1,2)^2*PI()/400,0)+IFERROR(LEFT(MID(AF100,FIND("+",AF100&amp;"+")+1,99),FIND("t",MID(AF100,FIND("+",AF100&amp;"+")+1,99))-1)*MID(MID(AF100,FIND("+",AF100&amp;"+")+1,99),FIND("t",MID(AF100,FIND("+",AF100&amp;"+")+1,99))+1,2)^2*PI()/400,0)</f>
        <v/>
      </c>
      <c r="AG101">
        <f>IFERROR(LEFT(LEFT(AG100,FIND("+",AG100&amp;"+")-1),FIND("t",LEFT(AG100,FIND("+",AG100&amp;"+")-1))-1)*MID(LEFT(AG100,FIND("+",AG100&amp;"+")-1),FIND("t",LEFT(AG100,FIND("+",AG100&amp;"+")-1))+1,2)^2*PI()/400,0)+IFERROR(LEFT(MID(AG100,FIND("+",AG100&amp;"+")+1,99),FIND("t",MID(AG100,FIND("+",AG100&amp;"+")+1,99))-1)*MID(MID(AG100,FIND("+",AG100&amp;"+")+1,99),FIND("t",MID(AG100,FIND("+",AG100&amp;"+")+1,99))+1,2)^2*PI()/400,0)</f>
        <v/>
      </c>
    </row>
    <row r="102" hidden="1" outlineLevel="1">
      <c r="A102" s="60" t="inlineStr">
        <is>
          <t>(phụ trợ) N_B2R</t>
        </is>
      </c>
      <c r="C102">
        <f>SUBSTITUTE(SUBSTITUTE(SUBSTITUTE(SUBSTITUTE(SUBSTITUTE(SUBSTITUTE(LOWER(IF(ISNUMBER(FIND(";",C21)),MID(C21,FIND(";",C21)+1,99),C21))," ",""),"%%c","t"),"ø","t"),"φ","t"),"f","t"),"d","t")</f>
        <v/>
      </c>
      <c r="D102">
        <f>SUBSTITUTE(SUBSTITUTE(SUBSTITUTE(SUBSTITUTE(SUBSTITUTE(SUBSTITUTE(LOWER(IF(ISNUMBER(FIND(";",D21)),MID(D21,FIND(";",D21)+1,99),D21))," ",""),"%%c","t"),"ø","t"),"φ","t"),"f","t"),"d","t")</f>
        <v/>
      </c>
      <c r="E102">
        <f>SUBSTITUTE(SUBSTITUTE(SUBSTITUTE(SUBSTITUTE(SUBSTITUTE(SUBSTITUTE(LOWER(IF(ISNUMBER(FIND(";",E21)),MID(E21,FIND(";",E21)+1,99),E21))," ",""),"%%c","t"),"ø","t"),"φ","t"),"f","t"),"d","t")</f>
        <v/>
      </c>
      <c r="F102">
        <f>SUBSTITUTE(SUBSTITUTE(SUBSTITUTE(SUBSTITUTE(SUBSTITUTE(SUBSTITUTE(LOWER(IF(ISNUMBER(FIND(";",F21)),MID(F21,FIND(";",F21)+1,99),F21))," ",""),"%%c","t"),"ø","t"),"φ","t"),"f","t"),"d","t")</f>
        <v/>
      </c>
      <c r="G102">
        <f>SUBSTITUTE(SUBSTITUTE(SUBSTITUTE(SUBSTITUTE(SUBSTITUTE(SUBSTITUTE(LOWER(IF(ISNUMBER(FIND(";",G21)),MID(G21,FIND(";",G21)+1,99),G21))," ",""),"%%c","t"),"ø","t"),"φ","t"),"f","t"),"d","t")</f>
        <v/>
      </c>
      <c r="H102">
        <f>SUBSTITUTE(SUBSTITUTE(SUBSTITUTE(SUBSTITUTE(SUBSTITUTE(SUBSTITUTE(LOWER(IF(ISNUMBER(FIND(";",H21)),MID(H21,FIND(";",H21)+1,99),H21))," ",""),"%%c","t"),"ø","t"),"φ","t"),"f","t"),"d","t")</f>
        <v/>
      </c>
      <c r="I102">
        <f>SUBSTITUTE(SUBSTITUTE(SUBSTITUTE(SUBSTITUTE(SUBSTITUTE(SUBSTITUTE(LOWER(IF(ISNUMBER(FIND(";",I21)),MID(I21,FIND(";",I21)+1,99),I21))," ",""),"%%c","t"),"ø","t"),"φ","t"),"f","t"),"d","t")</f>
        <v/>
      </c>
      <c r="J102">
        <f>SUBSTITUTE(SUBSTITUTE(SUBSTITUTE(SUBSTITUTE(SUBSTITUTE(SUBSTITUTE(LOWER(IF(ISNUMBER(FIND(";",J21)),MID(J21,FIND(";",J21)+1,99),J21))," ",""),"%%c","t"),"ø","t"),"φ","t"),"f","t"),"d","t")</f>
        <v/>
      </c>
      <c r="K102">
        <f>SUBSTITUTE(SUBSTITUTE(SUBSTITUTE(SUBSTITUTE(SUBSTITUTE(SUBSTITUTE(LOWER(IF(ISNUMBER(FIND(";",K21)),MID(K21,FIND(";",K21)+1,99),K21))," ",""),"%%c","t"),"ø","t"),"φ","t"),"f","t"),"d","t")</f>
        <v/>
      </c>
      <c r="L102">
        <f>SUBSTITUTE(SUBSTITUTE(SUBSTITUTE(SUBSTITUTE(SUBSTITUTE(SUBSTITUTE(LOWER(IF(ISNUMBER(FIND(";",L21)),MID(L21,FIND(";",L21)+1,99),L21))," ",""),"%%c","t"),"ø","t"),"φ","t"),"f","t"),"d","t")</f>
        <v/>
      </c>
      <c r="M102">
        <f>SUBSTITUTE(SUBSTITUTE(SUBSTITUTE(SUBSTITUTE(SUBSTITUTE(SUBSTITUTE(LOWER(IF(ISNUMBER(FIND(";",M21)),MID(M21,FIND(";",M21)+1,99),M21))," ",""),"%%c","t"),"ø","t"),"φ","t"),"f","t"),"d","t")</f>
        <v/>
      </c>
      <c r="N102">
        <f>SUBSTITUTE(SUBSTITUTE(SUBSTITUTE(SUBSTITUTE(SUBSTITUTE(SUBSTITUTE(LOWER(IF(ISNUMBER(FIND(";",N21)),MID(N21,FIND(";",N21)+1,99),N21))," ",""),"%%c","t"),"ø","t"),"φ","t"),"f","t"),"d","t")</f>
        <v/>
      </c>
      <c r="O102">
        <f>SUBSTITUTE(SUBSTITUTE(SUBSTITUTE(SUBSTITUTE(SUBSTITUTE(SUBSTITUTE(LOWER(IF(ISNUMBER(FIND(";",O21)),MID(O21,FIND(";",O21)+1,99),O21))," ",""),"%%c","t"),"ø","t"),"φ","t"),"f","t"),"d","t")</f>
        <v/>
      </c>
      <c r="P102">
        <f>SUBSTITUTE(SUBSTITUTE(SUBSTITUTE(SUBSTITUTE(SUBSTITUTE(SUBSTITUTE(LOWER(IF(ISNUMBER(FIND(";",P21)),MID(P21,FIND(";",P21)+1,99),P21))," ",""),"%%c","t"),"ø","t"),"φ","t"),"f","t"),"d","t")</f>
        <v/>
      </c>
      <c r="Q102">
        <f>SUBSTITUTE(SUBSTITUTE(SUBSTITUTE(SUBSTITUTE(SUBSTITUTE(SUBSTITUTE(LOWER(IF(ISNUMBER(FIND(";",Q21)),MID(Q21,FIND(";",Q21)+1,99),Q21))," ",""),"%%c","t"),"ø","t"),"φ","t"),"f","t"),"d","t")</f>
        <v/>
      </c>
      <c r="R102">
        <f>SUBSTITUTE(SUBSTITUTE(SUBSTITUTE(SUBSTITUTE(SUBSTITUTE(SUBSTITUTE(LOWER(IF(ISNUMBER(FIND(";",R21)),MID(R21,FIND(";",R21)+1,99),R21))," ",""),"%%c","t"),"ø","t"),"φ","t"),"f","t"),"d","t")</f>
        <v/>
      </c>
      <c r="S102">
        <f>SUBSTITUTE(SUBSTITUTE(SUBSTITUTE(SUBSTITUTE(SUBSTITUTE(SUBSTITUTE(LOWER(IF(ISNUMBER(FIND(";",S21)),MID(S21,FIND(";",S21)+1,99),S21))," ",""),"%%c","t"),"ø","t"),"φ","t"),"f","t"),"d","t")</f>
        <v/>
      </c>
      <c r="T102">
        <f>SUBSTITUTE(SUBSTITUTE(SUBSTITUTE(SUBSTITUTE(SUBSTITUTE(SUBSTITUTE(LOWER(IF(ISNUMBER(FIND(";",T21)),MID(T21,FIND(";",T21)+1,99),T21))," ",""),"%%c","t"),"ø","t"),"φ","t"),"f","t"),"d","t")</f>
        <v/>
      </c>
      <c r="U102">
        <f>SUBSTITUTE(SUBSTITUTE(SUBSTITUTE(SUBSTITUTE(SUBSTITUTE(SUBSTITUTE(LOWER(IF(ISNUMBER(FIND(";",U21)),MID(U21,FIND(";",U21)+1,99),U21))," ",""),"%%c","t"),"ø","t"),"φ","t"),"f","t"),"d","t")</f>
        <v/>
      </c>
      <c r="V102">
        <f>SUBSTITUTE(SUBSTITUTE(SUBSTITUTE(SUBSTITUTE(SUBSTITUTE(SUBSTITUTE(LOWER(IF(ISNUMBER(FIND(";",V21)),MID(V21,FIND(";",V21)+1,99),V21))," ",""),"%%c","t"),"ø","t"),"φ","t"),"f","t"),"d","t")</f>
        <v/>
      </c>
      <c r="W102">
        <f>SUBSTITUTE(SUBSTITUTE(SUBSTITUTE(SUBSTITUTE(SUBSTITUTE(SUBSTITUTE(LOWER(IF(ISNUMBER(FIND(";",W21)),MID(W21,FIND(";",W21)+1,99),W21))," ",""),"%%c","t"),"ø","t"),"φ","t"),"f","t"),"d","t")</f>
        <v/>
      </c>
      <c r="X102">
        <f>SUBSTITUTE(SUBSTITUTE(SUBSTITUTE(SUBSTITUTE(SUBSTITUTE(SUBSTITUTE(LOWER(IF(ISNUMBER(FIND(";",X21)),MID(X21,FIND(";",X21)+1,99),X21))," ",""),"%%c","t"),"ø","t"),"φ","t"),"f","t"),"d","t")</f>
        <v/>
      </c>
      <c r="Y102">
        <f>SUBSTITUTE(SUBSTITUTE(SUBSTITUTE(SUBSTITUTE(SUBSTITUTE(SUBSTITUTE(LOWER(IF(ISNUMBER(FIND(";",Y21)),MID(Y21,FIND(";",Y21)+1,99),Y21))," ",""),"%%c","t"),"ø","t"),"φ","t"),"f","t"),"d","t")</f>
        <v/>
      </c>
      <c r="Z102">
        <f>SUBSTITUTE(SUBSTITUTE(SUBSTITUTE(SUBSTITUTE(SUBSTITUTE(SUBSTITUTE(LOWER(IF(ISNUMBER(FIND(";",Z21)),MID(Z21,FIND(";",Z21)+1,99),Z21))," ",""),"%%c","t"),"ø","t"),"φ","t"),"f","t"),"d","t")</f>
        <v/>
      </c>
      <c r="AA102">
        <f>SUBSTITUTE(SUBSTITUTE(SUBSTITUTE(SUBSTITUTE(SUBSTITUTE(SUBSTITUTE(LOWER(IF(ISNUMBER(FIND(";",AA21)),MID(AA21,FIND(";",AA21)+1,99),AA21))," ",""),"%%c","t"),"ø","t"),"φ","t"),"f","t"),"d","t")</f>
        <v/>
      </c>
      <c r="AB102">
        <f>SUBSTITUTE(SUBSTITUTE(SUBSTITUTE(SUBSTITUTE(SUBSTITUTE(SUBSTITUTE(LOWER(IF(ISNUMBER(FIND(";",AB21)),MID(AB21,FIND(";",AB21)+1,99),AB21))," ",""),"%%c","t"),"ø","t"),"φ","t"),"f","t"),"d","t")</f>
        <v/>
      </c>
      <c r="AC102">
        <f>SUBSTITUTE(SUBSTITUTE(SUBSTITUTE(SUBSTITUTE(SUBSTITUTE(SUBSTITUTE(LOWER(IF(ISNUMBER(FIND(";",AC21)),MID(AC21,FIND(";",AC21)+1,99),AC21))," ",""),"%%c","t"),"ø","t"),"φ","t"),"f","t"),"d","t")</f>
        <v/>
      </c>
      <c r="AD102">
        <f>SUBSTITUTE(SUBSTITUTE(SUBSTITUTE(SUBSTITUTE(SUBSTITUTE(SUBSTITUTE(LOWER(IF(ISNUMBER(FIND(";",AD21)),MID(AD21,FIND(";",AD21)+1,99),AD21))," ",""),"%%c","t"),"ø","t"),"φ","t"),"f","t"),"d","t")</f>
        <v/>
      </c>
      <c r="AE102">
        <f>SUBSTITUTE(SUBSTITUTE(SUBSTITUTE(SUBSTITUTE(SUBSTITUTE(SUBSTITUTE(LOWER(IF(ISNUMBER(FIND(";",AE21)),MID(AE21,FIND(";",AE21)+1,99),AE21))," ",""),"%%c","t"),"ø","t"),"φ","t"),"f","t"),"d","t")</f>
        <v/>
      </c>
      <c r="AF102">
        <f>SUBSTITUTE(SUBSTITUTE(SUBSTITUTE(SUBSTITUTE(SUBSTITUTE(SUBSTITUTE(LOWER(IF(ISNUMBER(FIND(";",AF21)),MID(AF21,FIND(";",AF21)+1,99),AF21))," ",""),"%%c","t"),"ø","t"),"φ","t"),"f","t"),"d","t")</f>
        <v/>
      </c>
      <c r="AG102">
        <f>SUBSTITUTE(SUBSTITUTE(SUBSTITUTE(SUBSTITUTE(SUBSTITUTE(SUBSTITUTE(LOWER(IF(ISNUMBER(FIND(";",AG21)),MID(AG21,FIND(";",AG21)+1,99),AG21))," ",""),"%%c","t"),"ø","t"),"φ","t"),"f","t"),"d","t")</f>
        <v/>
      </c>
    </row>
    <row r="103" hidden="1" outlineLevel="1">
      <c r="A103" s="60" t="inlineStr">
        <is>
          <t>(phụ trợ) A_B2R</t>
        </is>
      </c>
      <c r="C103">
        <f>IFERROR(LEFT(LEFT(C102,FIND("+",C102&amp;"+")-1),FIND("t",LEFT(C102,FIND("+",C102&amp;"+")-1))-1)*MID(LEFT(C102,FIND("+",C102&amp;"+")-1),FIND("t",LEFT(C102,FIND("+",C102&amp;"+")-1))+1,2)^2*PI()/400,0)+IFERROR(LEFT(MID(C102,FIND("+",C102&amp;"+")+1,99),FIND("t",MID(C102,FIND("+",C102&amp;"+")+1,99))-1)*MID(MID(C102,FIND("+",C102&amp;"+")+1,99),FIND("t",MID(C102,FIND("+",C102&amp;"+")+1,99))+1,2)^2*PI()/400,0)</f>
        <v/>
      </c>
      <c r="D103">
        <f>IFERROR(LEFT(LEFT(D102,FIND("+",D102&amp;"+")-1),FIND("t",LEFT(D102,FIND("+",D102&amp;"+")-1))-1)*MID(LEFT(D102,FIND("+",D102&amp;"+")-1),FIND("t",LEFT(D102,FIND("+",D102&amp;"+")-1))+1,2)^2*PI()/400,0)+IFERROR(LEFT(MID(D102,FIND("+",D102&amp;"+")+1,99),FIND("t",MID(D102,FIND("+",D102&amp;"+")+1,99))-1)*MID(MID(D102,FIND("+",D102&amp;"+")+1,99),FIND("t",MID(D102,FIND("+",D102&amp;"+")+1,99))+1,2)^2*PI()/400,0)</f>
        <v/>
      </c>
      <c r="E103">
        <f>IFERROR(LEFT(LEFT(E102,FIND("+",E102&amp;"+")-1),FIND("t",LEFT(E102,FIND("+",E102&amp;"+")-1))-1)*MID(LEFT(E102,FIND("+",E102&amp;"+")-1),FIND("t",LEFT(E102,FIND("+",E102&amp;"+")-1))+1,2)^2*PI()/400,0)+IFERROR(LEFT(MID(E102,FIND("+",E102&amp;"+")+1,99),FIND("t",MID(E102,FIND("+",E102&amp;"+")+1,99))-1)*MID(MID(E102,FIND("+",E102&amp;"+")+1,99),FIND("t",MID(E102,FIND("+",E102&amp;"+")+1,99))+1,2)^2*PI()/400,0)</f>
        <v/>
      </c>
      <c r="F103">
        <f>IFERROR(LEFT(LEFT(F102,FIND("+",F102&amp;"+")-1),FIND("t",LEFT(F102,FIND("+",F102&amp;"+")-1))-1)*MID(LEFT(F102,FIND("+",F102&amp;"+")-1),FIND("t",LEFT(F102,FIND("+",F102&amp;"+")-1))+1,2)^2*PI()/400,0)+IFERROR(LEFT(MID(F102,FIND("+",F102&amp;"+")+1,99),FIND("t",MID(F102,FIND("+",F102&amp;"+")+1,99))-1)*MID(MID(F102,FIND("+",F102&amp;"+")+1,99),FIND("t",MID(F102,FIND("+",F102&amp;"+")+1,99))+1,2)^2*PI()/400,0)</f>
        <v/>
      </c>
      <c r="G103">
        <f>IFERROR(LEFT(LEFT(G102,FIND("+",G102&amp;"+")-1),FIND("t",LEFT(G102,FIND("+",G102&amp;"+")-1))-1)*MID(LEFT(G102,FIND("+",G102&amp;"+")-1),FIND("t",LEFT(G102,FIND("+",G102&amp;"+")-1))+1,2)^2*PI()/400,0)+IFERROR(LEFT(MID(G102,FIND("+",G102&amp;"+")+1,99),FIND("t",MID(G102,FIND("+",G102&amp;"+")+1,99))-1)*MID(MID(G102,FIND("+",G102&amp;"+")+1,99),FIND("t",MID(G102,FIND("+",G102&amp;"+")+1,99))+1,2)^2*PI()/400,0)</f>
        <v/>
      </c>
      <c r="H103">
        <f>IFERROR(LEFT(LEFT(H102,FIND("+",H102&amp;"+")-1),FIND("t",LEFT(H102,FIND("+",H102&amp;"+")-1))-1)*MID(LEFT(H102,FIND("+",H102&amp;"+")-1),FIND("t",LEFT(H102,FIND("+",H102&amp;"+")-1))+1,2)^2*PI()/400,0)+IFERROR(LEFT(MID(H102,FIND("+",H102&amp;"+")+1,99),FIND("t",MID(H102,FIND("+",H102&amp;"+")+1,99))-1)*MID(MID(H102,FIND("+",H102&amp;"+")+1,99),FIND("t",MID(H102,FIND("+",H102&amp;"+")+1,99))+1,2)^2*PI()/400,0)</f>
        <v/>
      </c>
      <c r="I103">
        <f>IFERROR(LEFT(LEFT(I102,FIND("+",I102&amp;"+")-1),FIND("t",LEFT(I102,FIND("+",I102&amp;"+")-1))-1)*MID(LEFT(I102,FIND("+",I102&amp;"+")-1),FIND("t",LEFT(I102,FIND("+",I102&amp;"+")-1))+1,2)^2*PI()/400,0)+IFERROR(LEFT(MID(I102,FIND("+",I102&amp;"+")+1,99),FIND("t",MID(I102,FIND("+",I102&amp;"+")+1,99))-1)*MID(MID(I102,FIND("+",I102&amp;"+")+1,99),FIND("t",MID(I102,FIND("+",I102&amp;"+")+1,99))+1,2)^2*PI()/400,0)</f>
        <v/>
      </c>
      <c r="J103">
        <f>IFERROR(LEFT(LEFT(J102,FIND("+",J102&amp;"+")-1),FIND("t",LEFT(J102,FIND("+",J102&amp;"+")-1))-1)*MID(LEFT(J102,FIND("+",J102&amp;"+")-1),FIND("t",LEFT(J102,FIND("+",J102&amp;"+")-1))+1,2)^2*PI()/400,0)+IFERROR(LEFT(MID(J102,FIND("+",J102&amp;"+")+1,99),FIND("t",MID(J102,FIND("+",J102&amp;"+")+1,99))-1)*MID(MID(J102,FIND("+",J102&amp;"+")+1,99),FIND("t",MID(J102,FIND("+",J102&amp;"+")+1,99))+1,2)^2*PI()/400,0)</f>
        <v/>
      </c>
      <c r="K103">
        <f>IFERROR(LEFT(LEFT(K102,FIND("+",K102&amp;"+")-1),FIND("t",LEFT(K102,FIND("+",K102&amp;"+")-1))-1)*MID(LEFT(K102,FIND("+",K102&amp;"+")-1),FIND("t",LEFT(K102,FIND("+",K102&amp;"+")-1))+1,2)^2*PI()/400,0)+IFERROR(LEFT(MID(K102,FIND("+",K102&amp;"+")+1,99),FIND("t",MID(K102,FIND("+",K102&amp;"+")+1,99))-1)*MID(MID(K102,FIND("+",K102&amp;"+")+1,99),FIND("t",MID(K102,FIND("+",K102&amp;"+")+1,99))+1,2)^2*PI()/400,0)</f>
        <v/>
      </c>
      <c r="L103">
        <f>IFERROR(LEFT(LEFT(L102,FIND("+",L102&amp;"+")-1),FIND("t",LEFT(L102,FIND("+",L102&amp;"+")-1))-1)*MID(LEFT(L102,FIND("+",L102&amp;"+")-1),FIND("t",LEFT(L102,FIND("+",L102&amp;"+")-1))+1,2)^2*PI()/400,0)+IFERROR(LEFT(MID(L102,FIND("+",L102&amp;"+")+1,99),FIND("t",MID(L102,FIND("+",L102&amp;"+")+1,99))-1)*MID(MID(L102,FIND("+",L102&amp;"+")+1,99),FIND("t",MID(L102,FIND("+",L102&amp;"+")+1,99))+1,2)^2*PI()/400,0)</f>
        <v/>
      </c>
      <c r="M103">
        <f>IFERROR(LEFT(LEFT(M102,FIND("+",M102&amp;"+")-1),FIND("t",LEFT(M102,FIND("+",M102&amp;"+")-1))-1)*MID(LEFT(M102,FIND("+",M102&amp;"+")-1),FIND("t",LEFT(M102,FIND("+",M102&amp;"+")-1))+1,2)^2*PI()/400,0)+IFERROR(LEFT(MID(M102,FIND("+",M102&amp;"+")+1,99),FIND("t",MID(M102,FIND("+",M102&amp;"+")+1,99))-1)*MID(MID(M102,FIND("+",M102&amp;"+")+1,99),FIND("t",MID(M102,FIND("+",M102&amp;"+")+1,99))+1,2)^2*PI()/400,0)</f>
        <v/>
      </c>
      <c r="N103">
        <f>IFERROR(LEFT(LEFT(N102,FIND("+",N102&amp;"+")-1),FIND("t",LEFT(N102,FIND("+",N102&amp;"+")-1))-1)*MID(LEFT(N102,FIND("+",N102&amp;"+")-1),FIND("t",LEFT(N102,FIND("+",N102&amp;"+")-1))+1,2)^2*PI()/400,0)+IFERROR(LEFT(MID(N102,FIND("+",N102&amp;"+")+1,99),FIND("t",MID(N102,FIND("+",N102&amp;"+")+1,99))-1)*MID(MID(N102,FIND("+",N102&amp;"+")+1,99),FIND("t",MID(N102,FIND("+",N102&amp;"+")+1,99))+1,2)^2*PI()/400,0)</f>
        <v/>
      </c>
      <c r="O103">
        <f>IFERROR(LEFT(LEFT(O102,FIND("+",O102&amp;"+")-1),FIND("t",LEFT(O102,FIND("+",O102&amp;"+")-1))-1)*MID(LEFT(O102,FIND("+",O102&amp;"+")-1),FIND("t",LEFT(O102,FIND("+",O102&amp;"+")-1))+1,2)^2*PI()/400,0)+IFERROR(LEFT(MID(O102,FIND("+",O102&amp;"+")+1,99),FIND("t",MID(O102,FIND("+",O102&amp;"+")+1,99))-1)*MID(MID(O102,FIND("+",O102&amp;"+")+1,99),FIND("t",MID(O102,FIND("+",O102&amp;"+")+1,99))+1,2)^2*PI()/400,0)</f>
        <v/>
      </c>
      <c r="P103">
        <f>IFERROR(LEFT(LEFT(P102,FIND("+",P102&amp;"+")-1),FIND("t",LEFT(P102,FIND("+",P102&amp;"+")-1))-1)*MID(LEFT(P102,FIND("+",P102&amp;"+")-1),FIND("t",LEFT(P102,FIND("+",P102&amp;"+")-1))+1,2)^2*PI()/400,0)+IFERROR(LEFT(MID(P102,FIND("+",P102&amp;"+")+1,99),FIND("t",MID(P102,FIND("+",P102&amp;"+")+1,99))-1)*MID(MID(P102,FIND("+",P102&amp;"+")+1,99),FIND("t",MID(P102,FIND("+",P102&amp;"+")+1,99))+1,2)^2*PI()/400,0)</f>
        <v/>
      </c>
      <c r="Q103">
        <f>IFERROR(LEFT(LEFT(Q102,FIND("+",Q102&amp;"+")-1),FIND("t",LEFT(Q102,FIND("+",Q102&amp;"+")-1))-1)*MID(LEFT(Q102,FIND("+",Q102&amp;"+")-1),FIND("t",LEFT(Q102,FIND("+",Q102&amp;"+")-1))+1,2)^2*PI()/400,0)+IFERROR(LEFT(MID(Q102,FIND("+",Q102&amp;"+")+1,99),FIND("t",MID(Q102,FIND("+",Q102&amp;"+")+1,99))-1)*MID(MID(Q102,FIND("+",Q102&amp;"+")+1,99),FIND("t",MID(Q102,FIND("+",Q102&amp;"+")+1,99))+1,2)^2*PI()/400,0)</f>
        <v/>
      </c>
      <c r="R103">
        <f>IFERROR(LEFT(LEFT(R102,FIND("+",R102&amp;"+")-1),FIND("t",LEFT(R102,FIND("+",R102&amp;"+")-1))-1)*MID(LEFT(R102,FIND("+",R102&amp;"+")-1),FIND("t",LEFT(R102,FIND("+",R102&amp;"+")-1))+1,2)^2*PI()/400,0)+IFERROR(LEFT(MID(R102,FIND("+",R102&amp;"+")+1,99),FIND("t",MID(R102,FIND("+",R102&amp;"+")+1,99))-1)*MID(MID(R102,FIND("+",R102&amp;"+")+1,99),FIND("t",MID(R102,FIND("+",R102&amp;"+")+1,99))+1,2)^2*PI()/400,0)</f>
        <v/>
      </c>
      <c r="S103">
        <f>IFERROR(LEFT(LEFT(S102,FIND("+",S102&amp;"+")-1),FIND("t",LEFT(S102,FIND("+",S102&amp;"+")-1))-1)*MID(LEFT(S102,FIND("+",S102&amp;"+")-1),FIND("t",LEFT(S102,FIND("+",S102&amp;"+")-1))+1,2)^2*PI()/400,0)+IFERROR(LEFT(MID(S102,FIND("+",S102&amp;"+")+1,99),FIND("t",MID(S102,FIND("+",S102&amp;"+")+1,99))-1)*MID(MID(S102,FIND("+",S102&amp;"+")+1,99),FIND("t",MID(S102,FIND("+",S102&amp;"+")+1,99))+1,2)^2*PI()/400,0)</f>
        <v/>
      </c>
      <c r="T103">
        <f>IFERROR(LEFT(LEFT(T102,FIND("+",T102&amp;"+")-1),FIND("t",LEFT(T102,FIND("+",T102&amp;"+")-1))-1)*MID(LEFT(T102,FIND("+",T102&amp;"+")-1),FIND("t",LEFT(T102,FIND("+",T102&amp;"+")-1))+1,2)^2*PI()/400,0)+IFERROR(LEFT(MID(T102,FIND("+",T102&amp;"+")+1,99),FIND("t",MID(T102,FIND("+",T102&amp;"+")+1,99))-1)*MID(MID(T102,FIND("+",T102&amp;"+")+1,99),FIND("t",MID(T102,FIND("+",T102&amp;"+")+1,99))+1,2)^2*PI()/400,0)</f>
        <v/>
      </c>
      <c r="U103">
        <f>IFERROR(LEFT(LEFT(U102,FIND("+",U102&amp;"+")-1),FIND("t",LEFT(U102,FIND("+",U102&amp;"+")-1))-1)*MID(LEFT(U102,FIND("+",U102&amp;"+")-1),FIND("t",LEFT(U102,FIND("+",U102&amp;"+")-1))+1,2)^2*PI()/400,0)+IFERROR(LEFT(MID(U102,FIND("+",U102&amp;"+")+1,99),FIND("t",MID(U102,FIND("+",U102&amp;"+")+1,99))-1)*MID(MID(U102,FIND("+",U102&amp;"+")+1,99),FIND("t",MID(U102,FIND("+",U102&amp;"+")+1,99))+1,2)^2*PI()/400,0)</f>
        <v/>
      </c>
      <c r="V103">
        <f>IFERROR(LEFT(LEFT(V102,FIND("+",V102&amp;"+")-1),FIND("t",LEFT(V102,FIND("+",V102&amp;"+")-1))-1)*MID(LEFT(V102,FIND("+",V102&amp;"+")-1),FIND("t",LEFT(V102,FIND("+",V102&amp;"+")-1))+1,2)^2*PI()/400,0)+IFERROR(LEFT(MID(V102,FIND("+",V102&amp;"+")+1,99),FIND("t",MID(V102,FIND("+",V102&amp;"+")+1,99))-1)*MID(MID(V102,FIND("+",V102&amp;"+")+1,99),FIND("t",MID(V102,FIND("+",V102&amp;"+")+1,99))+1,2)^2*PI()/400,0)</f>
        <v/>
      </c>
      <c r="W103">
        <f>IFERROR(LEFT(LEFT(W102,FIND("+",W102&amp;"+")-1),FIND("t",LEFT(W102,FIND("+",W102&amp;"+")-1))-1)*MID(LEFT(W102,FIND("+",W102&amp;"+")-1),FIND("t",LEFT(W102,FIND("+",W102&amp;"+")-1))+1,2)^2*PI()/400,0)+IFERROR(LEFT(MID(W102,FIND("+",W102&amp;"+")+1,99),FIND("t",MID(W102,FIND("+",W102&amp;"+")+1,99))-1)*MID(MID(W102,FIND("+",W102&amp;"+")+1,99),FIND("t",MID(W102,FIND("+",W102&amp;"+")+1,99))+1,2)^2*PI()/400,0)</f>
        <v/>
      </c>
      <c r="X103">
        <f>IFERROR(LEFT(LEFT(X102,FIND("+",X102&amp;"+")-1),FIND("t",LEFT(X102,FIND("+",X102&amp;"+")-1))-1)*MID(LEFT(X102,FIND("+",X102&amp;"+")-1),FIND("t",LEFT(X102,FIND("+",X102&amp;"+")-1))+1,2)^2*PI()/400,0)+IFERROR(LEFT(MID(X102,FIND("+",X102&amp;"+")+1,99),FIND("t",MID(X102,FIND("+",X102&amp;"+")+1,99))-1)*MID(MID(X102,FIND("+",X102&amp;"+")+1,99),FIND("t",MID(X102,FIND("+",X102&amp;"+")+1,99))+1,2)^2*PI()/400,0)</f>
        <v/>
      </c>
      <c r="Y103">
        <f>IFERROR(LEFT(LEFT(Y102,FIND("+",Y102&amp;"+")-1),FIND("t",LEFT(Y102,FIND("+",Y102&amp;"+")-1))-1)*MID(LEFT(Y102,FIND("+",Y102&amp;"+")-1),FIND("t",LEFT(Y102,FIND("+",Y102&amp;"+")-1))+1,2)^2*PI()/400,0)+IFERROR(LEFT(MID(Y102,FIND("+",Y102&amp;"+")+1,99),FIND("t",MID(Y102,FIND("+",Y102&amp;"+")+1,99))-1)*MID(MID(Y102,FIND("+",Y102&amp;"+")+1,99),FIND("t",MID(Y102,FIND("+",Y102&amp;"+")+1,99))+1,2)^2*PI()/400,0)</f>
        <v/>
      </c>
      <c r="Z103">
        <f>IFERROR(LEFT(LEFT(Z102,FIND("+",Z102&amp;"+")-1),FIND("t",LEFT(Z102,FIND("+",Z102&amp;"+")-1))-1)*MID(LEFT(Z102,FIND("+",Z102&amp;"+")-1),FIND("t",LEFT(Z102,FIND("+",Z102&amp;"+")-1))+1,2)^2*PI()/400,0)+IFERROR(LEFT(MID(Z102,FIND("+",Z102&amp;"+")+1,99),FIND("t",MID(Z102,FIND("+",Z102&amp;"+")+1,99))-1)*MID(MID(Z102,FIND("+",Z102&amp;"+")+1,99),FIND("t",MID(Z102,FIND("+",Z102&amp;"+")+1,99))+1,2)^2*PI()/400,0)</f>
        <v/>
      </c>
      <c r="AA103">
        <f>IFERROR(LEFT(LEFT(AA102,FIND("+",AA102&amp;"+")-1),FIND("t",LEFT(AA102,FIND("+",AA102&amp;"+")-1))-1)*MID(LEFT(AA102,FIND("+",AA102&amp;"+")-1),FIND("t",LEFT(AA102,FIND("+",AA102&amp;"+")-1))+1,2)^2*PI()/400,0)+IFERROR(LEFT(MID(AA102,FIND("+",AA102&amp;"+")+1,99),FIND("t",MID(AA102,FIND("+",AA102&amp;"+")+1,99))-1)*MID(MID(AA102,FIND("+",AA102&amp;"+")+1,99),FIND("t",MID(AA102,FIND("+",AA102&amp;"+")+1,99))+1,2)^2*PI()/400,0)</f>
        <v/>
      </c>
      <c r="AB103">
        <f>IFERROR(LEFT(LEFT(AB102,FIND("+",AB102&amp;"+")-1),FIND("t",LEFT(AB102,FIND("+",AB102&amp;"+")-1))-1)*MID(LEFT(AB102,FIND("+",AB102&amp;"+")-1),FIND("t",LEFT(AB102,FIND("+",AB102&amp;"+")-1))+1,2)^2*PI()/400,0)+IFERROR(LEFT(MID(AB102,FIND("+",AB102&amp;"+")+1,99),FIND("t",MID(AB102,FIND("+",AB102&amp;"+")+1,99))-1)*MID(MID(AB102,FIND("+",AB102&amp;"+")+1,99),FIND("t",MID(AB102,FIND("+",AB102&amp;"+")+1,99))+1,2)^2*PI()/400,0)</f>
        <v/>
      </c>
      <c r="AC103">
        <f>IFERROR(LEFT(LEFT(AC102,FIND("+",AC102&amp;"+")-1),FIND("t",LEFT(AC102,FIND("+",AC102&amp;"+")-1))-1)*MID(LEFT(AC102,FIND("+",AC102&amp;"+")-1),FIND("t",LEFT(AC102,FIND("+",AC102&amp;"+")-1))+1,2)^2*PI()/400,0)+IFERROR(LEFT(MID(AC102,FIND("+",AC102&amp;"+")+1,99),FIND("t",MID(AC102,FIND("+",AC102&amp;"+")+1,99))-1)*MID(MID(AC102,FIND("+",AC102&amp;"+")+1,99),FIND("t",MID(AC102,FIND("+",AC102&amp;"+")+1,99))+1,2)^2*PI()/400,0)</f>
        <v/>
      </c>
      <c r="AD103">
        <f>IFERROR(LEFT(LEFT(AD102,FIND("+",AD102&amp;"+")-1),FIND("t",LEFT(AD102,FIND("+",AD102&amp;"+")-1))-1)*MID(LEFT(AD102,FIND("+",AD102&amp;"+")-1),FIND("t",LEFT(AD102,FIND("+",AD102&amp;"+")-1))+1,2)^2*PI()/400,0)+IFERROR(LEFT(MID(AD102,FIND("+",AD102&amp;"+")+1,99),FIND("t",MID(AD102,FIND("+",AD102&amp;"+")+1,99))-1)*MID(MID(AD102,FIND("+",AD102&amp;"+")+1,99),FIND("t",MID(AD102,FIND("+",AD102&amp;"+")+1,99))+1,2)^2*PI()/400,0)</f>
        <v/>
      </c>
      <c r="AE103">
        <f>IFERROR(LEFT(LEFT(AE102,FIND("+",AE102&amp;"+")-1),FIND("t",LEFT(AE102,FIND("+",AE102&amp;"+")-1))-1)*MID(LEFT(AE102,FIND("+",AE102&amp;"+")-1),FIND("t",LEFT(AE102,FIND("+",AE102&amp;"+")-1))+1,2)^2*PI()/400,0)+IFERROR(LEFT(MID(AE102,FIND("+",AE102&amp;"+")+1,99),FIND("t",MID(AE102,FIND("+",AE102&amp;"+")+1,99))-1)*MID(MID(AE102,FIND("+",AE102&amp;"+")+1,99),FIND("t",MID(AE102,FIND("+",AE102&amp;"+")+1,99))+1,2)^2*PI()/400,0)</f>
        <v/>
      </c>
      <c r="AF103">
        <f>IFERROR(LEFT(LEFT(AF102,FIND("+",AF102&amp;"+")-1),FIND("t",LEFT(AF102,FIND("+",AF102&amp;"+")-1))-1)*MID(LEFT(AF102,FIND("+",AF102&amp;"+")-1),FIND("t",LEFT(AF102,FIND("+",AF102&amp;"+")-1))+1,2)^2*PI()/400,0)+IFERROR(LEFT(MID(AF102,FIND("+",AF102&amp;"+")+1,99),FIND("t",MID(AF102,FIND("+",AF102&amp;"+")+1,99))-1)*MID(MID(AF102,FIND("+",AF102&amp;"+")+1,99),FIND("t",MID(AF102,FIND("+",AF102&amp;"+")+1,99))+1,2)^2*PI()/400,0)</f>
        <v/>
      </c>
      <c r="AG103">
        <f>IFERROR(LEFT(LEFT(AG102,FIND("+",AG102&amp;"+")-1),FIND("t",LEFT(AG102,FIND("+",AG102&amp;"+")-1))-1)*MID(LEFT(AG102,FIND("+",AG102&amp;"+")-1),FIND("t",LEFT(AG102,FIND("+",AG102&amp;"+")-1))+1,2)^2*PI()/400,0)+IFERROR(LEFT(MID(AG102,FIND("+",AG102&amp;"+")+1,99),FIND("t",MID(AG102,FIND("+",AG102&amp;"+")+1,99))-1)*MID(MID(AG102,FIND("+",AG102&amp;"+")+1,99),FIND("t",MID(AG102,FIND("+",AG102&amp;"+")+1,99))+1,2)^2*PI()/400,0)</f>
        <v/>
      </c>
    </row>
    <row r="104" hidden="1" outlineLevel="1">
      <c r="A104" s="60" t="inlineStr">
        <is>
          <t>(phụ trợ) N_B3L</t>
        </is>
      </c>
      <c r="C104">
        <f>SUBSTITUTE(SUBSTITUTE(SUBSTITUTE(SUBSTITUTE(SUBSTITUTE(SUBSTITUTE(LOWER(IF(ISNUMBER(FIND(";",C20)),LEFT(C20,FIND(";",C20)-1),C20))," ",""),"%%c","t"),"ø","t"),"φ","t"),"f","t"),"d","t")</f>
        <v/>
      </c>
      <c r="D104">
        <f>SUBSTITUTE(SUBSTITUTE(SUBSTITUTE(SUBSTITUTE(SUBSTITUTE(SUBSTITUTE(LOWER(IF(ISNUMBER(FIND(";",D20)),LEFT(D20,FIND(";",D20)-1),D20))," ",""),"%%c","t"),"ø","t"),"φ","t"),"f","t"),"d","t")</f>
        <v/>
      </c>
      <c r="E104">
        <f>SUBSTITUTE(SUBSTITUTE(SUBSTITUTE(SUBSTITUTE(SUBSTITUTE(SUBSTITUTE(LOWER(IF(ISNUMBER(FIND(";",E20)),LEFT(E20,FIND(";",E20)-1),E20))," ",""),"%%c","t"),"ø","t"),"φ","t"),"f","t"),"d","t")</f>
        <v/>
      </c>
      <c r="F104">
        <f>SUBSTITUTE(SUBSTITUTE(SUBSTITUTE(SUBSTITUTE(SUBSTITUTE(SUBSTITUTE(LOWER(IF(ISNUMBER(FIND(";",F20)),LEFT(F20,FIND(";",F20)-1),F20))," ",""),"%%c","t"),"ø","t"),"φ","t"),"f","t"),"d","t")</f>
        <v/>
      </c>
      <c r="G104">
        <f>SUBSTITUTE(SUBSTITUTE(SUBSTITUTE(SUBSTITUTE(SUBSTITUTE(SUBSTITUTE(LOWER(IF(ISNUMBER(FIND(";",G20)),LEFT(G20,FIND(";",G20)-1),G20))," ",""),"%%c","t"),"ø","t"),"φ","t"),"f","t"),"d","t")</f>
        <v/>
      </c>
      <c r="H104">
        <f>SUBSTITUTE(SUBSTITUTE(SUBSTITUTE(SUBSTITUTE(SUBSTITUTE(SUBSTITUTE(LOWER(IF(ISNUMBER(FIND(";",H20)),LEFT(H20,FIND(";",H20)-1),H20))," ",""),"%%c","t"),"ø","t"),"φ","t"),"f","t"),"d","t")</f>
        <v/>
      </c>
      <c r="I104">
        <f>SUBSTITUTE(SUBSTITUTE(SUBSTITUTE(SUBSTITUTE(SUBSTITUTE(SUBSTITUTE(LOWER(IF(ISNUMBER(FIND(";",I20)),LEFT(I20,FIND(";",I20)-1),I20))," ",""),"%%c","t"),"ø","t"),"φ","t"),"f","t"),"d","t")</f>
        <v/>
      </c>
      <c r="J104">
        <f>SUBSTITUTE(SUBSTITUTE(SUBSTITUTE(SUBSTITUTE(SUBSTITUTE(SUBSTITUTE(LOWER(IF(ISNUMBER(FIND(";",J20)),LEFT(J20,FIND(";",J20)-1),J20))," ",""),"%%c","t"),"ø","t"),"φ","t"),"f","t"),"d","t")</f>
        <v/>
      </c>
      <c r="K104">
        <f>SUBSTITUTE(SUBSTITUTE(SUBSTITUTE(SUBSTITUTE(SUBSTITUTE(SUBSTITUTE(LOWER(IF(ISNUMBER(FIND(";",K20)),LEFT(K20,FIND(";",K20)-1),K20))," ",""),"%%c","t"),"ø","t"),"φ","t"),"f","t"),"d","t")</f>
        <v/>
      </c>
      <c r="L104">
        <f>SUBSTITUTE(SUBSTITUTE(SUBSTITUTE(SUBSTITUTE(SUBSTITUTE(SUBSTITUTE(LOWER(IF(ISNUMBER(FIND(";",L20)),LEFT(L20,FIND(";",L20)-1),L20))," ",""),"%%c","t"),"ø","t"),"φ","t"),"f","t"),"d","t")</f>
        <v/>
      </c>
      <c r="M104">
        <f>SUBSTITUTE(SUBSTITUTE(SUBSTITUTE(SUBSTITUTE(SUBSTITUTE(SUBSTITUTE(LOWER(IF(ISNUMBER(FIND(";",M20)),LEFT(M20,FIND(";",M20)-1),M20))," ",""),"%%c","t"),"ø","t"),"φ","t"),"f","t"),"d","t")</f>
        <v/>
      </c>
      <c r="N104">
        <f>SUBSTITUTE(SUBSTITUTE(SUBSTITUTE(SUBSTITUTE(SUBSTITUTE(SUBSTITUTE(LOWER(IF(ISNUMBER(FIND(";",N20)),LEFT(N20,FIND(";",N20)-1),N20))," ",""),"%%c","t"),"ø","t"),"φ","t"),"f","t"),"d","t")</f>
        <v/>
      </c>
      <c r="O104">
        <f>SUBSTITUTE(SUBSTITUTE(SUBSTITUTE(SUBSTITUTE(SUBSTITUTE(SUBSTITUTE(LOWER(IF(ISNUMBER(FIND(";",O20)),LEFT(O20,FIND(";",O20)-1),O20))," ",""),"%%c","t"),"ø","t"),"φ","t"),"f","t"),"d","t")</f>
        <v/>
      </c>
      <c r="P104">
        <f>SUBSTITUTE(SUBSTITUTE(SUBSTITUTE(SUBSTITUTE(SUBSTITUTE(SUBSTITUTE(LOWER(IF(ISNUMBER(FIND(";",P20)),LEFT(P20,FIND(";",P20)-1),P20))," ",""),"%%c","t"),"ø","t"),"φ","t"),"f","t"),"d","t")</f>
        <v/>
      </c>
      <c r="Q104">
        <f>SUBSTITUTE(SUBSTITUTE(SUBSTITUTE(SUBSTITUTE(SUBSTITUTE(SUBSTITUTE(LOWER(IF(ISNUMBER(FIND(";",Q20)),LEFT(Q20,FIND(";",Q20)-1),Q20))," ",""),"%%c","t"),"ø","t"),"φ","t"),"f","t"),"d","t")</f>
        <v/>
      </c>
      <c r="R104">
        <f>SUBSTITUTE(SUBSTITUTE(SUBSTITUTE(SUBSTITUTE(SUBSTITUTE(SUBSTITUTE(LOWER(IF(ISNUMBER(FIND(";",R20)),LEFT(R20,FIND(";",R20)-1),R20))," ",""),"%%c","t"),"ø","t"),"φ","t"),"f","t"),"d","t")</f>
        <v/>
      </c>
      <c r="S104">
        <f>SUBSTITUTE(SUBSTITUTE(SUBSTITUTE(SUBSTITUTE(SUBSTITUTE(SUBSTITUTE(LOWER(IF(ISNUMBER(FIND(";",S20)),LEFT(S20,FIND(";",S20)-1),S20))," ",""),"%%c","t"),"ø","t"),"φ","t"),"f","t"),"d","t")</f>
        <v/>
      </c>
      <c r="T104">
        <f>SUBSTITUTE(SUBSTITUTE(SUBSTITUTE(SUBSTITUTE(SUBSTITUTE(SUBSTITUTE(LOWER(IF(ISNUMBER(FIND(";",T20)),LEFT(T20,FIND(";",T20)-1),T20))," ",""),"%%c","t"),"ø","t"),"φ","t"),"f","t"),"d","t")</f>
        <v/>
      </c>
      <c r="U104">
        <f>SUBSTITUTE(SUBSTITUTE(SUBSTITUTE(SUBSTITUTE(SUBSTITUTE(SUBSTITUTE(LOWER(IF(ISNUMBER(FIND(";",U20)),LEFT(U20,FIND(";",U20)-1),U20))," ",""),"%%c","t"),"ø","t"),"φ","t"),"f","t"),"d","t")</f>
        <v/>
      </c>
      <c r="V104">
        <f>SUBSTITUTE(SUBSTITUTE(SUBSTITUTE(SUBSTITUTE(SUBSTITUTE(SUBSTITUTE(LOWER(IF(ISNUMBER(FIND(";",V20)),LEFT(V20,FIND(";",V20)-1),V20))," ",""),"%%c","t"),"ø","t"),"φ","t"),"f","t"),"d","t")</f>
        <v/>
      </c>
      <c r="W104">
        <f>SUBSTITUTE(SUBSTITUTE(SUBSTITUTE(SUBSTITUTE(SUBSTITUTE(SUBSTITUTE(LOWER(IF(ISNUMBER(FIND(";",W20)),LEFT(W20,FIND(";",W20)-1),W20))," ",""),"%%c","t"),"ø","t"),"φ","t"),"f","t"),"d","t")</f>
        <v/>
      </c>
      <c r="X104">
        <f>SUBSTITUTE(SUBSTITUTE(SUBSTITUTE(SUBSTITUTE(SUBSTITUTE(SUBSTITUTE(LOWER(IF(ISNUMBER(FIND(";",X20)),LEFT(X20,FIND(";",X20)-1),X20))," ",""),"%%c","t"),"ø","t"),"φ","t"),"f","t"),"d","t")</f>
        <v/>
      </c>
      <c r="Y104">
        <f>SUBSTITUTE(SUBSTITUTE(SUBSTITUTE(SUBSTITUTE(SUBSTITUTE(SUBSTITUTE(LOWER(IF(ISNUMBER(FIND(";",Y20)),LEFT(Y20,FIND(";",Y20)-1),Y20))," ",""),"%%c","t"),"ø","t"),"φ","t"),"f","t"),"d","t")</f>
        <v/>
      </c>
      <c r="Z104">
        <f>SUBSTITUTE(SUBSTITUTE(SUBSTITUTE(SUBSTITUTE(SUBSTITUTE(SUBSTITUTE(LOWER(IF(ISNUMBER(FIND(";",Z20)),LEFT(Z20,FIND(";",Z20)-1),Z20))," ",""),"%%c","t"),"ø","t"),"φ","t"),"f","t"),"d","t")</f>
        <v/>
      </c>
      <c r="AA104">
        <f>SUBSTITUTE(SUBSTITUTE(SUBSTITUTE(SUBSTITUTE(SUBSTITUTE(SUBSTITUTE(LOWER(IF(ISNUMBER(FIND(";",AA20)),LEFT(AA20,FIND(";",AA20)-1),AA20))," ",""),"%%c","t"),"ø","t"),"φ","t"),"f","t"),"d","t")</f>
        <v/>
      </c>
      <c r="AB104">
        <f>SUBSTITUTE(SUBSTITUTE(SUBSTITUTE(SUBSTITUTE(SUBSTITUTE(SUBSTITUTE(LOWER(IF(ISNUMBER(FIND(";",AB20)),LEFT(AB20,FIND(";",AB20)-1),AB20))," ",""),"%%c","t"),"ø","t"),"φ","t"),"f","t"),"d","t")</f>
        <v/>
      </c>
      <c r="AC104">
        <f>SUBSTITUTE(SUBSTITUTE(SUBSTITUTE(SUBSTITUTE(SUBSTITUTE(SUBSTITUTE(LOWER(IF(ISNUMBER(FIND(";",AC20)),LEFT(AC20,FIND(";",AC20)-1),AC20))," ",""),"%%c","t"),"ø","t"),"φ","t"),"f","t"),"d","t")</f>
        <v/>
      </c>
      <c r="AD104">
        <f>SUBSTITUTE(SUBSTITUTE(SUBSTITUTE(SUBSTITUTE(SUBSTITUTE(SUBSTITUTE(LOWER(IF(ISNUMBER(FIND(";",AD20)),LEFT(AD20,FIND(";",AD20)-1),AD20))," ",""),"%%c","t"),"ø","t"),"φ","t"),"f","t"),"d","t")</f>
        <v/>
      </c>
      <c r="AE104">
        <f>SUBSTITUTE(SUBSTITUTE(SUBSTITUTE(SUBSTITUTE(SUBSTITUTE(SUBSTITUTE(LOWER(IF(ISNUMBER(FIND(";",AE20)),LEFT(AE20,FIND(";",AE20)-1),AE20))," ",""),"%%c","t"),"ø","t"),"φ","t"),"f","t"),"d","t")</f>
        <v/>
      </c>
      <c r="AF104">
        <f>SUBSTITUTE(SUBSTITUTE(SUBSTITUTE(SUBSTITUTE(SUBSTITUTE(SUBSTITUTE(LOWER(IF(ISNUMBER(FIND(";",AF20)),LEFT(AF20,FIND(";",AF20)-1),AF20))," ",""),"%%c","t"),"ø","t"),"φ","t"),"f","t"),"d","t")</f>
        <v/>
      </c>
      <c r="AG104">
        <f>SUBSTITUTE(SUBSTITUTE(SUBSTITUTE(SUBSTITUTE(SUBSTITUTE(SUBSTITUTE(LOWER(IF(ISNUMBER(FIND(";",AG20)),LEFT(AG20,FIND(";",AG20)-1),AG20))," ",""),"%%c","t"),"ø","t"),"φ","t"),"f","t"),"d","t")</f>
        <v/>
      </c>
    </row>
    <row r="105" hidden="1" outlineLevel="1">
      <c r="A105" s="60" t="inlineStr">
        <is>
          <t>(phụ trợ) A_B3L</t>
        </is>
      </c>
      <c r="C105">
        <f>IFERROR(LEFT(LEFT(C104,FIND("+",C104&amp;"+")-1),FIND("t",LEFT(C104,FIND("+",C104&amp;"+")-1))-1)*MID(LEFT(C104,FIND("+",C104&amp;"+")-1),FIND("t",LEFT(C104,FIND("+",C104&amp;"+")-1))+1,2)^2*PI()/400,0)+IFERROR(LEFT(MID(C104,FIND("+",C104&amp;"+")+1,99),FIND("t",MID(C104,FIND("+",C104&amp;"+")+1,99))-1)*MID(MID(C104,FIND("+",C104&amp;"+")+1,99),FIND("t",MID(C104,FIND("+",C104&amp;"+")+1,99))+1,2)^2*PI()/400,0)</f>
        <v/>
      </c>
      <c r="D105">
        <f>IFERROR(LEFT(LEFT(D104,FIND("+",D104&amp;"+")-1),FIND("t",LEFT(D104,FIND("+",D104&amp;"+")-1))-1)*MID(LEFT(D104,FIND("+",D104&amp;"+")-1),FIND("t",LEFT(D104,FIND("+",D104&amp;"+")-1))+1,2)^2*PI()/400,0)+IFERROR(LEFT(MID(D104,FIND("+",D104&amp;"+")+1,99),FIND("t",MID(D104,FIND("+",D104&amp;"+")+1,99))-1)*MID(MID(D104,FIND("+",D104&amp;"+")+1,99),FIND("t",MID(D104,FIND("+",D104&amp;"+")+1,99))+1,2)^2*PI()/400,0)</f>
        <v/>
      </c>
      <c r="E105">
        <f>IFERROR(LEFT(LEFT(E104,FIND("+",E104&amp;"+")-1),FIND("t",LEFT(E104,FIND("+",E104&amp;"+")-1))-1)*MID(LEFT(E104,FIND("+",E104&amp;"+")-1),FIND("t",LEFT(E104,FIND("+",E104&amp;"+")-1))+1,2)^2*PI()/400,0)+IFERROR(LEFT(MID(E104,FIND("+",E104&amp;"+")+1,99),FIND("t",MID(E104,FIND("+",E104&amp;"+")+1,99))-1)*MID(MID(E104,FIND("+",E104&amp;"+")+1,99),FIND("t",MID(E104,FIND("+",E104&amp;"+")+1,99))+1,2)^2*PI()/400,0)</f>
        <v/>
      </c>
      <c r="F105">
        <f>IFERROR(LEFT(LEFT(F104,FIND("+",F104&amp;"+")-1),FIND("t",LEFT(F104,FIND("+",F104&amp;"+")-1))-1)*MID(LEFT(F104,FIND("+",F104&amp;"+")-1),FIND("t",LEFT(F104,FIND("+",F104&amp;"+")-1))+1,2)^2*PI()/400,0)+IFERROR(LEFT(MID(F104,FIND("+",F104&amp;"+")+1,99),FIND("t",MID(F104,FIND("+",F104&amp;"+")+1,99))-1)*MID(MID(F104,FIND("+",F104&amp;"+")+1,99),FIND("t",MID(F104,FIND("+",F104&amp;"+")+1,99))+1,2)^2*PI()/400,0)</f>
        <v/>
      </c>
      <c r="G105">
        <f>IFERROR(LEFT(LEFT(G104,FIND("+",G104&amp;"+")-1),FIND("t",LEFT(G104,FIND("+",G104&amp;"+")-1))-1)*MID(LEFT(G104,FIND("+",G104&amp;"+")-1),FIND("t",LEFT(G104,FIND("+",G104&amp;"+")-1))+1,2)^2*PI()/400,0)+IFERROR(LEFT(MID(G104,FIND("+",G104&amp;"+")+1,99),FIND("t",MID(G104,FIND("+",G104&amp;"+")+1,99))-1)*MID(MID(G104,FIND("+",G104&amp;"+")+1,99),FIND("t",MID(G104,FIND("+",G104&amp;"+")+1,99))+1,2)^2*PI()/400,0)</f>
        <v/>
      </c>
      <c r="H105">
        <f>IFERROR(LEFT(LEFT(H104,FIND("+",H104&amp;"+")-1),FIND("t",LEFT(H104,FIND("+",H104&amp;"+")-1))-1)*MID(LEFT(H104,FIND("+",H104&amp;"+")-1),FIND("t",LEFT(H104,FIND("+",H104&amp;"+")-1))+1,2)^2*PI()/400,0)+IFERROR(LEFT(MID(H104,FIND("+",H104&amp;"+")+1,99),FIND("t",MID(H104,FIND("+",H104&amp;"+")+1,99))-1)*MID(MID(H104,FIND("+",H104&amp;"+")+1,99),FIND("t",MID(H104,FIND("+",H104&amp;"+")+1,99))+1,2)^2*PI()/400,0)</f>
        <v/>
      </c>
      <c r="I105">
        <f>IFERROR(LEFT(LEFT(I104,FIND("+",I104&amp;"+")-1),FIND("t",LEFT(I104,FIND("+",I104&amp;"+")-1))-1)*MID(LEFT(I104,FIND("+",I104&amp;"+")-1),FIND("t",LEFT(I104,FIND("+",I104&amp;"+")-1))+1,2)^2*PI()/400,0)+IFERROR(LEFT(MID(I104,FIND("+",I104&amp;"+")+1,99),FIND("t",MID(I104,FIND("+",I104&amp;"+")+1,99))-1)*MID(MID(I104,FIND("+",I104&amp;"+")+1,99),FIND("t",MID(I104,FIND("+",I104&amp;"+")+1,99))+1,2)^2*PI()/400,0)</f>
        <v/>
      </c>
      <c r="J105">
        <f>IFERROR(LEFT(LEFT(J104,FIND("+",J104&amp;"+")-1),FIND("t",LEFT(J104,FIND("+",J104&amp;"+")-1))-1)*MID(LEFT(J104,FIND("+",J104&amp;"+")-1),FIND("t",LEFT(J104,FIND("+",J104&amp;"+")-1))+1,2)^2*PI()/400,0)+IFERROR(LEFT(MID(J104,FIND("+",J104&amp;"+")+1,99),FIND("t",MID(J104,FIND("+",J104&amp;"+")+1,99))-1)*MID(MID(J104,FIND("+",J104&amp;"+")+1,99),FIND("t",MID(J104,FIND("+",J104&amp;"+")+1,99))+1,2)^2*PI()/400,0)</f>
        <v/>
      </c>
      <c r="K105">
        <f>IFERROR(LEFT(LEFT(K104,FIND("+",K104&amp;"+")-1),FIND("t",LEFT(K104,FIND("+",K104&amp;"+")-1))-1)*MID(LEFT(K104,FIND("+",K104&amp;"+")-1),FIND("t",LEFT(K104,FIND("+",K104&amp;"+")-1))+1,2)^2*PI()/400,0)+IFERROR(LEFT(MID(K104,FIND("+",K104&amp;"+")+1,99),FIND("t",MID(K104,FIND("+",K104&amp;"+")+1,99))-1)*MID(MID(K104,FIND("+",K104&amp;"+")+1,99),FIND("t",MID(K104,FIND("+",K104&amp;"+")+1,99))+1,2)^2*PI()/400,0)</f>
        <v/>
      </c>
      <c r="L105">
        <f>IFERROR(LEFT(LEFT(L104,FIND("+",L104&amp;"+")-1),FIND("t",LEFT(L104,FIND("+",L104&amp;"+")-1))-1)*MID(LEFT(L104,FIND("+",L104&amp;"+")-1),FIND("t",LEFT(L104,FIND("+",L104&amp;"+")-1))+1,2)^2*PI()/400,0)+IFERROR(LEFT(MID(L104,FIND("+",L104&amp;"+")+1,99),FIND("t",MID(L104,FIND("+",L104&amp;"+")+1,99))-1)*MID(MID(L104,FIND("+",L104&amp;"+")+1,99),FIND("t",MID(L104,FIND("+",L104&amp;"+")+1,99))+1,2)^2*PI()/400,0)</f>
        <v/>
      </c>
      <c r="M105">
        <f>IFERROR(LEFT(LEFT(M104,FIND("+",M104&amp;"+")-1),FIND("t",LEFT(M104,FIND("+",M104&amp;"+")-1))-1)*MID(LEFT(M104,FIND("+",M104&amp;"+")-1),FIND("t",LEFT(M104,FIND("+",M104&amp;"+")-1))+1,2)^2*PI()/400,0)+IFERROR(LEFT(MID(M104,FIND("+",M104&amp;"+")+1,99),FIND("t",MID(M104,FIND("+",M104&amp;"+")+1,99))-1)*MID(MID(M104,FIND("+",M104&amp;"+")+1,99),FIND("t",MID(M104,FIND("+",M104&amp;"+")+1,99))+1,2)^2*PI()/400,0)</f>
        <v/>
      </c>
      <c r="N105">
        <f>IFERROR(LEFT(LEFT(N104,FIND("+",N104&amp;"+")-1),FIND("t",LEFT(N104,FIND("+",N104&amp;"+")-1))-1)*MID(LEFT(N104,FIND("+",N104&amp;"+")-1),FIND("t",LEFT(N104,FIND("+",N104&amp;"+")-1))+1,2)^2*PI()/400,0)+IFERROR(LEFT(MID(N104,FIND("+",N104&amp;"+")+1,99),FIND("t",MID(N104,FIND("+",N104&amp;"+")+1,99))-1)*MID(MID(N104,FIND("+",N104&amp;"+")+1,99),FIND("t",MID(N104,FIND("+",N104&amp;"+")+1,99))+1,2)^2*PI()/400,0)</f>
        <v/>
      </c>
      <c r="O105">
        <f>IFERROR(LEFT(LEFT(O104,FIND("+",O104&amp;"+")-1),FIND("t",LEFT(O104,FIND("+",O104&amp;"+")-1))-1)*MID(LEFT(O104,FIND("+",O104&amp;"+")-1),FIND("t",LEFT(O104,FIND("+",O104&amp;"+")-1))+1,2)^2*PI()/400,0)+IFERROR(LEFT(MID(O104,FIND("+",O104&amp;"+")+1,99),FIND("t",MID(O104,FIND("+",O104&amp;"+")+1,99))-1)*MID(MID(O104,FIND("+",O104&amp;"+")+1,99),FIND("t",MID(O104,FIND("+",O104&amp;"+")+1,99))+1,2)^2*PI()/400,0)</f>
        <v/>
      </c>
      <c r="P105">
        <f>IFERROR(LEFT(LEFT(P104,FIND("+",P104&amp;"+")-1),FIND("t",LEFT(P104,FIND("+",P104&amp;"+")-1))-1)*MID(LEFT(P104,FIND("+",P104&amp;"+")-1),FIND("t",LEFT(P104,FIND("+",P104&amp;"+")-1))+1,2)^2*PI()/400,0)+IFERROR(LEFT(MID(P104,FIND("+",P104&amp;"+")+1,99),FIND("t",MID(P104,FIND("+",P104&amp;"+")+1,99))-1)*MID(MID(P104,FIND("+",P104&amp;"+")+1,99),FIND("t",MID(P104,FIND("+",P104&amp;"+")+1,99))+1,2)^2*PI()/400,0)</f>
        <v/>
      </c>
      <c r="Q105">
        <f>IFERROR(LEFT(LEFT(Q104,FIND("+",Q104&amp;"+")-1),FIND("t",LEFT(Q104,FIND("+",Q104&amp;"+")-1))-1)*MID(LEFT(Q104,FIND("+",Q104&amp;"+")-1),FIND("t",LEFT(Q104,FIND("+",Q104&amp;"+")-1))+1,2)^2*PI()/400,0)+IFERROR(LEFT(MID(Q104,FIND("+",Q104&amp;"+")+1,99),FIND("t",MID(Q104,FIND("+",Q104&amp;"+")+1,99))-1)*MID(MID(Q104,FIND("+",Q104&amp;"+")+1,99),FIND("t",MID(Q104,FIND("+",Q104&amp;"+")+1,99))+1,2)^2*PI()/400,0)</f>
        <v/>
      </c>
      <c r="R105">
        <f>IFERROR(LEFT(LEFT(R104,FIND("+",R104&amp;"+")-1),FIND("t",LEFT(R104,FIND("+",R104&amp;"+")-1))-1)*MID(LEFT(R104,FIND("+",R104&amp;"+")-1),FIND("t",LEFT(R104,FIND("+",R104&amp;"+")-1))+1,2)^2*PI()/400,0)+IFERROR(LEFT(MID(R104,FIND("+",R104&amp;"+")+1,99),FIND("t",MID(R104,FIND("+",R104&amp;"+")+1,99))-1)*MID(MID(R104,FIND("+",R104&amp;"+")+1,99),FIND("t",MID(R104,FIND("+",R104&amp;"+")+1,99))+1,2)^2*PI()/400,0)</f>
        <v/>
      </c>
      <c r="S105">
        <f>IFERROR(LEFT(LEFT(S104,FIND("+",S104&amp;"+")-1),FIND("t",LEFT(S104,FIND("+",S104&amp;"+")-1))-1)*MID(LEFT(S104,FIND("+",S104&amp;"+")-1),FIND("t",LEFT(S104,FIND("+",S104&amp;"+")-1))+1,2)^2*PI()/400,0)+IFERROR(LEFT(MID(S104,FIND("+",S104&amp;"+")+1,99),FIND("t",MID(S104,FIND("+",S104&amp;"+")+1,99))-1)*MID(MID(S104,FIND("+",S104&amp;"+")+1,99),FIND("t",MID(S104,FIND("+",S104&amp;"+")+1,99))+1,2)^2*PI()/400,0)</f>
        <v/>
      </c>
      <c r="T105">
        <f>IFERROR(LEFT(LEFT(T104,FIND("+",T104&amp;"+")-1),FIND("t",LEFT(T104,FIND("+",T104&amp;"+")-1))-1)*MID(LEFT(T104,FIND("+",T104&amp;"+")-1),FIND("t",LEFT(T104,FIND("+",T104&amp;"+")-1))+1,2)^2*PI()/400,0)+IFERROR(LEFT(MID(T104,FIND("+",T104&amp;"+")+1,99),FIND("t",MID(T104,FIND("+",T104&amp;"+")+1,99))-1)*MID(MID(T104,FIND("+",T104&amp;"+")+1,99),FIND("t",MID(T104,FIND("+",T104&amp;"+")+1,99))+1,2)^2*PI()/400,0)</f>
        <v/>
      </c>
      <c r="U105">
        <f>IFERROR(LEFT(LEFT(U104,FIND("+",U104&amp;"+")-1),FIND("t",LEFT(U104,FIND("+",U104&amp;"+")-1))-1)*MID(LEFT(U104,FIND("+",U104&amp;"+")-1),FIND("t",LEFT(U104,FIND("+",U104&amp;"+")-1))+1,2)^2*PI()/400,0)+IFERROR(LEFT(MID(U104,FIND("+",U104&amp;"+")+1,99),FIND("t",MID(U104,FIND("+",U104&amp;"+")+1,99))-1)*MID(MID(U104,FIND("+",U104&amp;"+")+1,99),FIND("t",MID(U104,FIND("+",U104&amp;"+")+1,99))+1,2)^2*PI()/400,0)</f>
        <v/>
      </c>
      <c r="V105">
        <f>IFERROR(LEFT(LEFT(V104,FIND("+",V104&amp;"+")-1),FIND("t",LEFT(V104,FIND("+",V104&amp;"+")-1))-1)*MID(LEFT(V104,FIND("+",V104&amp;"+")-1),FIND("t",LEFT(V104,FIND("+",V104&amp;"+")-1))+1,2)^2*PI()/400,0)+IFERROR(LEFT(MID(V104,FIND("+",V104&amp;"+")+1,99),FIND("t",MID(V104,FIND("+",V104&amp;"+")+1,99))-1)*MID(MID(V104,FIND("+",V104&amp;"+")+1,99),FIND("t",MID(V104,FIND("+",V104&amp;"+")+1,99))+1,2)^2*PI()/400,0)</f>
        <v/>
      </c>
      <c r="W105">
        <f>IFERROR(LEFT(LEFT(W104,FIND("+",W104&amp;"+")-1),FIND("t",LEFT(W104,FIND("+",W104&amp;"+")-1))-1)*MID(LEFT(W104,FIND("+",W104&amp;"+")-1),FIND("t",LEFT(W104,FIND("+",W104&amp;"+")-1))+1,2)^2*PI()/400,0)+IFERROR(LEFT(MID(W104,FIND("+",W104&amp;"+")+1,99),FIND("t",MID(W104,FIND("+",W104&amp;"+")+1,99))-1)*MID(MID(W104,FIND("+",W104&amp;"+")+1,99),FIND("t",MID(W104,FIND("+",W104&amp;"+")+1,99))+1,2)^2*PI()/400,0)</f>
        <v/>
      </c>
      <c r="X105">
        <f>IFERROR(LEFT(LEFT(X104,FIND("+",X104&amp;"+")-1),FIND("t",LEFT(X104,FIND("+",X104&amp;"+")-1))-1)*MID(LEFT(X104,FIND("+",X104&amp;"+")-1),FIND("t",LEFT(X104,FIND("+",X104&amp;"+")-1))+1,2)^2*PI()/400,0)+IFERROR(LEFT(MID(X104,FIND("+",X104&amp;"+")+1,99),FIND("t",MID(X104,FIND("+",X104&amp;"+")+1,99))-1)*MID(MID(X104,FIND("+",X104&amp;"+")+1,99),FIND("t",MID(X104,FIND("+",X104&amp;"+")+1,99))+1,2)^2*PI()/400,0)</f>
        <v/>
      </c>
      <c r="Y105">
        <f>IFERROR(LEFT(LEFT(Y104,FIND("+",Y104&amp;"+")-1),FIND("t",LEFT(Y104,FIND("+",Y104&amp;"+")-1))-1)*MID(LEFT(Y104,FIND("+",Y104&amp;"+")-1),FIND("t",LEFT(Y104,FIND("+",Y104&amp;"+")-1))+1,2)^2*PI()/400,0)+IFERROR(LEFT(MID(Y104,FIND("+",Y104&amp;"+")+1,99),FIND("t",MID(Y104,FIND("+",Y104&amp;"+")+1,99))-1)*MID(MID(Y104,FIND("+",Y104&amp;"+")+1,99),FIND("t",MID(Y104,FIND("+",Y104&amp;"+")+1,99))+1,2)^2*PI()/400,0)</f>
        <v/>
      </c>
      <c r="Z105">
        <f>IFERROR(LEFT(LEFT(Z104,FIND("+",Z104&amp;"+")-1),FIND("t",LEFT(Z104,FIND("+",Z104&amp;"+")-1))-1)*MID(LEFT(Z104,FIND("+",Z104&amp;"+")-1),FIND("t",LEFT(Z104,FIND("+",Z104&amp;"+")-1))+1,2)^2*PI()/400,0)+IFERROR(LEFT(MID(Z104,FIND("+",Z104&amp;"+")+1,99),FIND("t",MID(Z104,FIND("+",Z104&amp;"+")+1,99))-1)*MID(MID(Z104,FIND("+",Z104&amp;"+")+1,99),FIND("t",MID(Z104,FIND("+",Z104&amp;"+")+1,99))+1,2)^2*PI()/400,0)</f>
        <v/>
      </c>
      <c r="AA105">
        <f>IFERROR(LEFT(LEFT(AA104,FIND("+",AA104&amp;"+")-1),FIND("t",LEFT(AA104,FIND("+",AA104&amp;"+")-1))-1)*MID(LEFT(AA104,FIND("+",AA104&amp;"+")-1),FIND("t",LEFT(AA104,FIND("+",AA104&amp;"+")-1))+1,2)^2*PI()/400,0)+IFERROR(LEFT(MID(AA104,FIND("+",AA104&amp;"+")+1,99),FIND("t",MID(AA104,FIND("+",AA104&amp;"+")+1,99))-1)*MID(MID(AA104,FIND("+",AA104&amp;"+")+1,99),FIND("t",MID(AA104,FIND("+",AA104&amp;"+")+1,99))+1,2)^2*PI()/400,0)</f>
        <v/>
      </c>
      <c r="AB105">
        <f>IFERROR(LEFT(LEFT(AB104,FIND("+",AB104&amp;"+")-1),FIND("t",LEFT(AB104,FIND("+",AB104&amp;"+")-1))-1)*MID(LEFT(AB104,FIND("+",AB104&amp;"+")-1),FIND("t",LEFT(AB104,FIND("+",AB104&amp;"+")-1))+1,2)^2*PI()/400,0)+IFERROR(LEFT(MID(AB104,FIND("+",AB104&amp;"+")+1,99),FIND("t",MID(AB104,FIND("+",AB104&amp;"+")+1,99))-1)*MID(MID(AB104,FIND("+",AB104&amp;"+")+1,99),FIND("t",MID(AB104,FIND("+",AB104&amp;"+")+1,99))+1,2)^2*PI()/400,0)</f>
        <v/>
      </c>
      <c r="AC105">
        <f>IFERROR(LEFT(LEFT(AC104,FIND("+",AC104&amp;"+")-1),FIND("t",LEFT(AC104,FIND("+",AC104&amp;"+")-1))-1)*MID(LEFT(AC104,FIND("+",AC104&amp;"+")-1),FIND("t",LEFT(AC104,FIND("+",AC104&amp;"+")-1))+1,2)^2*PI()/400,0)+IFERROR(LEFT(MID(AC104,FIND("+",AC104&amp;"+")+1,99),FIND("t",MID(AC104,FIND("+",AC104&amp;"+")+1,99))-1)*MID(MID(AC104,FIND("+",AC104&amp;"+")+1,99),FIND("t",MID(AC104,FIND("+",AC104&amp;"+")+1,99))+1,2)^2*PI()/400,0)</f>
        <v/>
      </c>
      <c r="AD105">
        <f>IFERROR(LEFT(LEFT(AD104,FIND("+",AD104&amp;"+")-1),FIND("t",LEFT(AD104,FIND("+",AD104&amp;"+")-1))-1)*MID(LEFT(AD104,FIND("+",AD104&amp;"+")-1),FIND("t",LEFT(AD104,FIND("+",AD104&amp;"+")-1))+1,2)^2*PI()/400,0)+IFERROR(LEFT(MID(AD104,FIND("+",AD104&amp;"+")+1,99),FIND("t",MID(AD104,FIND("+",AD104&amp;"+")+1,99))-1)*MID(MID(AD104,FIND("+",AD104&amp;"+")+1,99),FIND("t",MID(AD104,FIND("+",AD104&amp;"+")+1,99))+1,2)^2*PI()/400,0)</f>
        <v/>
      </c>
      <c r="AE105">
        <f>IFERROR(LEFT(LEFT(AE104,FIND("+",AE104&amp;"+")-1),FIND("t",LEFT(AE104,FIND("+",AE104&amp;"+")-1))-1)*MID(LEFT(AE104,FIND("+",AE104&amp;"+")-1),FIND("t",LEFT(AE104,FIND("+",AE104&amp;"+")-1))+1,2)^2*PI()/400,0)+IFERROR(LEFT(MID(AE104,FIND("+",AE104&amp;"+")+1,99),FIND("t",MID(AE104,FIND("+",AE104&amp;"+")+1,99))-1)*MID(MID(AE104,FIND("+",AE104&amp;"+")+1,99),FIND("t",MID(AE104,FIND("+",AE104&amp;"+")+1,99))+1,2)^2*PI()/400,0)</f>
        <v/>
      </c>
      <c r="AF105">
        <f>IFERROR(LEFT(LEFT(AF104,FIND("+",AF104&amp;"+")-1),FIND("t",LEFT(AF104,FIND("+",AF104&amp;"+")-1))-1)*MID(LEFT(AF104,FIND("+",AF104&amp;"+")-1),FIND("t",LEFT(AF104,FIND("+",AF104&amp;"+")-1))+1,2)^2*PI()/400,0)+IFERROR(LEFT(MID(AF104,FIND("+",AF104&amp;"+")+1,99),FIND("t",MID(AF104,FIND("+",AF104&amp;"+")+1,99))-1)*MID(MID(AF104,FIND("+",AF104&amp;"+")+1,99),FIND("t",MID(AF104,FIND("+",AF104&amp;"+")+1,99))+1,2)^2*PI()/400,0)</f>
        <v/>
      </c>
      <c r="AG105">
        <f>IFERROR(LEFT(LEFT(AG104,FIND("+",AG104&amp;"+")-1),FIND("t",LEFT(AG104,FIND("+",AG104&amp;"+")-1))-1)*MID(LEFT(AG104,FIND("+",AG104&amp;"+")-1),FIND("t",LEFT(AG104,FIND("+",AG104&amp;"+")-1))+1,2)^2*PI()/400,0)+IFERROR(LEFT(MID(AG104,FIND("+",AG104&amp;"+")+1,99),FIND("t",MID(AG104,FIND("+",AG104&amp;"+")+1,99))-1)*MID(MID(AG104,FIND("+",AG104&amp;"+")+1,99),FIND("t",MID(AG104,FIND("+",AG104&amp;"+")+1,99))+1,2)^2*PI()/400,0)</f>
        <v/>
      </c>
    </row>
    <row r="106" hidden="1" outlineLevel="1">
      <c r="A106" s="60" t="inlineStr">
        <is>
          <t>(phụ trợ) N_B3R</t>
        </is>
      </c>
      <c r="C106">
        <f>SUBSTITUTE(SUBSTITUTE(SUBSTITUTE(SUBSTITUTE(SUBSTITUTE(SUBSTITUTE(LOWER(IF(ISNUMBER(FIND(";",C20)),MID(C20,FIND(";",C20)+1,99),C20))," ",""),"%%c","t"),"ø","t"),"φ","t"),"f","t"),"d","t")</f>
        <v/>
      </c>
      <c r="D106">
        <f>SUBSTITUTE(SUBSTITUTE(SUBSTITUTE(SUBSTITUTE(SUBSTITUTE(SUBSTITUTE(LOWER(IF(ISNUMBER(FIND(";",D20)),MID(D20,FIND(";",D20)+1,99),D20))," ",""),"%%c","t"),"ø","t"),"φ","t"),"f","t"),"d","t")</f>
        <v/>
      </c>
      <c r="E106">
        <f>SUBSTITUTE(SUBSTITUTE(SUBSTITUTE(SUBSTITUTE(SUBSTITUTE(SUBSTITUTE(LOWER(IF(ISNUMBER(FIND(";",E20)),MID(E20,FIND(";",E20)+1,99),E20))," ",""),"%%c","t"),"ø","t"),"φ","t"),"f","t"),"d","t")</f>
        <v/>
      </c>
      <c r="F106">
        <f>SUBSTITUTE(SUBSTITUTE(SUBSTITUTE(SUBSTITUTE(SUBSTITUTE(SUBSTITUTE(LOWER(IF(ISNUMBER(FIND(";",F20)),MID(F20,FIND(";",F20)+1,99),F20))," ",""),"%%c","t"),"ø","t"),"φ","t"),"f","t"),"d","t")</f>
        <v/>
      </c>
      <c r="G106">
        <f>SUBSTITUTE(SUBSTITUTE(SUBSTITUTE(SUBSTITUTE(SUBSTITUTE(SUBSTITUTE(LOWER(IF(ISNUMBER(FIND(";",G20)),MID(G20,FIND(";",G20)+1,99),G20))," ",""),"%%c","t"),"ø","t"),"φ","t"),"f","t"),"d","t")</f>
        <v/>
      </c>
      <c r="H106">
        <f>SUBSTITUTE(SUBSTITUTE(SUBSTITUTE(SUBSTITUTE(SUBSTITUTE(SUBSTITUTE(LOWER(IF(ISNUMBER(FIND(";",H20)),MID(H20,FIND(";",H20)+1,99),H20))," ",""),"%%c","t"),"ø","t"),"φ","t"),"f","t"),"d","t")</f>
        <v/>
      </c>
      <c r="I106">
        <f>SUBSTITUTE(SUBSTITUTE(SUBSTITUTE(SUBSTITUTE(SUBSTITUTE(SUBSTITUTE(LOWER(IF(ISNUMBER(FIND(";",I20)),MID(I20,FIND(";",I20)+1,99),I20))," ",""),"%%c","t"),"ø","t"),"φ","t"),"f","t"),"d","t")</f>
        <v/>
      </c>
      <c r="J106">
        <f>SUBSTITUTE(SUBSTITUTE(SUBSTITUTE(SUBSTITUTE(SUBSTITUTE(SUBSTITUTE(LOWER(IF(ISNUMBER(FIND(";",J20)),MID(J20,FIND(";",J20)+1,99),J20))," ",""),"%%c","t"),"ø","t"),"φ","t"),"f","t"),"d","t")</f>
        <v/>
      </c>
      <c r="K106">
        <f>SUBSTITUTE(SUBSTITUTE(SUBSTITUTE(SUBSTITUTE(SUBSTITUTE(SUBSTITUTE(LOWER(IF(ISNUMBER(FIND(";",K20)),MID(K20,FIND(";",K20)+1,99),K20))," ",""),"%%c","t"),"ø","t"),"φ","t"),"f","t"),"d","t")</f>
        <v/>
      </c>
      <c r="L106">
        <f>SUBSTITUTE(SUBSTITUTE(SUBSTITUTE(SUBSTITUTE(SUBSTITUTE(SUBSTITUTE(LOWER(IF(ISNUMBER(FIND(";",L20)),MID(L20,FIND(";",L20)+1,99),L20))," ",""),"%%c","t"),"ø","t"),"φ","t"),"f","t"),"d","t")</f>
        <v/>
      </c>
      <c r="M106">
        <f>SUBSTITUTE(SUBSTITUTE(SUBSTITUTE(SUBSTITUTE(SUBSTITUTE(SUBSTITUTE(LOWER(IF(ISNUMBER(FIND(";",M20)),MID(M20,FIND(";",M20)+1,99),M20))," ",""),"%%c","t"),"ø","t"),"φ","t"),"f","t"),"d","t")</f>
        <v/>
      </c>
      <c r="N106">
        <f>SUBSTITUTE(SUBSTITUTE(SUBSTITUTE(SUBSTITUTE(SUBSTITUTE(SUBSTITUTE(LOWER(IF(ISNUMBER(FIND(";",N20)),MID(N20,FIND(";",N20)+1,99),N20))," ",""),"%%c","t"),"ø","t"),"φ","t"),"f","t"),"d","t")</f>
        <v/>
      </c>
      <c r="O106">
        <f>SUBSTITUTE(SUBSTITUTE(SUBSTITUTE(SUBSTITUTE(SUBSTITUTE(SUBSTITUTE(LOWER(IF(ISNUMBER(FIND(";",O20)),MID(O20,FIND(";",O20)+1,99),O20))," ",""),"%%c","t"),"ø","t"),"φ","t"),"f","t"),"d","t")</f>
        <v/>
      </c>
      <c r="P106">
        <f>SUBSTITUTE(SUBSTITUTE(SUBSTITUTE(SUBSTITUTE(SUBSTITUTE(SUBSTITUTE(LOWER(IF(ISNUMBER(FIND(";",P20)),MID(P20,FIND(";",P20)+1,99),P20))," ",""),"%%c","t"),"ø","t"),"φ","t"),"f","t"),"d","t")</f>
        <v/>
      </c>
      <c r="Q106">
        <f>SUBSTITUTE(SUBSTITUTE(SUBSTITUTE(SUBSTITUTE(SUBSTITUTE(SUBSTITUTE(LOWER(IF(ISNUMBER(FIND(";",Q20)),MID(Q20,FIND(";",Q20)+1,99),Q20))," ",""),"%%c","t"),"ø","t"),"φ","t"),"f","t"),"d","t")</f>
        <v/>
      </c>
      <c r="R106">
        <f>SUBSTITUTE(SUBSTITUTE(SUBSTITUTE(SUBSTITUTE(SUBSTITUTE(SUBSTITUTE(LOWER(IF(ISNUMBER(FIND(";",R20)),MID(R20,FIND(";",R20)+1,99),R20))," ",""),"%%c","t"),"ø","t"),"φ","t"),"f","t"),"d","t")</f>
        <v/>
      </c>
      <c r="S106">
        <f>SUBSTITUTE(SUBSTITUTE(SUBSTITUTE(SUBSTITUTE(SUBSTITUTE(SUBSTITUTE(LOWER(IF(ISNUMBER(FIND(";",S20)),MID(S20,FIND(";",S20)+1,99),S20))," ",""),"%%c","t"),"ø","t"),"φ","t"),"f","t"),"d","t")</f>
        <v/>
      </c>
      <c r="T106">
        <f>SUBSTITUTE(SUBSTITUTE(SUBSTITUTE(SUBSTITUTE(SUBSTITUTE(SUBSTITUTE(LOWER(IF(ISNUMBER(FIND(";",T20)),MID(T20,FIND(";",T20)+1,99),T20))," ",""),"%%c","t"),"ø","t"),"φ","t"),"f","t"),"d","t")</f>
        <v/>
      </c>
      <c r="U106">
        <f>SUBSTITUTE(SUBSTITUTE(SUBSTITUTE(SUBSTITUTE(SUBSTITUTE(SUBSTITUTE(LOWER(IF(ISNUMBER(FIND(";",U20)),MID(U20,FIND(";",U20)+1,99),U20))," ",""),"%%c","t"),"ø","t"),"φ","t"),"f","t"),"d","t")</f>
        <v/>
      </c>
      <c r="V106">
        <f>SUBSTITUTE(SUBSTITUTE(SUBSTITUTE(SUBSTITUTE(SUBSTITUTE(SUBSTITUTE(LOWER(IF(ISNUMBER(FIND(";",V20)),MID(V20,FIND(";",V20)+1,99),V20))," ",""),"%%c","t"),"ø","t"),"φ","t"),"f","t"),"d","t")</f>
        <v/>
      </c>
      <c r="W106">
        <f>SUBSTITUTE(SUBSTITUTE(SUBSTITUTE(SUBSTITUTE(SUBSTITUTE(SUBSTITUTE(LOWER(IF(ISNUMBER(FIND(";",W20)),MID(W20,FIND(";",W20)+1,99),W20))," ",""),"%%c","t"),"ø","t"),"φ","t"),"f","t"),"d","t")</f>
        <v/>
      </c>
      <c r="X106">
        <f>SUBSTITUTE(SUBSTITUTE(SUBSTITUTE(SUBSTITUTE(SUBSTITUTE(SUBSTITUTE(LOWER(IF(ISNUMBER(FIND(";",X20)),MID(X20,FIND(";",X20)+1,99),X20))," ",""),"%%c","t"),"ø","t"),"φ","t"),"f","t"),"d","t")</f>
        <v/>
      </c>
      <c r="Y106">
        <f>SUBSTITUTE(SUBSTITUTE(SUBSTITUTE(SUBSTITUTE(SUBSTITUTE(SUBSTITUTE(LOWER(IF(ISNUMBER(FIND(";",Y20)),MID(Y20,FIND(";",Y20)+1,99),Y20))," ",""),"%%c","t"),"ø","t"),"φ","t"),"f","t"),"d","t")</f>
        <v/>
      </c>
      <c r="Z106">
        <f>SUBSTITUTE(SUBSTITUTE(SUBSTITUTE(SUBSTITUTE(SUBSTITUTE(SUBSTITUTE(LOWER(IF(ISNUMBER(FIND(";",Z20)),MID(Z20,FIND(";",Z20)+1,99),Z20))," ",""),"%%c","t"),"ø","t"),"φ","t"),"f","t"),"d","t")</f>
        <v/>
      </c>
      <c r="AA106">
        <f>SUBSTITUTE(SUBSTITUTE(SUBSTITUTE(SUBSTITUTE(SUBSTITUTE(SUBSTITUTE(LOWER(IF(ISNUMBER(FIND(";",AA20)),MID(AA20,FIND(";",AA20)+1,99),AA20))," ",""),"%%c","t"),"ø","t"),"φ","t"),"f","t"),"d","t")</f>
        <v/>
      </c>
      <c r="AB106">
        <f>SUBSTITUTE(SUBSTITUTE(SUBSTITUTE(SUBSTITUTE(SUBSTITUTE(SUBSTITUTE(LOWER(IF(ISNUMBER(FIND(";",AB20)),MID(AB20,FIND(";",AB20)+1,99),AB20))," ",""),"%%c","t"),"ø","t"),"φ","t"),"f","t"),"d","t")</f>
        <v/>
      </c>
      <c r="AC106">
        <f>SUBSTITUTE(SUBSTITUTE(SUBSTITUTE(SUBSTITUTE(SUBSTITUTE(SUBSTITUTE(LOWER(IF(ISNUMBER(FIND(";",AC20)),MID(AC20,FIND(";",AC20)+1,99),AC20))," ",""),"%%c","t"),"ø","t"),"φ","t"),"f","t"),"d","t")</f>
        <v/>
      </c>
      <c r="AD106">
        <f>SUBSTITUTE(SUBSTITUTE(SUBSTITUTE(SUBSTITUTE(SUBSTITUTE(SUBSTITUTE(LOWER(IF(ISNUMBER(FIND(";",AD20)),MID(AD20,FIND(";",AD20)+1,99),AD20))," ",""),"%%c","t"),"ø","t"),"φ","t"),"f","t"),"d","t")</f>
        <v/>
      </c>
      <c r="AE106">
        <f>SUBSTITUTE(SUBSTITUTE(SUBSTITUTE(SUBSTITUTE(SUBSTITUTE(SUBSTITUTE(LOWER(IF(ISNUMBER(FIND(";",AE20)),MID(AE20,FIND(";",AE20)+1,99),AE20))," ",""),"%%c","t"),"ø","t"),"φ","t"),"f","t"),"d","t")</f>
        <v/>
      </c>
      <c r="AF106">
        <f>SUBSTITUTE(SUBSTITUTE(SUBSTITUTE(SUBSTITUTE(SUBSTITUTE(SUBSTITUTE(LOWER(IF(ISNUMBER(FIND(";",AF20)),MID(AF20,FIND(";",AF20)+1,99),AF20))," ",""),"%%c","t"),"ø","t"),"φ","t"),"f","t"),"d","t")</f>
        <v/>
      </c>
      <c r="AG106">
        <f>SUBSTITUTE(SUBSTITUTE(SUBSTITUTE(SUBSTITUTE(SUBSTITUTE(SUBSTITUTE(LOWER(IF(ISNUMBER(FIND(";",AG20)),MID(AG20,FIND(";",AG20)+1,99),AG20))," ",""),"%%c","t"),"ø","t"),"φ","t"),"f","t"),"d","t")</f>
        <v/>
      </c>
    </row>
    <row r="107" hidden="1" outlineLevel="1">
      <c r="A107" s="60" t="inlineStr">
        <is>
          <t>(phụ trợ) A_B3R</t>
        </is>
      </c>
      <c r="C107">
        <f>IFERROR(LEFT(LEFT(C106,FIND("+",C106&amp;"+")-1),FIND("t",LEFT(C106,FIND("+",C106&amp;"+")-1))-1)*MID(LEFT(C106,FIND("+",C106&amp;"+")-1),FIND("t",LEFT(C106,FIND("+",C106&amp;"+")-1))+1,2)^2*PI()/400,0)+IFERROR(LEFT(MID(C106,FIND("+",C106&amp;"+")+1,99),FIND("t",MID(C106,FIND("+",C106&amp;"+")+1,99))-1)*MID(MID(C106,FIND("+",C106&amp;"+")+1,99),FIND("t",MID(C106,FIND("+",C106&amp;"+")+1,99))+1,2)^2*PI()/400,0)</f>
        <v/>
      </c>
      <c r="D107">
        <f>IFERROR(LEFT(LEFT(D106,FIND("+",D106&amp;"+")-1),FIND("t",LEFT(D106,FIND("+",D106&amp;"+")-1))-1)*MID(LEFT(D106,FIND("+",D106&amp;"+")-1),FIND("t",LEFT(D106,FIND("+",D106&amp;"+")-1))+1,2)^2*PI()/400,0)+IFERROR(LEFT(MID(D106,FIND("+",D106&amp;"+")+1,99),FIND("t",MID(D106,FIND("+",D106&amp;"+")+1,99))-1)*MID(MID(D106,FIND("+",D106&amp;"+")+1,99),FIND("t",MID(D106,FIND("+",D106&amp;"+")+1,99))+1,2)^2*PI()/400,0)</f>
        <v/>
      </c>
      <c r="E107">
        <f>IFERROR(LEFT(LEFT(E106,FIND("+",E106&amp;"+")-1),FIND("t",LEFT(E106,FIND("+",E106&amp;"+")-1))-1)*MID(LEFT(E106,FIND("+",E106&amp;"+")-1),FIND("t",LEFT(E106,FIND("+",E106&amp;"+")-1))+1,2)^2*PI()/400,0)+IFERROR(LEFT(MID(E106,FIND("+",E106&amp;"+")+1,99),FIND("t",MID(E106,FIND("+",E106&amp;"+")+1,99))-1)*MID(MID(E106,FIND("+",E106&amp;"+")+1,99),FIND("t",MID(E106,FIND("+",E106&amp;"+")+1,99))+1,2)^2*PI()/400,0)</f>
        <v/>
      </c>
      <c r="F107">
        <f>IFERROR(LEFT(LEFT(F106,FIND("+",F106&amp;"+")-1),FIND("t",LEFT(F106,FIND("+",F106&amp;"+")-1))-1)*MID(LEFT(F106,FIND("+",F106&amp;"+")-1),FIND("t",LEFT(F106,FIND("+",F106&amp;"+")-1))+1,2)^2*PI()/400,0)+IFERROR(LEFT(MID(F106,FIND("+",F106&amp;"+")+1,99),FIND("t",MID(F106,FIND("+",F106&amp;"+")+1,99))-1)*MID(MID(F106,FIND("+",F106&amp;"+")+1,99),FIND("t",MID(F106,FIND("+",F106&amp;"+")+1,99))+1,2)^2*PI()/400,0)</f>
        <v/>
      </c>
      <c r="G107">
        <f>IFERROR(LEFT(LEFT(G106,FIND("+",G106&amp;"+")-1),FIND("t",LEFT(G106,FIND("+",G106&amp;"+")-1))-1)*MID(LEFT(G106,FIND("+",G106&amp;"+")-1),FIND("t",LEFT(G106,FIND("+",G106&amp;"+")-1))+1,2)^2*PI()/400,0)+IFERROR(LEFT(MID(G106,FIND("+",G106&amp;"+")+1,99),FIND("t",MID(G106,FIND("+",G106&amp;"+")+1,99))-1)*MID(MID(G106,FIND("+",G106&amp;"+")+1,99),FIND("t",MID(G106,FIND("+",G106&amp;"+")+1,99))+1,2)^2*PI()/400,0)</f>
        <v/>
      </c>
      <c r="H107">
        <f>IFERROR(LEFT(LEFT(H106,FIND("+",H106&amp;"+")-1),FIND("t",LEFT(H106,FIND("+",H106&amp;"+")-1))-1)*MID(LEFT(H106,FIND("+",H106&amp;"+")-1),FIND("t",LEFT(H106,FIND("+",H106&amp;"+")-1))+1,2)^2*PI()/400,0)+IFERROR(LEFT(MID(H106,FIND("+",H106&amp;"+")+1,99),FIND("t",MID(H106,FIND("+",H106&amp;"+")+1,99))-1)*MID(MID(H106,FIND("+",H106&amp;"+")+1,99),FIND("t",MID(H106,FIND("+",H106&amp;"+")+1,99))+1,2)^2*PI()/400,0)</f>
        <v/>
      </c>
      <c r="I107">
        <f>IFERROR(LEFT(LEFT(I106,FIND("+",I106&amp;"+")-1),FIND("t",LEFT(I106,FIND("+",I106&amp;"+")-1))-1)*MID(LEFT(I106,FIND("+",I106&amp;"+")-1),FIND("t",LEFT(I106,FIND("+",I106&amp;"+")-1))+1,2)^2*PI()/400,0)+IFERROR(LEFT(MID(I106,FIND("+",I106&amp;"+")+1,99),FIND("t",MID(I106,FIND("+",I106&amp;"+")+1,99))-1)*MID(MID(I106,FIND("+",I106&amp;"+")+1,99),FIND("t",MID(I106,FIND("+",I106&amp;"+")+1,99))+1,2)^2*PI()/400,0)</f>
        <v/>
      </c>
      <c r="J107">
        <f>IFERROR(LEFT(LEFT(J106,FIND("+",J106&amp;"+")-1),FIND("t",LEFT(J106,FIND("+",J106&amp;"+")-1))-1)*MID(LEFT(J106,FIND("+",J106&amp;"+")-1),FIND("t",LEFT(J106,FIND("+",J106&amp;"+")-1))+1,2)^2*PI()/400,0)+IFERROR(LEFT(MID(J106,FIND("+",J106&amp;"+")+1,99),FIND("t",MID(J106,FIND("+",J106&amp;"+")+1,99))-1)*MID(MID(J106,FIND("+",J106&amp;"+")+1,99),FIND("t",MID(J106,FIND("+",J106&amp;"+")+1,99))+1,2)^2*PI()/400,0)</f>
        <v/>
      </c>
      <c r="K107">
        <f>IFERROR(LEFT(LEFT(K106,FIND("+",K106&amp;"+")-1),FIND("t",LEFT(K106,FIND("+",K106&amp;"+")-1))-1)*MID(LEFT(K106,FIND("+",K106&amp;"+")-1),FIND("t",LEFT(K106,FIND("+",K106&amp;"+")-1))+1,2)^2*PI()/400,0)+IFERROR(LEFT(MID(K106,FIND("+",K106&amp;"+")+1,99),FIND("t",MID(K106,FIND("+",K106&amp;"+")+1,99))-1)*MID(MID(K106,FIND("+",K106&amp;"+")+1,99),FIND("t",MID(K106,FIND("+",K106&amp;"+")+1,99))+1,2)^2*PI()/400,0)</f>
        <v/>
      </c>
      <c r="L107">
        <f>IFERROR(LEFT(LEFT(L106,FIND("+",L106&amp;"+")-1),FIND("t",LEFT(L106,FIND("+",L106&amp;"+")-1))-1)*MID(LEFT(L106,FIND("+",L106&amp;"+")-1),FIND("t",LEFT(L106,FIND("+",L106&amp;"+")-1))+1,2)^2*PI()/400,0)+IFERROR(LEFT(MID(L106,FIND("+",L106&amp;"+")+1,99),FIND("t",MID(L106,FIND("+",L106&amp;"+")+1,99))-1)*MID(MID(L106,FIND("+",L106&amp;"+")+1,99),FIND("t",MID(L106,FIND("+",L106&amp;"+")+1,99))+1,2)^2*PI()/400,0)</f>
        <v/>
      </c>
      <c r="M107">
        <f>IFERROR(LEFT(LEFT(M106,FIND("+",M106&amp;"+")-1),FIND("t",LEFT(M106,FIND("+",M106&amp;"+")-1))-1)*MID(LEFT(M106,FIND("+",M106&amp;"+")-1),FIND("t",LEFT(M106,FIND("+",M106&amp;"+")-1))+1,2)^2*PI()/400,0)+IFERROR(LEFT(MID(M106,FIND("+",M106&amp;"+")+1,99),FIND("t",MID(M106,FIND("+",M106&amp;"+")+1,99))-1)*MID(MID(M106,FIND("+",M106&amp;"+")+1,99),FIND("t",MID(M106,FIND("+",M106&amp;"+")+1,99))+1,2)^2*PI()/400,0)</f>
        <v/>
      </c>
      <c r="N107">
        <f>IFERROR(LEFT(LEFT(N106,FIND("+",N106&amp;"+")-1),FIND("t",LEFT(N106,FIND("+",N106&amp;"+")-1))-1)*MID(LEFT(N106,FIND("+",N106&amp;"+")-1),FIND("t",LEFT(N106,FIND("+",N106&amp;"+")-1))+1,2)^2*PI()/400,0)+IFERROR(LEFT(MID(N106,FIND("+",N106&amp;"+")+1,99),FIND("t",MID(N106,FIND("+",N106&amp;"+")+1,99))-1)*MID(MID(N106,FIND("+",N106&amp;"+")+1,99),FIND("t",MID(N106,FIND("+",N106&amp;"+")+1,99))+1,2)^2*PI()/400,0)</f>
        <v/>
      </c>
      <c r="O107">
        <f>IFERROR(LEFT(LEFT(O106,FIND("+",O106&amp;"+")-1),FIND("t",LEFT(O106,FIND("+",O106&amp;"+")-1))-1)*MID(LEFT(O106,FIND("+",O106&amp;"+")-1),FIND("t",LEFT(O106,FIND("+",O106&amp;"+")-1))+1,2)^2*PI()/400,0)+IFERROR(LEFT(MID(O106,FIND("+",O106&amp;"+")+1,99),FIND("t",MID(O106,FIND("+",O106&amp;"+")+1,99))-1)*MID(MID(O106,FIND("+",O106&amp;"+")+1,99),FIND("t",MID(O106,FIND("+",O106&amp;"+")+1,99))+1,2)^2*PI()/400,0)</f>
        <v/>
      </c>
      <c r="P107">
        <f>IFERROR(LEFT(LEFT(P106,FIND("+",P106&amp;"+")-1),FIND("t",LEFT(P106,FIND("+",P106&amp;"+")-1))-1)*MID(LEFT(P106,FIND("+",P106&amp;"+")-1),FIND("t",LEFT(P106,FIND("+",P106&amp;"+")-1))+1,2)^2*PI()/400,0)+IFERROR(LEFT(MID(P106,FIND("+",P106&amp;"+")+1,99),FIND("t",MID(P106,FIND("+",P106&amp;"+")+1,99))-1)*MID(MID(P106,FIND("+",P106&amp;"+")+1,99),FIND("t",MID(P106,FIND("+",P106&amp;"+")+1,99))+1,2)^2*PI()/400,0)</f>
        <v/>
      </c>
      <c r="Q107">
        <f>IFERROR(LEFT(LEFT(Q106,FIND("+",Q106&amp;"+")-1),FIND("t",LEFT(Q106,FIND("+",Q106&amp;"+")-1))-1)*MID(LEFT(Q106,FIND("+",Q106&amp;"+")-1),FIND("t",LEFT(Q106,FIND("+",Q106&amp;"+")-1))+1,2)^2*PI()/400,0)+IFERROR(LEFT(MID(Q106,FIND("+",Q106&amp;"+")+1,99),FIND("t",MID(Q106,FIND("+",Q106&amp;"+")+1,99))-1)*MID(MID(Q106,FIND("+",Q106&amp;"+")+1,99),FIND("t",MID(Q106,FIND("+",Q106&amp;"+")+1,99))+1,2)^2*PI()/400,0)</f>
        <v/>
      </c>
      <c r="R107">
        <f>IFERROR(LEFT(LEFT(R106,FIND("+",R106&amp;"+")-1),FIND("t",LEFT(R106,FIND("+",R106&amp;"+")-1))-1)*MID(LEFT(R106,FIND("+",R106&amp;"+")-1),FIND("t",LEFT(R106,FIND("+",R106&amp;"+")-1))+1,2)^2*PI()/400,0)+IFERROR(LEFT(MID(R106,FIND("+",R106&amp;"+")+1,99),FIND("t",MID(R106,FIND("+",R106&amp;"+")+1,99))-1)*MID(MID(R106,FIND("+",R106&amp;"+")+1,99),FIND("t",MID(R106,FIND("+",R106&amp;"+")+1,99))+1,2)^2*PI()/400,0)</f>
        <v/>
      </c>
      <c r="S107">
        <f>IFERROR(LEFT(LEFT(S106,FIND("+",S106&amp;"+")-1),FIND("t",LEFT(S106,FIND("+",S106&amp;"+")-1))-1)*MID(LEFT(S106,FIND("+",S106&amp;"+")-1),FIND("t",LEFT(S106,FIND("+",S106&amp;"+")-1))+1,2)^2*PI()/400,0)+IFERROR(LEFT(MID(S106,FIND("+",S106&amp;"+")+1,99),FIND("t",MID(S106,FIND("+",S106&amp;"+")+1,99))-1)*MID(MID(S106,FIND("+",S106&amp;"+")+1,99),FIND("t",MID(S106,FIND("+",S106&amp;"+")+1,99))+1,2)^2*PI()/400,0)</f>
        <v/>
      </c>
      <c r="T107">
        <f>IFERROR(LEFT(LEFT(T106,FIND("+",T106&amp;"+")-1),FIND("t",LEFT(T106,FIND("+",T106&amp;"+")-1))-1)*MID(LEFT(T106,FIND("+",T106&amp;"+")-1),FIND("t",LEFT(T106,FIND("+",T106&amp;"+")-1))+1,2)^2*PI()/400,0)+IFERROR(LEFT(MID(T106,FIND("+",T106&amp;"+")+1,99),FIND("t",MID(T106,FIND("+",T106&amp;"+")+1,99))-1)*MID(MID(T106,FIND("+",T106&amp;"+")+1,99),FIND("t",MID(T106,FIND("+",T106&amp;"+")+1,99))+1,2)^2*PI()/400,0)</f>
        <v/>
      </c>
      <c r="U107">
        <f>IFERROR(LEFT(LEFT(U106,FIND("+",U106&amp;"+")-1),FIND("t",LEFT(U106,FIND("+",U106&amp;"+")-1))-1)*MID(LEFT(U106,FIND("+",U106&amp;"+")-1),FIND("t",LEFT(U106,FIND("+",U106&amp;"+")-1))+1,2)^2*PI()/400,0)+IFERROR(LEFT(MID(U106,FIND("+",U106&amp;"+")+1,99),FIND("t",MID(U106,FIND("+",U106&amp;"+")+1,99))-1)*MID(MID(U106,FIND("+",U106&amp;"+")+1,99),FIND("t",MID(U106,FIND("+",U106&amp;"+")+1,99))+1,2)^2*PI()/400,0)</f>
        <v/>
      </c>
      <c r="V107">
        <f>IFERROR(LEFT(LEFT(V106,FIND("+",V106&amp;"+")-1),FIND("t",LEFT(V106,FIND("+",V106&amp;"+")-1))-1)*MID(LEFT(V106,FIND("+",V106&amp;"+")-1),FIND("t",LEFT(V106,FIND("+",V106&amp;"+")-1))+1,2)^2*PI()/400,0)+IFERROR(LEFT(MID(V106,FIND("+",V106&amp;"+")+1,99),FIND("t",MID(V106,FIND("+",V106&amp;"+")+1,99))-1)*MID(MID(V106,FIND("+",V106&amp;"+")+1,99),FIND("t",MID(V106,FIND("+",V106&amp;"+")+1,99))+1,2)^2*PI()/400,0)</f>
        <v/>
      </c>
      <c r="W107">
        <f>IFERROR(LEFT(LEFT(W106,FIND("+",W106&amp;"+")-1),FIND("t",LEFT(W106,FIND("+",W106&amp;"+")-1))-1)*MID(LEFT(W106,FIND("+",W106&amp;"+")-1),FIND("t",LEFT(W106,FIND("+",W106&amp;"+")-1))+1,2)^2*PI()/400,0)+IFERROR(LEFT(MID(W106,FIND("+",W106&amp;"+")+1,99),FIND("t",MID(W106,FIND("+",W106&amp;"+")+1,99))-1)*MID(MID(W106,FIND("+",W106&amp;"+")+1,99),FIND("t",MID(W106,FIND("+",W106&amp;"+")+1,99))+1,2)^2*PI()/400,0)</f>
        <v/>
      </c>
      <c r="X107">
        <f>IFERROR(LEFT(LEFT(X106,FIND("+",X106&amp;"+")-1),FIND("t",LEFT(X106,FIND("+",X106&amp;"+")-1))-1)*MID(LEFT(X106,FIND("+",X106&amp;"+")-1),FIND("t",LEFT(X106,FIND("+",X106&amp;"+")-1))+1,2)^2*PI()/400,0)+IFERROR(LEFT(MID(X106,FIND("+",X106&amp;"+")+1,99),FIND("t",MID(X106,FIND("+",X106&amp;"+")+1,99))-1)*MID(MID(X106,FIND("+",X106&amp;"+")+1,99),FIND("t",MID(X106,FIND("+",X106&amp;"+")+1,99))+1,2)^2*PI()/400,0)</f>
        <v/>
      </c>
      <c r="Y107">
        <f>IFERROR(LEFT(LEFT(Y106,FIND("+",Y106&amp;"+")-1),FIND("t",LEFT(Y106,FIND("+",Y106&amp;"+")-1))-1)*MID(LEFT(Y106,FIND("+",Y106&amp;"+")-1),FIND("t",LEFT(Y106,FIND("+",Y106&amp;"+")-1))+1,2)^2*PI()/400,0)+IFERROR(LEFT(MID(Y106,FIND("+",Y106&amp;"+")+1,99),FIND("t",MID(Y106,FIND("+",Y106&amp;"+")+1,99))-1)*MID(MID(Y106,FIND("+",Y106&amp;"+")+1,99),FIND("t",MID(Y106,FIND("+",Y106&amp;"+")+1,99))+1,2)^2*PI()/400,0)</f>
        <v/>
      </c>
      <c r="Z107">
        <f>IFERROR(LEFT(LEFT(Z106,FIND("+",Z106&amp;"+")-1),FIND("t",LEFT(Z106,FIND("+",Z106&amp;"+")-1))-1)*MID(LEFT(Z106,FIND("+",Z106&amp;"+")-1),FIND("t",LEFT(Z106,FIND("+",Z106&amp;"+")-1))+1,2)^2*PI()/400,0)+IFERROR(LEFT(MID(Z106,FIND("+",Z106&amp;"+")+1,99),FIND("t",MID(Z106,FIND("+",Z106&amp;"+")+1,99))-1)*MID(MID(Z106,FIND("+",Z106&amp;"+")+1,99),FIND("t",MID(Z106,FIND("+",Z106&amp;"+")+1,99))+1,2)^2*PI()/400,0)</f>
        <v/>
      </c>
      <c r="AA107">
        <f>IFERROR(LEFT(LEFT(AA106,FIND("+",AA106&amp;"+")-1),FIND("t",LEFT(AA106,FIND("+",AA106&amp;"+")-1))-1)*MID(LEFT(AA106,FIND("+",AA106&amp;"+")-1),FIND("t",LEFT(AA106,FIND("+",AA106&amp;"+")-1))+1,2)^2*PI()/400,0)+IFERROR(LEFT(MID(AA106,FIND("+",AA106&amp;"+")+1,99),FIND("t",MID(AA106,FIND("+",AA106&amp;"+")+1,99))-1)*MID(MID(AA106,FIND("+",AA106&amp;"+")+1,99),FIND("t",MID(AA106,FIND("+",AA106&amp;"+")+1,99))+1,2)^2*PI()/400,0)</f>
        <v/>
      </c>
      <c r="AB107">
        <f>IFERROR(LEFT(LEFT(AB106,FIND("+",AB106&amp;"+")-1),FIND("t",LEFT(AB106,FIND("+",AB106&amp;"+")-1))-1)*MID(LEFT(AB106,FIND("+",AB106&amp;"+")-1),FIND("t",LEFT(AB106,FIND("+",AB106&amp;"+")-1))+1,2)^2*PI()/400,0)+IFERROR(LEFT(MID(AB106,FIND("+",AB106&amp;"+")+1,99),FIND("t",MID(AB106,FIND("+",AB106&amp;"+")+1,99))-1)*MID(MID(AB106,FIND("+",AB106&amp;"+")+1,99),FIND("t",MID(AB106,FIND("+",AB106&amp;"+")+1,99))+1,2)^2*PI()/400,0)</f>
        <v/>
      </c>
      <c r="AC107">
        <f>IFERROR(LEFT(LEFT(AC106,FIND("+",AC106&amp;"+")-1),FIND("t",LEFT(AC106,FIND("+",AC106&amp;"+")-1))-1)*MID(LEFT(AC106,FIND("+",AC106&amp;"+")-1),FIND("t",LEFT(AC106,FIND("+",AC106&amp;"+")-1))+1,2)^2*PI()/400,0)+IFERROR(LEFT(MID(AC106,FIND("+",AC106&amp;"+")+1,99),FIND("t",MID(AC106,FIND("+",AC106&amp;"+")+1,99))-1)*MID(MID(AC106,FIND("+",AC106&amp;"+")+1,99),FIND("t",MID(AC106,FIND("+",AC106&amp;"+")+1,99))+1,2)^2*PI()/400,0)</f>
        <v/>
      </c>
      <c r="AD107">
        <f>IFERROR(LEFT(LEFT(AD106,FIND("+",AD106&amp;"+")-1),FIND("t",LEFT(AD106,FIND("+",AD106&amp;"+")-1))-1)*MID(LEFT(AD106,FIND("+",AD106&amp;"+")-1),FIND("t",LEFT(AD106,FIND("+",AD106&amp;"+")-1))+1,2)^2*PI()/400,0)+IFERROR(LEFT(MID(AD106,FIND("+",AD106&amp;"+")+1,99),FIND("t",MID(AD106,FIND("+",AD106&amp;"+")+1,99))-1)*MID(MID(AD106,FIND("+",AD106&amp;"+")+1,99),FIND("t",MID(AD106,FIND("+",AD106&amp;"+")+1,99))+1,2)^2*PI()/400,0)</f>
        <v/>
      </c>
      <c r="AE107">
        <f>IFERROR(LEFT(LEFT(AE106,FIND("+",AE106&amp;"+")-1),FIND("t",LEFT(AE106,FIND("+",AE106&amp;"+")-1))-1)*MID(LEFT(AE106,FIND("+",AE106&amp;"+")-1),FIND("t",LEFT(AE106,FIND("+",AE106&amp;"+")-1))+1,2)^2*PI()/400,0)+IFERROR(LEFT(MID(AE106,FIND("+",AE106&amp;"+")+1,99),FIND("t",MID(AE106,FIND("+",AE106&amp;"+")+1,99))-1)*MID(MID(AE106,FIND("+",AE106&amp;"+")+1,99),FIND("t",MID(AE106,FIND("+",AE106&amp;"+")+1,99))+1,2)^2*PI()/400,0)</f>
        <v/>
      </c>
      <c r="AF107">
        <f>IFERROR(LEFT(LEFT(AF106,FIND("+",AF106&amp;"+")-1),FIND("t",LEFT(AF106,FIND("+",AF106&amp;"+")-1))-1)*MID(LEFT(AF106,FIND("+",AF106&amp;"+")-1),FIND("t",LEFT(AF106,FIND("+",AF106&amp;"+")-1))+1,2)^2*PI()/400,0)+IFERROR(LEFT(MID(AF106,FIND("+",AF106&amp;"+")+1,99),FIND("t",MID(AF106,FIND("+",AF106&amp;"+")+1,99))-1)*MID(MID(AF106,FIND("+",AF106&amp;"+")+1,99),FIND("t",MID(AF106,FIND("+",AF106&amp;"+")+1,99))+1,2)^2*PI()/400,0)</f>
        <v/>
      </c>
      <c r="AG107">
        <f>IFERROR(LEFT(LEFT(AG106,FIND("+",AG106&amp;"+")-1),FIND("t",LEFT(AG106,FIND("+",AG106&amp;"+")-1))-1)*MID(LEFT(AG106,FIND("+",AG106&amp;"+")-1),FIND("t",LEFT(AG106,FIND("+",AG106&amp;"+")-1))+1,2)^2*PI()/400,0)+IFERROR(LEFT(MID(AG106,FIND("+",AG106&amp;"+")+1,99),FIND("t",MID(AG106,FIND("+",AG106&amp;"+")+1,99))-1)*MID(MID(AG106,FIND("+",AG106&amp;"+")+1,99),FIND("t",MID(AG106,FIND("+",AG106&amp;"+")+1,99))+1,2)^2*PI()/400,0)</f>
        <v/>
      </c>
    </row>
    <row r="108" hidden="1" outlineLevel="1">
      <c r="A108" s="60" t="inlineStr">
        <is>
          <t>(phụ trợ) N_B4L</t>
        </is>
      </c>
      <c r="C108">
        <f>SUBSTITUTE(SUBSTITUTE(SUBSTITUTE(SUBSTITUTE(SUBSTITUTE(SUBSTITUTE(LOWER(IF(ISNUMBER(FIND(";",C19)),LEFT(C19,FIND(";",C19)-1),C19))," ",""),"%%c","t"),"ø","t"),"φ","t"),"f","t"),"d","t")</f>
        <v/>
      </c>
      <c r="D108">
        <f>SUBSTITUTE(SUBSTITUTE(SUBSTITUTE(SUBSTITUTE(SUBSTITUTE(SUBSTITUTE(LOWER(IF(ISNUMBER(FIND(";",D19)),LEFT(D19,FIND(";",D19)-1),D19))," ",""),"%%c","t"),"ø","t"),"φ","t"),"f","t"),"d","t")</f>
        <v/>
      </c>
      <c r="E108">
        <f>SUBSTITUTE(SUBSTITUTE(SUBSTITUTE(SUBSTITUTE(SUBSTITUTE(SUBSTITUTE(LOWER(IF(ISNUMBER(FIND(";",E19)),LEFT(E19,FIND(";",E19)-1),E19))," ",""),"%%c","t"),"ø","t"),"φ","t"),"f","t"),"d","t")</f>
        <v/>
      </c>
      <c r="F108">
        <f>SUBSTITUTE(SUBSTITUTE(SUBSTITUTE(SUBSTITUTE(SUBSTITUTE(SUBSTITUTE(LOWER(IF(ISNUMBER(FIND(";",F19)),LEFT(F19,FIND(";",F19)-1),F19))," ",""),"%%c","t"),"ø","t"),"φ","t"),"f","t"),"d","t")</f>
        <v/>
      </c>
      <c r="G108">
        <f>SUBSTITUTE(SUBSTITUTE(SUBSTITUTE(SUBSTITUTE(SUBSTITUTE(SUBSTITUTE(LOWER(IF(ISNUMBER(FIND(";",G19)),LEFT(G19,FIND(";",G19)-1),G19))," ",""),"%%c","t"),"ø","t"),"φ","t"),"f","t"),"d","t")</f>
        <v/>
      </c>
      <c r="H108">
        <f>SUBSTITUTE(SUBSTITUTE(SUBSTITUTE(SUBSTITUTE(SUBSTITUTE(SUBSTITUTE(LOWER(IF(ISNUMBER(FIND(";",H19)),LEFT(H19,FIND(";",H19)-1),H19))," ",""),"%%c","t"),"ø","t"),"φ","t"),"f","t"),"d","t")</f>
        <v/>
      </c>
      <c r="I108">
        <f>SUBSTITUTE(SUBSTITUTE(SUBSTITUTE(SUBSTITUTE(SUBSTITUTE(SUBSTITUTE(LOWER(IF(ISNUMBER(FIND(";",I19)),LEFT(I19,FIND(";",I19)-1),I19))," ",""),"%%c","t"),"ø","t"),"φ","t"),"f","t"),"d","t")</f>
        <v/>
      </c>
      <c r="J108">
        <f>SUBSTITUTE(SUBSTITUTE(SUBSTITUTE(SUBSTITUTE(SUBSTITUTE(SUBSTITUTE(LOWER(IF(ISNUMBER(FIND(";",J19)),LEFT(J19,FIND(";",J19)-1),J19))," ",""),"%%c","t"),"ø","t"),"φ","t"),"f","t"),"d","t")</f>
        <v/>
      </c>
      <c r="K108">
        <f>SUBSTITUTE(SUBSTITUTE(SUBSTITUTE(SUBSTITUTE(SUBSTITUTE(SUBSTITUTE(LOWER(IF(ISNUMBER(FIND(";",K19)),LEFT(K19,FIND(";",K19)-1),K19))," ",""),"%%c","t"),"ø","t"),"φ","t"),"f","t"),"d","t")</f>
        <v/>
      </c>
      <c r="L108">
        <f>SUBSTITUTE(SUBSTITUTE(SUBSTITUTE(SUBSTITUTE(SUBSTITUTE(SUBSTITUTE(LOWER(IF(ISNUMBER(FIND(";",L19)),LEFT(L19,FIND(";",L19)-1),L19))," ",""),"%%c","t"),"ø","t"),"φ","t"),"f","t"),"d","t")</f>
        <v/>
      </c>
      <c r="M108">
        <f>SUBSTITUTE(SUBSTITUTE(SUBSTITUTE(SUBSTITUTE(SUBSTITUTE(SUBSTITUTE(LOWER(IF(ISNUMBER(FIND(";",M19)),LEFT(M19,FIND(";",M19)-1),M19))," ",""),"%%c","t"),"ø","t"),"φ","t"),"f","t"),"d","t")</f>
        <v/>
      </c>
      <c r="N108">
        <f>SUBSTITUTE(SUBSTITUTE(SUBSTITUTE(SUBSTITUTE(SUBSTITUTE(SUBSTITUTE(LOWER(IF(ISNUMBER(FIND(";",N19)),LEFT(N19,FIND(";",N19)-1),N19))," ",""),"%%c","t"),"ø","t"),"φ","t"),"f","t"),"d","t")</f>
        <v/>
      </c>
      <c r="O108">
        <f>SUBSTITUTE(SUBSTITUTE(SUBSTITUTE(SUBSTITUTE(SUBSTITUTE(SUBSTITUTE(LOWER(IF(ISNUMBER(FIND(";",O19)),LEFT(O19,FIND(";",O19)-1),O19))," ",""),"%%c","t"),"ø","t"),"φ","t"),"f","t"),"d","t")</f>
        <v/>
      </c>
      <c r="P108">
        <f>SUBSTITUTE(SUBSTITUTE(SUBSTITUTE(SUBSTITUTE(SUBSTITUTE(SUBSTITUTE(LOWER(IF(ISNUMBER(FIND(";",P19)),LEFT(P19,FIND(";",P19)-1),P19))," ",""),"%%c","t"),"ø","t"),"φ","t"),"f","t"),"d","t")</f>
        <v/>
      </c>
      <c r="Q108">
        <f>SUBSTITUTE(SUBSTITUTE(SUBSTITUTE(SUBSTITUTE(SUBSTITUTE(SUBSTITUTE(LOWER(IF(ISNUMBER(FIND(";",Q19)),LEFT(Q19,FIND(";",Q19)-1),Q19))," ",""),"%%c","t"),"ø","t"),"φ","t"),"f","t"),"d","t")</f>
        <v/>
      </c>
      <c r="R108">
        <f>SUBSTITUTE(SUBSTITUTE(SUBSTITUTE(SUBSTITUTE(SUBSTITUTE(SUBSTITUTE(LOWER(IF(ISNUMBER(FIND(";",R19)),LEFT(R19,FIND(";",R19)-1),R19))," ",""),"%%c","t"),"ø","t"),"φ","t"),"f","t"),"d","t")</f>
        <v/>
      </c>
      <c r="S108">
        <f>SUBSTITUTE(SUBSTITUTE(SUBSTITUTE(SUBSTITUTE(SUBSTITUTE(SUBSTITUTE(LOWER(IF(ISNUMBER(FIND(";",S19)),LEFT(S19,FIND(";",S19)-1),S19))," ",""),"%%c","t"),"ø","t"),"φ","t"),"f","t"),"d","t")</f>
        <v/>
      </c>
      <c r="T108">
        <f>SUBSTITUTE(SUBSTITUTE(SUBSTITUTE(SUBSTITUTE(SUBSTITUTE(SUBSTITUTE(LOWER(IF(ISNUMBER(FIND(";",T19)),LEFT(T19,FIND(";",T19)-1),T19))," ",""),"%%c","t"),"ø","t"),"φ","t"),"f","t"),"d","t")</f>
        <v/>
      </c>
      <c r="U108">
        <f>SUBSTITUTE(SUBSTITUTE(SUBSTITUTE(SUBSTITUTE(SUBSTITUTE(SUBSTITUTE(LOWER(IF(ISNUMBER(FIND(";",U19)),LEFT(U19,FIND(";",U19)-1),U19))," ",""),"%%c","t"),"ø","t"),"φ","t"),"f","t"),"d","t")</f>
        <v/>
      </c>
      <c r="V108">
        <f>SUBSTITUTE(SUBSTITUTE(SUBSTITUTE(SUBSTITUTE(SUBSTITUTE(SUBSTITUTE(LOWER(IF(ISNUMBER(FIND(";",V19)),LEFT(V19,FIND(";",V19)-1),V19))," ",""),"%%c","t"),"ø","t"),"φ","t"),"f","t"),"d","t")</f>
        <v/>
      </c>
      <c r="W108">
        <f>SUBSTITUTE(SUBSTITUTE(SUBSTITUTE(SUBSTITUTE(SUBSTITUTE(SUBSTITUTE(LOWER(IF(ISNUMBER(FIND(";",W19)),LEFT(W19,FIND(";",W19)-1),W19))," ",""),"%%c","t"),"ø","t"),"φ","t"),"f","t"),"d","t")</f>
        <v/>
      </c>
      <c r="X108">
        <f>SUBSTITUTE(SUBSTITUTE(SUBSTITUTE(SUBSTITUTE(SUBSTITUTE(SUBSTITUTE(LOWER(IF(ISNUMBER(FIND(";",X19)),LEFT(X19,FIND(";",X19)-1),X19))," ",""),"%%c","t"),"ø","t"),"φ","t"),"f","t"),"d","t")</f>
        <v/>
      </c>
      <c r="Y108">
        <f>SUBSTITUTE(SUBSTITUTE(SUBSTITUTE(SUBSTITUTE(SUBSTITUTE(SUBSTITUTE(LOWER(IF(ISNUMBER(FIND(";",Y19)),LEFT(Y19,FIND(";",Y19)-1),Y19))," ",""),"%%c","t"),"ø","t"),"φ","t"),"f","t"),"d","t")</f>
        <v/>
      </c>
      <c r="Z108">
        <f>SUBSTITUTE(SUBSTITUTE(SUBSTITUTE(SUBSTITUTE(SUBSTITUTE(SUBSTITUTE(LOWER(IF(ISNUMBER(FIND(";",Z19)),LEFT(Z19,FIND(";",Z19)-1),Z19))," ",""),"%%c","t"),"ø","t"),"φ","t"),"f","t"),"d","t")</f>
        <v/>
      </c>
      <c r="AA108">
        <f>SUBSTITUTE(SUBSTITUTE(SUBSTITUTE(SUBSTITUTE(SUBSTITUTE(SUBSTITUTE(LOWER(IF(ISNUMBER(FIND(";",AA19)),LEFT(AA19,FIND(";",AA19)-1),AA19))," ",""),"%%c","t"),"ø","t"),"φ","t"),"f","t"),"d","t")</f>
        <v/>
      </c>
      <c r="AB108">
        <f>SUBSTITUTE(SUBSTITUTE(SUBSTITUTE(SUBSTITUTE(SUBSTITUTE(SUBSTITUTE(LOWER(IF(ISNUMBER(FIND(";",AB19)),LEFT(AB19,FIND(";",AB19)-1),AB19))," ",""),"%%c","t"),"ø","t"),"φ","t"),"f","t"),"d","t")</f>
        <v/>
      </c>
      <c r="AC108">
        <f>SUBSTITUTE(SUBSTITUTE(SUBSTITUTE(SUBSTITUTE(SUBSTITUTE(SUBSTITUTE(LOWER(IF(ISNUMBER(FIND(";",AC19)),LEFT(AC19,FIND(";",AC19)-1),AC19))," ",""),"%%c","t"),"ø","t"),"φ","t"),"f","t"),"d","t")</f>
        <v/>
      </c>
      <c r="AD108">
        <f>SUBSTITUTE(SUBSTITUTE(SUBSTITUTE(SUBSTITUTE(SUBSTITUTE(SUBSTITUTE(LOWER(IF(ISNUMBER(FIND(";",AD19)),LEFT(AD19,FIND(";",AD19)-1),AD19))," ",""),"%%c","t"),"ø","t"),"φ","t"),"f","t"),"d","t")</f>
        <v/>
      </c>
      <c r="AE108">
        <f>SUBSTITUTE(SUBSTITUTE(SUBSTITUTE(SUBSTITUTE(SUBSTITUTE(SUBSTITUTE(LOWER(IF(ISNUMBER(FIND(";",AE19)),LEFT(AE19,FIND(";",AE19)-1),AE19))," ",""),"%%c","t"),"ø","t"),"φ","t"),"f","t"),"d","t")</f>
        <v/>
      </c>
      <c r="AF108">
        <f>SUBSTITUTE(SUBSTITUTE(SUBSTITUTE(SUBSTITUTE(SUBSTITUTE(SUBSTITUTE(LOWER(IF(ISNUMBER(FIND(";",AF19)),LEFT(AF19,FIND(";",AF19)-1),AF19))," ",""),"%%c","t"),"ø","t"),"φ","t"),"f","t"),"d","t")</f>
        <v/>
      </c>
      <c r="AG108">
        <f>SUBSTITUTE(SUBSTITUTE(SUBSTITUTE(SUBSTITUTE(SUBSTITUTE(SUBSTITUTE(LOWER(IF(ISNUMBER(FIND(";",AG19)),LEFT(AG19,FIND(";",AG19)-1),AG19))," ",""),"%%c","t"),"ø","t"),"φ","t"),"f","t"),"d","t")</f>
        <v/>
      </c>
    </row>
    <row r="109" hidden="1" outlineLevel="1">
      <c r="A109" s="60" t="inlineStr">
        <is>
          <t>(phụ trợ) A_B4L</t>
        </is>
      </c>
      <c r="C109">
        <f>IFERROR(LEFT(LEFT(C108,FIND("+",C108&amp;"+")-1),FIND("t",LEFT(C108,FIND("+",C108&amp;"+")-1))-1)*MID(LEFT(C108,FIND("+",C108&amp;"+")-1),FIND("t",LEFT(C108,FIND("+",C108&amp;"+")-1))+1,2)^2*PI()/400,0)+IFERROR(LEFT(MID(C108,FIND("+",C108&amp;"+")+1,99),FIND("t",MID(C108,FIND("+",C108&amp;"+")+1,99))-1)*MID(MID(C108,FIND("+",C108&amp;"+")+1,99),FIND("t",MID(C108,FIND("+",C108&amp;"+")+1,99))+1,2)^2*PI()/400,0)</f>
        <v/>
      </c>
      <c r="D109">
        <f>IFERROR(LEFT(LEFT(D108,FIND("+",D108&amp;"+")-1),FIND("t",LEFT(D108,FIND("+",D108&amp;"+")-1))-1)*MID(LEFT(D108,FIND("+",D108&amp;"+")-1),FIND("t",LEFT(D108,FIND("+",D108&amp;"+")-1))+1,2)^2*PI()/400,0)+IFERROR(LEFT(MID(D108,FIND("+",D108&amp;"+")+1,99),FIND("t",MID(D108,FIND("+",D108&amp;"+")+1,99))-1)*MID(MID(D108,FIND("+",D108&amp;"+")+1,99),FIND("t",MID(D108,FIND("+",D108&amp;"+")+1,99))+1,2)^2*PI()/400,0)</f>
        <v/>
      </c>
      <c r="E109">
        <f>IFERROR(LEFT(LEFT(E108,FIND("+",E108&amp;"+")-1),FIND("t",LEFT(E108,FIND("+",E108&amp;"+")-1))-1)*MID(LEFT(E108,FIND("+",E108&amp;"+")-1),FIND("t",LEFT(E108,FIND("+",E108&amp;"+")-1))+1,2)^2*PI()/400,0)+IFERROR(LEFT(MID(E108,FIND("+",E108&amp;"+")+1,99),FIND("t",MID(E108,FIND("+",E108&amp;"+")+1,99))-1)*MID(MID(E108,FIND("+",E108&amp;"+")+1,99),FIND("t",MID(E108,FIND("+",E108&amp;"+")+1,99))+1,2)^2*PI()/400,0)</f>
        <v/>
      </c>
      <c r="F109">
        <f>IFERROR(LEFT(LEFT(F108,FIND("+",F108&amp;"+")-1),FIND("t",LEFT(F108,FIND("+",F108&amp;"+")-1))-1)*MID(LEFT(F108,FIND("+",F108&amp;"+")-1),FIND("t",LEFT(F108,FIND("+",F108&amp;"+")-1))+1,2)^2*PI()/400,0)+IFERROR(LEFT(MID(F108,FIND("+",F108&amp;"+")+1,99),FIND("t",MID(F108,FIND("+",F108&amp;"+")+1,99))-1)*MID(MID(F108,FIND("+",F108&amp;"+")+1,99),FIND("t",MID(F108,FIND("+",F108&amp;"+")+1,99))+1,2)^2*PI()/400,0)</f>
        <v/>
      </c>
      <c r="G109">
        <f>IFERROR(LEFT(LEFT(G108,FIND("+",G108&amp;"+")-1),FIND("t",LEFT(G108,FIND("+",G108&amp;"+")-1))-1)*MID(LEFT(G108,FIND("+",G108&amp;"+")-1),FIND("t",LEFT(G108,FIND("+",G108&amp;"+")-1))+1,2)^2*PI()/400,0)+IFERROR(LEFT(MID(G108,FIND("+",G108&amp;"+")+1,99),FIND("t",MID(G108,FIND("+",G108&amp;"+")+1,99))-1)*MID(MID(G108,FIND("+",G108&amp;"+")+1,99),FIND("t",MID(G108,FIND("+",G108&amp;"+")+1,99))+1,2)^2*PI()/400,0)</f>
        <v/>
      </c>
      <c r="H109">
        <f>IFERROR(LEFT(LEFT(H108,FIND("+",H108&amp;"+")-1),FIND("t",LEFT(H108,FIND("+",H108&amp;"+")-1))-1)*MID(LEFT(H108,FIND("+",H108&amp;"+")-1),FIND("t",LEFT(H108,FIND("+",H108&amp;"+")-1))+1,2)^2*PI()/400,0)+IFERROR(LEFT(MID(H108,FIND("+",H108&amp;"+")+1,99),FIND("t",MID(H108,FIND("+",H108&amp;"+")+1,99))-1)*MID(MID(H108,FIND("+",H108&amp;"+")+1,99),FIND("t",MID(H108,FIND("+",H108&amp;"+")+1,99))+1,2)^2*PI()/400,0)</f>
        <v/>
      </c>
      <c r="I109">
        <f>IFERROR(LEFT(LEFT(I108,FIND("+",I108&amp;"+")-1),FIND("t",LEFT(I108,FIND("+",I108&amp;"+")-1))-1)*MID(LEFT(I108,FIND("+",I108&amp;"+")-1),FIND("t",LEFT(I108,FIND("+",I108&amp;"+")-1))+1,2)^2*PI()/400,0)+IFERROR(LEFT(MID(I108,FIND("+",I108&amp;"+")+1,99),FIND("t",MID(I108,FIND("+",I108&amp;"+")+1,99))-1)*MID(MID(I108,FIND("+",I108&amp;"+")+1,99),FIND("t",MID(I108,FIND("+",I108&amp;"+")+1,99))+1,2)^2*PI()/400,0)</f>
        <v/>
      </c>
      <c r="J109">
        <f>IFERROR(LEFT(LEFT(J108,FIND("+",J108&amp;"+")-1),FIND("t",LEFT(J108,FIND("+",J108&amp;"+")-1))-1)*MID(LEFT(J108,FIND("+",J108&amp;"+")-1),FIND("t",LEFT(J108,FIND("+",J108&amp;"+")-1))+1,2)^2*PI()/400,0)+IFERROR(LEFT(MID(J108,FIND("+",J108&amp;"+")+1,99),FIND("t",MID(J108,FIND("+",J108&amp;"+")+1,99))-1)*MID(MID(J108,FIND("+",J108&amp;"+")+1,99),FIND("t",MID(J108,FIND("+",J108&amp;"+")+1,99))+1,2)^2*PI()/400,0)</f>
        <v/>
      </c>
      <c r="K109">
        <f>IFERROR(LEFT(LEFT(K108,FIND("+",K108&amp;"+")-1),FIND("t",LEFT(K108,FIND("+",K108&amp;"+")-1))-1)*MID(LEFT(K108,FIND("+",K108&amp;"+")-1),FIND("t",LEFT(K108,FIND("+",K108&amp;"+")-1))+1,2)^2*PI()/400,0)+IFERROR(LEFT(MID(K108,FIND("+",K108&amp;"+")+1,99),FIND("t",MID(K108,FIND("+",K108&amp;"+")+1,99))-1)*MID(MID(K108,FIND("+",K108&amp;"+")+1,99),FIND("t",MID(K108,FIND("+",K108&amp;"+")+1,99))+1,2)^2*PI()/400,0)</f>
        <v/>
      </c>
      <c r="L109">
        <f>IFERROR(LEFT(LEFT(L108,FIND("+",L108&amp;"+")-1),FIND("t",LEFT(L108,FIND("+",L108&amp;"+")-1))-1)*MID(LEFT(L108,FIND("+",L108&amp;"+")-1),FIND("t",LEFT(L108,FIND("+",L108&amp;"+")-1))+1,2)^2*PI()/400,0)+IFERROR(LEFT(MID(L108,FIND("+",L108&amp;"+")+1,99),FIND("t",MID(L108,FIND("+",L108&amp;"+")+1,99))-1)*MID(MID(L108,FIND("+",L108&amp;"+")+1,99),FIND("t",MID(L108,FIND("+",L108&amp;"+")+1,99))+1,2)^2*PI()/400,0)</f>
        <v/>
      </c>
      <c r="M109">
        <f>IFERROR(LEFT(LEFT(M108,FIND("+",M108&amp;"+")-1),FIND("t",LEFT(M108,FIND("+",M108&amp;"+")-1))-1)*MID(LEFT(M108,FIND("+",M108&amp;"+")-1),FIND("t",LEFT(M108,FIND("+",M108&amp;"+")-1))+1,2)^2*PI()/400,0)+IFERROR(LEFT(MID(M108,FIND("+",M108&amp;"+")+1,99),FIND("t",MID(M108,FIND("+",M108&amp;"+")+1,99))-1)*MID(MID(M108,FIND("+",M108&amp;"+")+1,99),FIND("t",MID(M108,FIND("+",M108&amp;"+")+1,99))+1,2)^2*PI()/400,0)</f>
        <v/>
      </c>
      <c r="N109">
        <f>IFERROR(LEFT(LEFT(N108,FIND("+",N108&amp;"+")-1),FIND("t",LEFT(N108,FIND("+",N108&amp;"+")-1))-1)*MID(LEFT(N108,FIND("+",N108&amp;"+")-1),FIND("t",LEFT(N108,FIND("+",N108&amp;"+")-1))+1,2)^2*PI()/400,0)+IFERROR(LEFT(MID(N108,FIND("+",N108&amp;"+")+1,99),FIND("t",MID(N108,FIND("+",N108&amp;"+")+1,99))-1)*MID(MID(N108,FIND("+",N108&amp;"+")+1,99),FIND("t",MID(N108,FIND("+",N108&amp;"+")+1,99))+1,2)^2*PI()/400,0)</f>
        <v/>
      </c>
      <c r="O109">
        <f>IFERROR(LEFT(LEFT(O108,FIND("+",O108&amp;"+")-1),FIND("t",LEFT(O108,FIND("+",O108&amp;"+")-1))-1)*MID(LEFT(O108,FIND("+",O108&amp;"+")-1),FIND("t",LEFT(O108,FIND("+",O108&amp;"+")-1))+1,2)^2*PI()/400,0)+IFERROR(LEFT(MID(O108,FIND("+",O108&amp;"+")+1,99),FIND("t",MID(O108,FIND("+",O108&amp;"+")+1,99))-1)*MID(MID(O108,FIND("+",O108&amp;"+")+1,99),FIND("t",MID(O108,FIND("+",O108&amp;"+")+1,99))+1,2)^2*PI()/400,0)</f>
        <v/>
      </c>
      <c r="P109">
        <f>IFERROR(LEFT(LEFT(P108,FIND("+",P108&amp;"+")-1),FIND("t",LEFT(P108,FIND("+",P108&amp;"+")-1))-1)*MID(LEFT(P108,FIND("+",P108&amp;"+")-1),FIND("t",LEFT(P108,FIND("+",P108&amp;"+")-1))+1,2)^2*PI()/400,0)+IFERROR(LEFT(MID(P108,FIND("+",P108&amp;"+")+1,99),FIND("t",MID(P108,FIND("+",P108&amp;"+")+1,99))-1)*MID(MID(P108,FIND("+",P108&amp;"+")+1,99),FIND("t",MID(P108,FIND("+",P108&amp;"+")+1,99))+1,2)^2*PI()/400,0)</f>
        <v/>
      </c>
      <c r="Q109">
        <f>IFERROR(LEFT(LEFT(Q108,FIND("+",Q108&amp;"+")-1),FIND("t",LEFT(Q108,FIND("+",Q108&amp;"+")-1))-1)*MID(LEFT(Q108,FIND("+",Q108&amp;"+")-1),FIND("t",LEFT(Q108,FIND("+",Q108&amp;"+")-1))+1,2)^2*PI()/400,0)+IFERROR(LEFT(MID(Q108,FIND("+",Q108&amp;"+")+1,99),FIND("t",MID(Q108,FIND("+",Q108&amp;"+")+1,99))-1)*MID(MID(Q108,FIND("+",Q108&amp;"+")+1,99),FIND("t",MID(Q108,FIND("+",Q108&amp;"+")+1,99))+1,2)^2*PI()/400,0)</f>
        <v/>
      </c>
      <c r="R109">
        <f>IFERROR(LEFT(LEFT(R108,FIND("+",R108&amp;"+")-1),FIND("t",LEFT(R108,FIND("+",R108&amp;"+")-1))-1)*MID(LEFT(R108,FIND("+",R108&amp;"+")-1),FIND("t",LEFT(R108,FIND("+",R108&amp;"+")-1))+1,2)^2*PI()/400,0)+IFERROR(LEFT(MID(R108,FIND("+",R108&amp;"+")+1,99),FIND("t",MID(R108,FIND("+",R108&amp;"+")+1,99))-1)*MID(MID(R108,FIND("+",R108&amp;"+")+1,99),FIND("t",MID(R108,FIND("+",R108&amp;"+")+1,99))+1,2)^2*PI()/400,0)</f>
        <v/>
      </c>
      <c r="S109">
        <f>IFERROR(LEFT(LEFT(S108,FIND("+",S108&amp;"+")-1),FIND("t",LEFT(S108,FIND("+",S108&amp;"+")-1))-1)*MID(LEFT(S108,FIND("+",S108&amp;"+")-1),FIND("t",LEFT(S108,FIND("+",S108&amp;"+")-1))+1,2)^2*PI()/400,0)+IFERROR(LEFT(MID(S108,FIND("+",S108&amp;"+")+1,99),FIND("t",MID(S108,FIND("+",S108&amp;"+")+1,99))-1)*MID(MID(S108,FIND("+",S108&amp;"+")+1,99),FIND("t",MID(S108,FIND("+",S108&amp;"+")+1,99))+1,2)^2*PI()/400,0)</f>
        <v/>
      </c>
      <c r="T109">
        <f>IFERROR(LEFT(LEFT(T108,FIND("+",T108&amp;"+")-1),FIND("t",LEFT(T108,FIND("+",T108&amp;"+")-1))-1)*MID(LEFT(T108,FIND("+",T108&amp;"+")-1),FIND("t",LEFT(T108,FIND("+",T108&amp;"+")-1))+1,2)^2*PI()/400,0)+IFERROR(LEFT(MID(T108,FIND("+",T108&amp;"+")+1,99),FIND("t",MID(T108,FIND("+",T108&amp;"+")+1,99))-1)*MID(MID(T108,FIND("+",T108&amp;"+")+1,99),FIND("t",MID(T108,FIND("+",T108&amp;"+")+1,99))+1,2)^2*PI()/400,0)</f>
        <v/>
      </c>
      <c r="U109">
        <f>IFERROR(LEFT(LEFT(U108,FIND("+",U108&amp;"+")-1),FIND("t",LEFT(U108,FIND("+",U108&amp;"+")-1))-1)*MID(LEFT(U108,FIND("+",U108&amp;"+")-1),FIND("t",LEFT(U108,FIND("+",U108&amp;"+")-1))+1,2)^2*PI()/400,0)+IFERROR(LEFT(MID(U108,FIND("+",U108&amp;"+")+1,99),FIND("t",MID(U108,FIND("+",U108&amp;"+")+1,99))-1)*MID(MID(U108,FIND("+",U108&amp;"+")+1,99),FIND("t",MID(U108,FIND("+",U108&amp;"+")+1,99))+1,2)^2*PI()/400,0)</f>
        <v/>
      </c>
      <c r="V109">
        <f>IFERROR(LEFT(LEFT(V108,FIND("+",V108&amp;"+")-1),FIND("t",LEFT(V108,FIND("+",V108&amp;"+")-1))-1)*MID(LEFT(V108,FIND("+",V108&amp;"+")-1),FIND("t",LEFT(V108,FIND("+",V108&amp;"+")-1))+1,2)^2*PI()/400,0)+IFERROR(LEFT(MID(V108,FIND("+",V108&amp;"+")+1,99),FIND("t",MID(V108,FIND("+",V108&amp;"+")+1,99))-1)*MID(MID(V108,FIND("+",V108&amp;"+")+1,99),FIND("t",MID(V108,FIND("+",V108&amp;"+")+1,99))+1,2)^2*PI()/400,0)</f>
        <v/>
      </c>
      <c r="W109">
        <f>IFERROR(LEFT(LEFT(W108,FIND("+",W108&amp;"+")-1),FIND("t",LEFT(W108,FIND("+",W108&amp;"+")-1))-1)*MID(LEFT(W108,FIND("+",W108&amp;"+")-1),FIND("t",LEFT(W108,FIND("+",W108&amp;"+")-1))+1,2)^2*PI()/400,0)+IFERROR(LEFT(MID(W108,FIND("+",W108&amp;"+")+1,99),FIND("t",MID(W108,FIND("+",W108&amp;"+")+1,99))-1)*MID(MID(W108,FIND("+",W108&amp;"+")+1,99),FIND("t",MID(W108,FIND("+",W108&amp;"+")+1,99))+1,2)^2*PI()/400,0)</f>
        <v/>
      </c>
      <c r="X109">
        <f>IFERROR(LEFT(LEFT(X108,FIND("+",X108&amp;"+")-1),FIND("t",LEFT(X108,FIND("+",X108&amp;"+")-1))-1)*MID(LEFT(X108,FIND("+",X108&amp;"+")-1),FIND("t",LEFT(X108,FIND("+",X108&amp;"+")-1))+1,2)^2*PI()/400,0)+IFERROR(LEFT(MID(X108,FIND("+",X108&amp;"+")+1,99),FIND("t",MID(X108,FIND("+",X108&amp;"+")+1,99))-1)*MID(MID(X108,FIND("+",X108&amp;"+")+1,99),FIND("t",MID(X108,FIND("+",X108&amp;"+")+1,99))+1,2)^2*PI()/400,0)</f>
        <v/>
      </c>
      <c r="Y109">
        <f>IFERROR(LEFT(LEFT(Y108,FIND("+",Y108&amp;"+")-1),FIND("t",LEFT(Y108,FIND("+",Y108&amp;"+")-1))-1)*MID(LEFT(Y108,FIND("+",Y108&amp;"+")-1),FIND("t",LEFT(Y108,FIND("+",Y108&amp;"+")-1))+1,2)^2*PI()/400,0)+IFERROR(LEFT(MID(Y108,FIND("+",Y108&amp;"+")+1,99),FIND("t",MID(Y108,FIND("+",Y108&amp;"+")+1,99))-1)*MID(MID(Y108,FIND("+",Y108&amp;"+")+1,99),FIND("t",MID(Y108,FIND("+",Y108&amp;"+")+1,99))+1,2)^2*PI()/400,0)</f>
        <v/>
      </c>
      <c r="Z109">
        <f>IFERROR(LEFT(LEFT(Z108,FIND("+",Z108&amp;"+")-1),FIND("t",LEFT(Z108,FIND("+",Z108&amp;"+")-1))-1)*MID(LEFT(Z108,FIND("+",Z108&amp;"+")-1),FIND("t",LEFT(Z108,FIND("+",Z108&amp;"+")-1))+1,2)^2*PI()/400,0)+IFERROR(LEFT(MID(Z108,FIND("+",Z108&amp;"+")+1,99),FIND("t",MID(Z108,FIND("+",Z108&amp;"+")+1,99))-1)*MID(MID(Z108,FIND("+",Z108&amp;"+")+1,99),FIND("t",MID(Z108,FIND("+",Z108&amp;"+")+1,99))+1,2)^2*PI()/400,0)</f>
        <v/>
      </c>
      <c r="AA109">
        <f>IFERROR(LEFT(LEFT(AA108,FIND("+",AA108&amp;"+")-1),FIND("t",LEFT(AA108,FIND("+",AA108&amp;"+")-1))-1)*MID(LEFT(AA108,FIND("+",AA108&amp;"+")-1),FIND("t",LEFT(AA108,FIND("+",AA108&amp;"+")-1))+1,2)^2*PI()/400,0)+IFERROR(LEFT(MID(AA108,FIND("+",AA108&amp;"+")+1,99),FIND("t",MID(AA108,FIND("+",AA108&amp;"+")+1,99))-1)*MID(MID(AA108,FIND("+",AA108&amp;"+")+1,99),FIND("t",MID(AA108,FIND("+",AA108&amp;"+")+1,99))+1,2)^2*PI()/400,0)</f>
        <v/>
      </c>
      <c r="AB109">
        <f>IFERROR(LEFT(LEFT(AB108,FIND("+",AB108&amp;"+")-1),FIND("t",LEFT(AB108,FIND("+",AB108&amp;"+")-1))-1)*MID(LEFT(AB108,FIND("+",AB108&amp;"+")-1),FIND("t",LEFT(AB108,FIND("+",AB108&amp;"+")-1))+1,2)^2*PI()/400,0)+IFERROR(LEFT(MID(AB108,FIND("+",AB108&amp;"+")+1,99),FIND("t",MID(AB108,FIND("+",AB108&amp;"+")+1,99))-1)*MID(MID(AB108,FIND("+",AB108&amp;"+")+1,99),FIND("t",MID(AB108,FIND("+",AB108&amp;"+")+1,99))+1,2)^2*PI()/400,0)</f>
        <v/>
      </c>
      <c r="AC109">
        <f>IFERROR(LEFT(LEFT(AC108,FIND("+",AC108&amp;"+")-1),FIND("t",LEFT(AC108,FIND("+",AC108&amp;"+")-1))-1)*MID(LEFT(AC108,FIND("+",AC108&amp;"+")-1),FIND("t",LEFT(AC108,FIND("+",AC108&amp;"+")-1))+1,2)^2*PI()/400,0)+IFERROR(LEFT(MID(AC108,FIND("+",AC108&amp;"+")+1,99),FIND("t",MID(AC108,FIND("+",AC108&amp;"+")+1,99))-1)*MID(MID(AC108,FIND("+",AC108&amp;"+")+1,99),FIND("t",MID(AC108,FIND("+",AC108&amp;"+")+1,99))+1,2)^2*PI()/400,0)</f>
        <v/>
      </c>
      <c r="AD109">
        <f>IFERROR(LEFT(LEFT(AD108,FIND("+",AD108&amp;"+")-1),FIND("t",LEFT(AD108,FIND("+",AD108&amp;"+")-1))-1)*MID(LEFT(AD108,FIND("+",AD108&amp;"+")-1),FIND("t",LEFT(AD108,FIND("+",AD108&amp;"+")-1))+1,2)^2*PI()/400,0)+IFERROR(LEFT(MID(AD108,FIND("+",AD108&amp;"+")+1,99),FIND("t",MID(AD108,FIND("+",AD108&amp;"+")+1,99))-1)*MID(MID(AD108,FIND("+",AD108&amp;"+")+1,99),FIND("t",MID(AD108,FIND("+",AD108&amp;"+")+1,99))+1,2)^2*PI()/400,0)</f>
        <v/>
      </c>
      <c r="AE109">
        <f>IFERROR(LEFT(LEFT(AE108,FIND("+",AE108&amp;"+")-1),FIND("t",LEFT(AE108,FIND("+",AE108&amp;"+")-1))-1)*MID(LEFT(AE108,FIND("+",AE108&amp;"+")-1),FIND("t",LEFT(AE108,FIND("+",AE108&amp;"+")-1))+1,2)^2*PI()/400,0)+IFERROR(LEFT(MID(AE108,FIND("+",AE108&amp;"+")+1,99),FIND("t",MID(AE108,FIND("+",AE108&amp;"+")+1,99))-1)*MID(MID(AE108,FIND("+",AE108&amp;"+")+1,99),FIND("t",MID(AE108,FIND("+",AE108&amp;"+")+1,99))+1,2)^2*PI()/400,0)</f>
        <v/>
      </c>
      <c r="AF109">
        <f>IFERROR(LEFT(LEFT(AF108,FIND("+",AF108&amp;"+")-1),FIND("t",LEFT(AF108,FIND("+",AF108&amp;"+")-1))-1)*MID(LEFT(AF108,FIND("+",AF108&amp;"+")-1),FIND("t",LEFT(AF108,FIND("+",AF108&amp;"+")-1))+1,2)^2*PI()/400,0)+IFERROR(LEFT(MID(AF108,FIND("+",AF108&amp;"+")+1,99),FIND("t",MID(AF108,FIND("+",AF108&amp;"+")+1,99))-1)*MID(MID(AF108,FIND("+",AF108&amp;"+")+1,99),FIND("t",MID(AF108,FIND("+",AF108&amp;"+")+1,99))+1,2)^2*PI()/400,0)</f>
        <v/>
      </c>
      <c r="AG109">
        <f>IFERROR(LEFT(LEFT(AG108,FIND("+",AG108&amp;"+")-1),FIND("t",LEFT(AG108,FIND("+",AG108&amp;"+")-1))-1)*MID(LEFT(AG108,FIND("+",AG108&amp;"+")-1),FIND("t",LEFT(AG108,FIND("+",AG108&amp;"+")-1))+1,2)^2*PI()/400,0)+IFERROR(LEFT(MID(AG108,FIND("+",AG108&amp;"+")+1,99),FIND("t",MID(AG108,FIND("+",AG108&amp;"+")+1,99))-1)*MID(MID(AG108,FIND("+",AG108&amp;"+")+1,99),FIND("t",MID(AG108,FIND("+",AG108&amp;"+")+1,99))+1,2)^2*PI()/400,0)</f>
        <v/>
      </c>
    </row>
    <row r="110" hidden="1" outlineLevel="1">
      <c r="A110" s="60" t="inlineStr">
        <is>
          <t>(phụ trợ) N_B4R</t>
        </is>
      </c>
      <c r="C110">
        <f>SUBSTITUTE(SUBSTITUTE(SUBSTITUTE(SUBSTITUTE(SUBSTITUTE(SUBSTITUTE(LOWER(IF(ISNUMBER(FIND(";",C19)),MID(C19,FIND(";",C19)+1,99),C19))," ",""),"%%c","t"),"ø","t"),"φ","t"),"f","t"),"d","t")</f>
        <v/>
      </c>
      <c r="D110">
        <f>SUBSTITUTE(SUBSTITUTE(SUBSTITUTE(SUBSTITUTE(SUBSTITUTE(SUBSTITUTE(LOWER(IF(ISNUMBER(FIND(";",D19)),MID(D19,FIND(";",D19)+1,99),D19))," ",""),"%%c","t"),"ø","t"),"φ","t"),"f","t"),"d","t")</f>
        <v/>
      </c>
      <c r="E110">
        <f>SUBSTITUTE(SUBSTITUTE(SUBSTITUTE(SUBSTITUTE(SUBSTITUTE(SUBSTITUTE(LOWER(IF(ISNUMBER(FIND(";",E19)),MID(E19,FIND(";",E19)+1,99),E19))," ",""),"%%c","t"),"ø","t"),"φ","t"),"f","t"),"d","t")</f>
        <v/>
      </c>
      <c r="F110">
        <f>SUBSTITUTE(SUBSTITUTE(SUBSTITUTE(SUBSTITUTE(SUBSTITUTE(SUBSTITUTE(LOWER(IF(ISNUMBER(FIND(";",F19)),MID(F19,FIND(";",F19)+1,99),F19))," ",""),"%%c","t"),"ø","t"),"φ","t"),"f","t"),"d","t")</f>
        <v/>
      </c>
      <c r="G110">
        <f>SUBSTITUTE(SUBSTITUTE(SUBSTITUTE(SUBSTITUTE(SUBSTITUTE(SUBSTITUTE(LOWER(IF(ISNUMBER(FIND(";",G19)),MID(G19,FIND(";",G19)+1,99),G19))," ",""),"%%c","t"),"ø","t"),"φ","t"),"f","t"),"d","t")</f>
        <v/>
      </c>
      <c r="H110">
        <f>SUBSTITUTE(SUBSTITUTE(SUBSTITUTE(SUBSTITUTE(SUBSTITUTE(SUBSTITUTE(LOWER(IF(ISNUMBER(FIND(";",H19)),MID(H19,FIND(";",H19)+1,99),H19))," ",""),"%%c","t"),"ø","t"),"φ","t"),"f","t"),"d","t")</f>
        <v/>
      </c>
      <c r="I110">
        <f>SUBSTITUTE(SUBSTITUTE(SUBSTITUTE(SUBSTITUTE(SUBSTITUTE(SUBSTITUTE(LOWER(IF(ISNUMBER(FIND(";",I19)),MID(I19,FIND(";",I19)+1,99),I19))," ",""),"%%c","t"),"ø","t"),"φ","t"),"f","t"),"d","t")</f>
        <v/>
      </c>
      <c r="J110">
        <f>SUBSTITUTE(SUBSTITUTE(SUBSTITUTE(SUBSTITUTE(SUBSTITUTE(SUBSTITUTE(LOWER(IF(ISNUMBER(FIND(";",J19)),MID(J19,FIND(";",J19)+1,99),J19))," ",""),"%%c","t"),"ø","t"),"φ","t"),"f","t"),"d","t")</f>
        <v/>
      </c>
      <c r="K110">
        <f>SUBSTITUTE(SUBSTITUTE(SUBSTITUTE(SUBSTITUTE(SUBSTITUTE(SUBSTITUTE(LOWER(IF(ISNUMBER(FIND(";",K19)),MID(K19,FIND(";",K19)+1,99),K19))," ",""),"%%c","t"),"ø","t"),"φ","t"),"f","t"),"d","t")</f>
        <v/>
      </c>
      <c r="L110">
        <f>SUBSTITUTE(SUBSTITUTE(SUBSTITUTE(SUBSTITUTE(SUBSTITUTE(SUBSTITUTE(LOWER(IF(ISNUMBER(FIND(";",L19)),MID(L19,FIND(";",L19)+1,99),L19))," ",""),"%%c","t"),"ø","t"),"φ","t"),"f","t"),"d","t")</f>
        <v/>
      </c>
      <c r="M110">
        <f>SUBSTITUTE(SUBSTITUTE(SUBSTITUTE(SUBSTITUTE(SUBSTITUTE(SUBSTITUTE(LOWER(IF(ISNUMBER(FIND(";",M19)),MID(M19,FIND(";",M19)+1,99),M19))," ",""),"%%c","t"),"ø","t"),"φ","t"),"f","t"),"d","t")</f>
        <v/>
      </c>
      <c r="N110">
        <f>SUBSTITUTE(SUBSTITUTE(SUBSTITUTE(SUBSTITUTE(SUBSTITUTE(SUBSTITUTE(LOWER(IF(ISNUMBER(FIND(";",N19)),MID(N19,FIND(";",N19)+1,99),N19))," ",""),"%%c","t"),"ø","t"),"φ","t"),"f","t"),"d","t")</f>
        <v/>
      </c>
      <c r="O110">
        <f>SUBSTITUTE(SUBSTITUTE(SUBSTITUTE(SUBSTITUTE(SUBSTITUTE(SUBSTITUTE(LOWER(IF(ISNUMBER(FIND(";",O19)),MID(O19,FIND(";",O19)+1,99),O19))," ",""),"%%c","t"),"ø","t"),"φ","t"),"f","t"),"d","t")</f>
        <v/>
      </c>
      <c r="P110">
        <f>SUBSTITUTE(SUBSTITUTE(SUBSTITUTE(SUBSTITUTE(SUBSTITUTE(SUBSTITUTE(LOWER(IF(ISNUMBER(FIND(";",P19)),MID(P19,FIND(";",P19)+1,99),P19))," ",""),"%%c","t"),"ø","t"),"φ","t"),"f","t"),"d","t")</f>
        <v/>
      </c>
      <c r="Q110">
        <f>SUBSTITUTE(SUBSTITUTE(SUBSTITUTE(SUBSTITUTE(SUBSTITUTE(SUBSTITUTE(LOWER(IF(ISNUMBER(FIND(";",Q19)),MID(Q19,FIND(";",Q19)+1,99),Q19))," ",""),"%%c","t"),"ø","t"),"φ","t"),"f","t"),"d","t")</f>
        <v/>
      </c>
      <c r="R110">
        <f>SUBSTITUTE(SUBSTITUTE(SUBSTITUTE(SUBSTITUTE(SUBSTITUTE(SUBSTITUTE(LOWER(IF(ISNUMBER(FIND(";",R19)),MID(R19,FIND(";",R19)+1,99),R19))," ",""),"%%c","t"),"ø","t"),"φ","t"),"f","t"),"d","t")</f>
        <v/>
      </c>
      <c r="S110">
        <f>SUBSTITUTE(SUBSTITUTE(SUBSTITUTE(SUBSTITUTE(SUBSTITUTE(SUBSTITUTE(LOWER(IF(ISNUMBER(FIND(";",S19)),MID(S19,FIND(";",S19)+1,99),S19))," ",""),"%%c","t"),"ø","t"),"φ","t"),"f","t"),"d","t")</f>
        <v/>
      </c>
      <c r="T110">
        <f>SUBSTITUTE(SUBSTITUTE(SUBSTITUTE(SUBSTITUTE(SUBSTITUTE(SUBSTITUTE(LOWER(IF(ISNUMBER(FIND(";",T19)),MID(T19,FIND(";",T19)+1,99),T19))," ",""),"%%c","t"),"ø","t"),"φ","t"),"f","t"),"d","t")</f>
        <v/>
      </c>
      <c r="U110">
        <f>SUBSTITUTE(SUBSTITUTE(SUBSTITUTE(SUBSTITUTE(SUBSTITUTE(SUBSTITUTE(LOWER(IF(ISNUMBER(FIND(";",U19)),MID(U19,FIND(";",U19)+1,99),U19))," ",""),"%%c","t"),"ø","t"),"φ","t"),"f","t"),"d","t")</f>
        <v/>
      </c>
      <c r="V110">
        <f>SUBSTITUTE(SUBSTITUTE(SUBSTITUTE(SUBSTITUTE(SUBSTITUTE(SUBSTITUTE(LOWER(IF(ISNUMBER(FIND(";",V19)),MID(V19,FIND(";",V19)+1,99),V19))," ",""),"%%c","t"),"ø","t"),"φ","t"),"f","t"),"d","t")</f>
        <v/>
      </c>
      <c r="W110">
        <f>SUBSTITUTE(SUBSTITUTE(SUBSTITUTE(SUBSTITUTE(SUBSTITUTE(SUBSTITUTE(LOWER(IF(ISNUMBER(FIND(";",W19)),MID(W19,FIND(";",W19)+1,99),W19))," ",""),"%%c","t"),"ø","t"),"φ","t"),"f","t"),"d","t")</f>
        <v/>
      </c>
      <c r="X110">
        <f>SUBSTITUTE(SUBSTITUTE(SUBSTITUTE(SUBSTITUTE(SUBSTITUTE(SUBSTITUTE(LOWER(IF(ISNUMBER(FIND(";",X19)),MID(X19,FIND(";",X19)+1,99),X19))," ",""),"%%c","t"),"ø","t"),"φ","t"),"f","t"),"d","t")</f>
        <v/>
      </c>
      <c r="Y110">
        <f>SUBSTITUTE(SUBSTITUTE(SUBSTITUTE(SUBSTITUTE(SUBSTITUTE(SUBSTITUTE(LOWER(IF(ISNUMBER(FIND(";",Y19)),MID(Y19,FIND(";",Y19)+1,99),Y19))," ",""),"%%c","t"),"ø","t"),"φ","t"),"f","t"),"d","t")</f>
        <v/>
      </c>
      <c r="Z110">
        <f>SUBSTITUTE(SUBSTITUTE(SUBSTITUTE(SUBSTITUTE(SUBSTITUTE(SUBSTITUTE(LOWER(IF(ISNUMBER(FIND(";",Z19)),MID(Z19,FIND(";",Z19)+1,99),Z19))," ",""),"%%c","t"),"ø","t"),"φ","t"),"f","t"),"d","t")</f>
        <v/>
      </c>
      <c r="AA110">
        <f>SUBSTITUTE(SUBSTITUTE(SUBSTITUTE(SUBSTITUTE(SUBSTITUTE(SUBSTITUTE(LOWER(IF(ISNUMBER(FIND(";",AA19)),MID(AA19,FIND(";",AA19)+1,99),AA19))," ",""),"%%c","t"),"ø","t"),"φ","t"),"f","t"),"d","t")</f>
        <v/>
      </c>
      <c r="AB110">
        <f>SUBSTITUTE(SUBSTITUTE(SUBSTITUTE(SUBSTITUTE(SUBSTITUTE(SUBSTITUTE(LOWER(IF(ISNUMBER(FIND(";",AB19)),MID(AB19,FIND(";",AB19)+1,99),AB19))," ",""),"%%c","t"),"ø","t"),"φ","t"),"f","t"),"d","t")</f>
        <v/>
      </c>
      <c r="AC110">
        <f>SUBSTITUTE(SUBSTITUTE(SUBSTITUTE(SUBSTITUTE(SUBSTITUTE(SUBSTITUTE(LOWER(IF(ISNUMBER(FIND(";",AC19)),MID(AC19,FIND(";",AC19)+1,99),AC19))," ",""),"%%c","t"),"ø","t"),"φ","t"),"f","t"),"d","t")</f>
        <v/>
      </c>
      <c r="AD110">
        <f>SUBSTITUTE(SUBSTITUTE(SUBSTITUTE(SUBSTITUTE(SUBSTITUTE(SUBSTITUTE(LOWER(IF(ISNUMBER(FIND(";",AD19)),MID(AD19,FIND(";",AD19)+1,99),AD19))," ",""),"%%c","t"),"ø","t"),"φ","t"),"f","t"),"d","t")</f>
        <v/>
      </c>
      <c r="AE110">
        <f>SUBSTITUTE(SUBSTITUTE(SUBSTITUTE(SUBSTITUTE(SUBSTITUTE(SUBSTITUTE(LOWER(IF(ISNUMBER(FIND(";",AE19)),MID(AE19,FIND(";",AE19)+1,99),AE19))," ",""),"%%c","t"),"ø","t"),"φ","t"),"f","t"),"d","t")</f>
        <v/>
      </c>
      <c r="AF110">
        <f>SUBSTITUTE(SUBSTITUTE(SUBSTITUTE(SUBSTITUTE(SUBSTITUTE(SUBSTITUTE(LOWER(IF(ISNUMBER(FIND(";",AF19)),MID(AF19,FIND(";",AF19)+1,99),AF19))," ",""),"%%c","t"),"ø","t"),"φ","t"),"f","t"),"d","t")</f>
        <v/>
      </c>
      <c r="AG110">
        <f>SUBSTITUTE(SUBSTITUTE(SUBSTITUTE(SUBSTITUTE(SUBSTITUTE(SUBSTITUTE(LOWER(IF(ISNUMBER(FIND(";",AG19)),MID(AG19,FIND(";",AG19)+1,99),AG19))," ",""),"%%c","t"),"ø","t"),"φ","t"),"f","t"),"d","t")</f>
        <v/>
      </c>
    </row>
    <row r="111" hidden="1" outlineLevel="1">
      <c r="A111" s="60" t="inlineStr">
        <is>
          <t>(phụ trợ) A_B4R</t>
        </is>
      </c>
      <c r="C111">
        <f>IFERROR(LEFT(LEFT(C110,FIND("+",C110&amp;"+")-1),FIND("t",LEFT(C110,FIND("+",C110&amp;"+")-1))-1)*MID(LEFT(C110,FIND("+",C110&amp;"+")-1),FIND("t",LEFT(C110,FIND("+",C110&amp;"+")-1))+1,2)^2*PI()/400,0)+IFERROR(LEFT(MID(C110,FIND("+",C110&amp;"+")+1,99),FIND("t",MID(C110,FIND("+",C110&amp;"+")+1,99))-1)*MID(MID(C110,FIND("+",C110&amp;"+")+1,99),FIND("t",MID(C110,FIND("+",C110&amp;"+")+1,99))+1,2)^2*PI()/400,0)</f>
        <v/>
      </c>
      <c r="D111">
        <f>IFERROR(LEFT(LEFT(D110,FIND("+",D110&amp;"+")-1),FIND("t",LEFT(D110,FIND("+",D110&amp;"+")-1))-1)*MID(LEFT(D110,FIND("+",D110&amp;"+")-1),FIND("t",LEFT(D110,FIND("+",D110&amp;"+")-1))+1,2)^2*PI()/400,0)+IFERROR(LEFT(MID(D110,FIND("+",D110&amp;"+")+1,99),FIND("t",MID(D110,FIND("+",D110&amp;"+")+1,99))-1)*MID(MID(D110,FIND("+",D110&amp;"+")+1,99),FIND("t",MID(D110,FIND("+",D110&amp;"+")+1,99))+1,2)^2*PI()/400,0)</f>
        <v/>
      </c>
      <c r="E111">
        <f>IFERROR(LEFT(LEFT(E110,FIND("+",E110&amp;"+")-1),FIND("t",LEFT(E110,FIND("+",E110&amp;"+")-1))-1)*MID(LEFT(E110,FIND("+",E110&amp;"+")-1),FIND("t",LEFT(E110,FIND("+",E110&amp;"+")-1))+1,2)^2*PI()/400,0)+IFERROR(LEFT(MID(E110,FIND("+",E110&amp;"+")+1,99),FIND("t",MID(E110,FIND("+",E110&amp;"+")+1,99))-1)*MID(MID(E110,FIND("+",E110&amp;"+")+1,99),FIND("t",MID(E110,FIND("+",E110&amp;"+")+1,99))+1,2)^2*PI()/400,0)</f>
        <v/>
      </c>
      <c r="F111">
        <f>IFERROR(LEFT(LEFT(F110,FIND("+",F110&amp;"+")-1),FIND("t",LEFT(F110,FIND("+",F110&amp;"+")-1))-1)*MID(LEFT(F110,FIND("+",F110&amp;"+")-1),FIND("t",LEFT(F110,FIND("+",F110&amp;"+")-1))+1,2)^2*PI()/400,0)+IFERROR(LEFT(MID(F110,FIND("+",F110&amp;"+")+1,99),FIND("t",MID(F110,FIND("+",F110&amp;"+")+1,99))-1)*MID(MID(F110,FIND("+",F110&amp;"+")+1,99),FIND("t",MID(F110,FIND("+",F110&amp;"+")+1,99))+1,2)^2*PI()/400,0)</f>
        <v/>
      </c>
      <c r="G111">
        <f>IFERROR(LEFT(LEFT(G110,FIND("+",G110&amp;"+")-1),FIND("t",LEFT(G110,FIND("+",G110&amp;"+")-1))-1)*MID(LEFT(G110,FIND("+",G110&amp;"+")-1),FIND("t",LEFT(G110,FIND("+",G110&amp;"+")-1))+1,2)^2*PI()/400,0)+IFERROR(LEFT(MID(G110,FIND("+",G110&amp;"+")+1,99),FIND("t",MID(G110,FIND("+",G110&amp;"+")+1,99))-1)*MID(MID(G110,FIND("+",G110&amp;"+")+1,99),FIND("t",MID(G110,FIND("+",G110&amp;"+")+1,99))+1,2)^2*PI()/400,0)</f>
        <v/>
      </c>
      <c r="H111">
        <f>IFERROR(LEFT(LEFT(H110,FIND("+",H110&amp;"+")-1),FIND("t",LEFT(H110,FIND("+",H110&amp;"+")-1))-1)*MID(LEFT(H110,FIND("+",H110&amp;"+")-1),FIND("t",LEFT(H110,FIND("+",H110&amp;"+")-1))+1,2)^2*PI()/400,0)+IFERROR(LEFT(MID(H110,FIND("+",H110&amp;"+")+1,99),FIND("t",MID(H110,FIND("+",H110&amp;"+")+1,99))-1)*MID(MID(H110,FIND("+",H110&amp;"+")+1,99),FIND("t",MID(H110,FIND("+",H110&amp;"+")+1,99))+1,2)^2*PI()/400,0)</f>
        <v/>
      </c>
      <c r="I111">
        <f>IFERROR(LEFT(LEFT(I110,FIND("+",I110&amp;"+")-1),FIND("t",LEFT(I110,FIND("+",I110&amp;"+")-1))-1)*MID(LEFT(I110,FIND("+",I110&amp;"+")-1),FIND("t",LEFT(I110,FIND("+",I110&amp;"+")-1))+1,2)^2*PI()/400,0)+IFERROR(LEFT(MID(I110,FIND("+",I110&amp;"+")+1,99),FIND("t",MID(I110,FIND("+",I110&amp;"+")+1,99))-1)*MID(MID(I110,FIND("+",I110&amp;"+")+1,99),FIND("t",MID(I110,FIND("+",I110&amp;"+")+1,99))+1,2)^2*PI()/400,0)</f>
        <v/>
      </c>
      <c r="J111">
        <f>IFERROR(LEFT(LEFT(J110,FIND("+",J110&amp;"+")-1),FIND("t",LEFT(J110,FIND("+",J110&amp;"+")-1))-1)*MID(LEFT(J110,FIND("+",J110&amp;"+")-1),FIND("t",LEFT(J110,FIND("+",J110&amp;"+")-1))+1,2)^2*PI()/400,0)+IFERROR(LEFT(MID(J110,FIND("+",J110&amp;"+")+1,99),FIND("t",MID(J110,FIND("+",J110&amp;"+")+1,99))-1)*MID(MID(J110,FIND("+",J110&amp;"+")+1,99),FIND("t",MID(J110,FIND("+",J110&amp;"+")+1,99))+1,2)^2*PI()/400,0)</f>
        <v/>
      </c>
      <c r="K111">
        <f>IFERROR(LEFT(LEFT(K110,FIND("+",K110&amp;"+")-1),FIND("t",LEFT(K110,FIND("+",K110&amp;"+")-1))-1)*MID(LEFT(K110,FIND("+",K110&amp;"+")-1),FIND("t",LEFT(K110,FIND("+",K110&amp;"+")-1))+1,2)^2*PI()/400,0)+IFERROR(LEFT(MID(K110,FIND("+",K110&amp;"+")+1,99),FIND("t",MID(K110,FIND("+",K110&amp;"+")+1,99))-1)*MID(MID(K110,FIND("+",K110&amp;"+")+1,99),FIND("t",MID(K110,FIND("+",K110&amp;"+")+1,99))+1,2)^2*PI()/400,0)</f>
        <v/>
      </c>
      <c r="L111">
        <f>IFERROR(LEFT(LEFT(L110,FIND("+",L110&amp;"+")-1),FIND("t",LEFT(L110,FIND("+",L110&amp;"+")-1))-1)*MID(LEFT(L110,FIND("+",L110&amp;"+")-1),FIND("t",LEFT(L110,FIND("+",L110&amp;"+")-1))+1,2)^2*PI()/400,0)+IFERROR(LEFT(MID(L110,FIND("+",L110&amp;"+")+1,99),FIND("t",MID(L110,FIND("+",L110&amp;"+")+1,99))-1)*MID(MID(L110,FIND("+",L110&amp;"+")+1,99),FIND("t",MID(L110,FIND("+",L110&amp;"+")+1,99))+1,2)^2*PI()/400,0)</f>
        <v/>
      </c>
      <c r="M111">
        <f>IFERROR(LEFT(LEFT(M110,FIND("+",M110&amp;"+")-1),FIND("t",LEFT(M110,FIND("+",M110&amp;"+")-1))-1)*MID(LEFT(M110,FIND("+",M110&amp;"+")-1),FIND("t",LEFT(M110,FIND("+",M110&amp;"+")-1))+1,2)^2*PI()/400,0)+IFERROR(LEFT(MID(M110,FIND("+",M110&amp;"+")+1,99),FIND("t",MID(M110,FIND("+",M110&amp;"+")+1,99))-1)*MID(MID(M110,FIND("+",M110&amp;"+")+1,99),FIND("t",MID(M110,FIND("+",M110&amp;"+")+1,99))+1,2)^2*PI()/400,0)</f>
        <v/>
      </c>
      <c r="N111">
        <f>IFERROR(LEFT(LEFT(N110,FIND("+",N110&amp;"+")-1),FIND("t",LEFT(N110,FIND("+",N110&amp;"+")-1))-1)*MID(LEFT(N110,FIND("+",N110&amp;"+")-1),FIND("t",LEFT(N110,FIND("+",N110&amp;"+")-1))+1,2)^2*PI()/400,0)+IFERROR(LEFT(MID(N110,FIND("+",N110&amp;"+")+1,99),FIND("t",MID(N110,FIND("+",N110&amp;"+")+1,99))-1)*MID(MID(N110,FIND("+",N110&amp;"+")+1,99),FIND("t",MID(N110,FIND("+",N110&amp;"+")+1,99))+1,2)^2*PI()/400,0)</f>
        <v/>
      </c>
      <c r="O111">
        <f>IFERROR(LEFT(LEFT(O110,FIND("+",O110&amp;"+")-1),FIND("t",LEFT(O110,FIND("+",O110&amp;"+")-1))-1)*MID(LEFT(O110,FIND("+",O110&amp;"+")-1),FIND("t",LEFT(O110,FIND("+",O110&amp;"+")-1))+1,2)^2*PI()/400,0)+IFERROR(LEFT(MID(O110,FIND("+",O110&amp;"+")+1,99),FIND("t",MID(O110,FIND("+",O110&amp;"+")+1,99))-1)*MID(MID(O110,FIND("+",O110&amp;"+")+1,99),FIND("t",MID(O110,FIND("+",O110&amp;"+")+1,99))+1,2)^2*PI()/400,0)</f>
        <v/>
      </c>
      <c r="P111">
        <f>IFERROR(LEFT(LEFT(P110,FIND("+",P110&amp;"+")-1),FIND("t",LEFT(P110,FIND("+",P110&amp;"+")-1))-1)*MID(LEFT(P110,FIND("+",P110&amp;"+")-1),FIND("t",LEFT(P110,FIND("+",P110&amp;"+")-1))+1,2)^2*PI()/400,0)+IFERROR(LEFT(MID(P110,FIND("+",P110&amp;"+")+1,99),FIND("t",MID(P110,FIND("+",P110&amp;"+")+1,99))-1)*MID(MID(P110,FIND("+",P110&amp;"+")+1,99),FIND("t",MID(P110,FIND("+",P110&amp;"+")+1,99))+1,2)^2*PI()/400,0)</f>
        <v/>
      </c>
      <c r="Q111">
        <f>IFERROR(LEFT(LEFT(Q110,FIND("+",Q110&amp;"+")-1),FIND("t",LEFT(Q110,FIND("+",Q110&amp;"+")-1))-1)*MID(LEFT(Q110,FIND("+",Q110&amp;"+")-1),FIND("t",LEFT(Q110,FIND("+",Q110&amp;"+")-1))+1,2)^2*PI()/400,0)+IFERROR(LEFT(MID(Q110,FIND("+",Q110&amp;"+")+1,99),FIND("t",MID(Q110,FIND("+",Q110&amp;"+")+1,99))-1)*MID(MID(Q110,FIND("+",Q110&amp;"+")+1,99),FIND("t",MID(Q110,FIND("+",Q110&amp;"+")+1,99))+1,2)^2*PI()/400,0)</f>
        <v/>
      </c>
      <c r="R111">
        <f>IFERROR(LEFT(LEFT(R110,FIND("+",R110&amp;"+")-1),FIND("t",LEFT(R110,FIND("+",R110&amp;"+")-1))-1)*MID(LEFT(R110,FIND("+",R110&amp;"+")-1),FIND("t",LEFT(R110,FIND("+",R110&amp;"+")-1))+1,2)^2*PI()/400,0)+IFERROR(LEFT(MID(R110,FIND("+",R110&amp;"+")+1,99),FIND("t",MID(R110,FIND("+",R110&amp;"+")+1,99))-1)*MID(MID(R110,FIND("+",R110&amp;"+")+1,99),FIND("t",MID(R110,FIND("+",R110&amp;"+")+1,99))+1,2)^2*PI()/400,0)</f>
        <v/>
      </c>
      <c r="S111">
        <f>IFERROR(LEFT(LEFT(S110,FIND("+",S110&amp;"+")-1),FIND("t",LEFT(S110,FIND("+",S110&amp;"+")-1))-1)*MID(LEFT(S110,FIND("+",S110&amp;"+")-1),FIND("t",LEFT(S110,FIND("+",S110&amp;"+")-1))+1,2)^2*PI()/400,0)+IFERROR(LEFT(MID(S110,FIND("+",S110&amp;"+")+1,99),FIND("t",MID(S110,FIND("+",S110&amp;"+")+1,99))-1)*MID(MID(S110,FIND("+",S110&amp;"+")+1,99),FIND("t",MID(S110,FIND("+",S110&amp;"+")+1,99))+1,2)^2*PI()/400,0)</f>
        <v/>
      </c>
      <c r="T111">
        <f>IFERROR(LEFT(LEFT(T110,FIND("+",T110&amp;"+")-1),FIND("t",LEFT(T110,FIND("+",T110&amp;"+")-1))-1)*MID(LEFT(T110,FIND("+",T110&amp;"+")-1),FIND("t",LEFT(T110,FIND("+",T110&amp;"+")-1))+1,2)^2*PI()/400,0)+IFERROR(LEFT(MID(T110,FIND("+",T110&amp;"+")+1,99),FIND("t",MID(T110,FIND("+",T110&amp;"+")+1,99))-1)*MID(MID(T110,FIND("+",T110&amp;"+")+1,99),FIND("t",MID(T110,FIND("+",T110&amp;"+")+1,99))+1,2)^2*PI()/400,0)</f>
        <v/>
      </c>
      <c r="U111">
        <f>IFERROR(LEFT(LEFT(U110,FIND("+",U110&amp;"+")-1),FIND("t",LEFT(U110,FIND("+",U110&amp;"+")-1))-1)*MID(LEFT(U110,FIND("+",U110&amp;"+")-1),FIND("t",LEFT(U110,FIND("+",U110&amp;"+")-1))+1,2)^2*PI()/400,0)+IFERROR(LEFT(MID(U110,FIND("+",U110&amp;"+")+1,99),FIND("t",MID(U110,FIND("+",U110&amp;"+")+1,99))-1)*MID(MID(U110,FIND("+",U110&amp;"+")+1,99),FIND("t",MID(U110,FIND("+",U110&amp;"+")+1,99))+1,2)^2*PI()/400,0)</f>
        <v/>
      </c>
      <c r="V111">
        <f>IFERROR(LEFT(LEFT(V110,FIND("+",V110&amp;"+")-1),FIND("t",LEFT(V110,FIND("+",V110&amp;"+")-1))-1)*MID(LEFT(V110,FIND("+",V110&amp;"+")-1),FIND("t",LEFT(V110,FIND("+",V110&amp;"+")-1))+1,2)^2*PI()/400,0)+IFERROR(LEFT(MID(V110,FIND("+",V110&amp;"+")+1,99),FIND("t",MID(V110,FIND("+",V110&amp;"+")+1,99))-1)*MID(MID(V110,FIND("+",V110&amp;"+")+1,99),FIND("t",MID(V110,FIND("+",V110&amp;"+")+1,99))+1,2)^2*PI()/400,0)</f>
        <v/>
      </c>
      <c r="W111">
        <f>IFERROR(LEFT(LEFT(W110,FIND("+",W110&amp;"+")-1),FIND("t",LEFT(W110,FIND("+",W110&amp;"+")-1))-1)*MID(LEFT(W110,FIND("+",W110&amp;"+")-1),FIND("t",LEFT(W110,FIND("+",W110&amp;"+")-1))+1,2)^2*PI()/400,0)+IFERROR(LEFT(MID(W110,FIND("+",W110&amp;"+")+1,99),FIND("t",MID(W110,FIND("+",W110&amp;"+")+1,99))-1)*MID(MID(W110,FIND("+",W110&amp;"+")+1,99),FIND("t",MID(W110,FIND("+",W110&amp;"+")+1,99))+1,2)^2*PI()/400,0)</f>
        <v/>
      </c>
      <c r="X111">
        <f>IFERROR(LEFT(LEFT(X110,FIND("+",X110&amp;"+")-1),FIND("t",LEFT(X110,FIND("+",X110&amp;"+")-1))-1)*MID(LEFT(X110,FIND("+",X110&amp;"+")-1),FIND("t",LEFT(X110,FIND("+",X110&amp;"+")-1))+1,2)^2*PI()/400,0)+IFERROR(LEFT(MID(X110,FIND("+",X110&amp;"+")+1,99),FIND("t",MID(X110,FIND("+",X110&amp;"+")+1,99))-1)*MID(MID(X110,FIND("+",X110&amp;"+")+1,99),FIND("t",MID(X110,FIND("+",X110&amp;"+")+1,99))+1,2)^2*PI()/400,0)</f>
        <v/>
      </c>
      <c r="Y111">
        <f>IFERROR(LEFT(LEFT(Y110,FIND("+",Y110&amp;"+")-1),FIND("t",LEFT(Y110,FIND("+",Y110&amp;"+")-1))-1)*MID(LEFT(Y110,FIND("+",Y110&amp;"+")-1),FIND("t",LEFT(Y110,FIND("+",Y110&amp;"+")-1))+1,2)^2*PI()/400,0)+IFERROR(LEFT(MID(Y110,FIND("+",Y110&amp;"+")+1,99),FIND("t",MID(Y110,FIND("+",Y110&amp;"+")+1,99))-1)*MID(MID(Y110,FIND("+",Y110&amp;"+")+1,99),FIND("t",MID(Y110,FIND("+",Y110&amp;"+")+1,99))+1,2)^2*PI()/400,0)</f>
        <v/>
      </c>
      <c r="Z111">
        <f>IFERROR(LEFT(LEFT(Z110,FIND("+",Z110&amp;"+")-1),FIND("t",LEFT(Z110,FIND("+",Z110&amp;"+")-1))-1)*MID(LEFT(Z110,FIND("+",Z110&amp;"+")-1),FIND("t",LEFT(Z110,FIND("+",Z110&amp;"+")-1))+1,2)^2*PI()/400,0)+IFERROR(LEFT(MID(Z110,FIND("+",Z110&amp;"+")+1,99),FIND("t",MID(Z110,FIND("+",Z110&amp;"+")+1,99))-1)*MID(MID(Z110,FIND("+",Z110&amp;"+")+1,99),FIND("t",MID(Z110,FIND("+",Z110&amp;"+")+1,99))+1,2)^2*PI()/400,0)</f>
        <v/>
      </c>
      <c r="AA111">
        <f>IFERROR(LEFT(LEFT(AA110,FIND("+",AA110&amp;"+")-1),FIND("t",LEFT(AA110,FIND("+",AA110&amp;"+")-1))-1)*MID(LEFT(AA110,FIND("+",AA110&amp;"+")-1),FIND("t",LEFT(AA110,FIND("+",AA110&amp;"+")-1))+1,2)^2*PI()/400,0)+IFERROR(LEFT(MID(AA110,FIND("+",AA110&amp;"+")+1,99),FIND("t",MID(AA110,FIND("+",AA110&amp;"+")+1,99))-1)*MID(MID(AA110,FIND("+",AA110&amp;"+")+1,99),FIND("t",MID(AA110,FIND("+",AA110&amp;"+")+1,99))+1,2)^2*PI()/400,0)</f>
        <v/>
      </c>
      <c r="AB111">
        <f>IFERROR(LEFT(LEFT(AB110,FIND("+",AB110&amp;"+")-1),FIND("t",LEFT(AB110,FIND("+",AB110&amp;"+")-1))-1)*MID(LEFT(AB110,FIND("+",AB110&amp;"+")-1),FIND("t",LEFT(AB110,FIND("+",AB110&amp;"+")-1))+1,2)^2*PI()/400,0)+IFERROR(LEFT(MID(AB110,FIND("+",AB110&amp;"+")+1,99),FIND("t",MID(AB110,FIND("+",AB110&amp;"+")+1,99))-1)*MID(MID(AB110,FIND("+",AB110&amp;"+")+1,99),FIND("t",MID(AB110,FIND("+",AB110&amp;"+")+1,99))+1,2)^2*PI()/400,0)</f>
        <v/>
      </c>
      <c r="AC111">
        <f>IFERROR(LEFT(LEFT(AC110,FIND("+",AC110&amp;"+")-1),FIND("t",LEFT(AC110,FIND("+",AC110&amp;"+")-1))-1)*MID(LEFT(AC110,FIND("+",AC110&amp;"+")-1),FIND("t",LEFT(AC110,FIND("+",AC110&amp;"+")-1))+1,2)^2*PI()/400,0)+IFERROR(LEFT(MID(AC110,FIND("+",AC110&amp;"+")+1,99),FIND("t",MID(AC110,FIND("+",AC110&amp;"+")+1,99))-1)*MID(MID(AC110,FIND("+",AC110&amp;"+")+1,99),FIND("t",MID(AC110,FIND("+",AC110&amp;"+")+1,99))+1,2)^2*PI()/400,0)</f>
        <v/>
      </c>
      <c r="AD111">
        <f>IFERROR(LEFT(LEFT(AD110,FIND("+",AD110&amp;"+")-1),FIND("t",LEFT(AD110,FIND("+",AD110&amp;"+")-1))-1)*MID(LEFT(AD110,FIND("+",AD110&amp;"+")-1),FIND("t",LEFT(AD110,FIND("+",AD110&amp;"+")-1))+1,2)^2*PI()/400,0)+IFERROR(LEFT(MID(AD110,FIND("+",AD110&amp;"+")+1,99),FIND("t",MID(AD110,FIND("+",AD110&amp;"+")+1,99))-1)*MID(MID(AD110,FIND("+",AD110&amp;"+")+1,99),FIND("t",MID(AD110,FIND("+",AD110&amp;"+")+1,99))+1,2)^2*PI()/400,0)</f>
        <v/>
      </c>
      <c r="AE111">
        <f>IFERROR(LEFT(LEFT(AE110,FIND("+",AE110&amp;"+")-1),FIND("t",LEFT(AE110,FIND("+",AE110&amp;"+")-1))-1)*MID(LEFT(AE110,FIND("+",AE110&amp;"+")-1),FIND("t",LEFT(AE110,FIND("+",AE110&amp;"+")-1))+1,2)^2*PI()/400,0)+IFERROR(LEFT(MID(AE110,FIND("+",AE110&amp;"+")+1,99),FIND("t",MID(AE110,FIND("+",AE110&amp;"+")+1,99))-1)*MID(MID(AE110,FIND("+",AE110&amp;"+")+1,99),FIND("t",MID(AE110,FIND("+",AE110&amp;"+")+1,99))+1,2)^2*PI()/400,0)</f>
        <v/>
      </c>
      <c r="AF111">
        <f>IFERROR(LEFT(LEFT(AF110,FIND("+",AF110&amp;"+")-1),FIND("t",LEFT(AF110,FIND("+",AF110&amp;"+")-1))-1)*MID(LEFT(AF110,FIND("+",AF110&amp;"+")-1),FIND("t",LEFT(AF110,FIND("+",AF110&amp;"+")-1))+1,2)^2*PI()/400,0)+IFERROR(LEFT(MID(AF110,FIND("+",AF110&amp;"+")+1,99),FIND("t",MID(AF110,FIND("+",AF110&amp;"+")+1,99))-1)*MID(MID(AF110,FIND("+",AF110&amp;"+")+1,99),FIND("t",MID(AF110,FIND("+",AF110&amp;"+")+1,99))+1,2)^2*PI()/400,0)</f>
        <v/>
      </c>
      <c r="AG111">
        <f>IFERROR(LEFT(LEFT(AG110,FIND("+",AG110&amp;"+")-1),FIND("t",LEFT(AG110,FIND("+",AG110&amp;"+")-1))-1)*MID(LEFT(AG110,FIND("+",AG110&amp;"+")-1),FIND("t",LEFT(AG110,FIND("+",AG110&amp;"+")-1))+1,2)^2*PI()/400,0)+IFERROR(LEFT(MID(AG110,FIND("+",AG110&amp;"+")+1,99),FIND("t",MID(AG110,FIND("+",AG110&amp;"+")+1,99))-1)*MID(MID(AG110,FIND("+",AG110&amp;"+")+1,99),FIND("t",MID(AG110,FIND("+",AG110&amp;"+")+1,99))+1,2)^2*PI()/400,0)</f>
        <v/>
      </c>
    </row>
    <row r="112" hidden="1" outlineLevel="1">
      <c r="A112" s="60" t="inlineStr">
        <is>
          <t>(phụ trợ) N_B5L</t>
        </is>
      </c>
      <c r="C112">
        <f>SUBSTITUTE(SUBSTITUTE(SUBSTITUTE(SUBSTITUTE(SUBSTITUTE(SUBSTITUTE(LOWER(IF(ISNUMBER(FIND(";",C18)),LEFT(C18,FIND(";",C18)-1),C18))," ",""),"%%c","t"),"ø","t"),"φ","t"),"f","t"),"d","t")</f>
        <v/>
      </c>
      <c r="D112">
        <f>SUBSTITUTE(SUBSTITUTE(SUBSTITUTE(SUBSTITUTE(SUBSTITUTE(SUBSTITUTE(LOWER(IF(ISNUMBER(FIND(";",D18)),LEFT(D18,FIND(";",D18)-1),D18))," ",""),"%%c","t"),"ø","t"),"φ","t"),"f","t"),"d","t")</f>
        <v/>
      </c>
      <c r="E112">
        <f>SUBSTITUTE(SUBSTITUTE(SUBSTITUTE(SUBSTITUTE(SUBSTITUTE(SUBSTITUTE(LOWER(IF(ISNUMBER(FIND(";",E18)),LEFT(E18,FIND(";",E18)-1),E18))," ",""),"%%c","t"),"ø","t"),"φ","t"),"f","t"),"d","t")</f>
        <v/>
      </c>
      <c r="F112">
        <f>SUBSTITUTE(SUBSTITUTE(SUBSTITUTE(SUBSTITUTE(SUBSTITUTE(SUBSTITUTE(LOWER(IF(ISNUMBER(FIND(";",F18)),LEFT(F18,FIND(";",F18)-1),F18))," ",""),"%%c","t"),"ø","t"),"φ","t"),"f","t"),"d","t")</f>
        <v/>
      </c>
      <c r="G112">
        <f>SUBSTITUTE(SUBSTITUTE(SUBSTITUTE(SUBSTITUTE(SUBSTITUTE(SUBSTITUTE(LOWER(IF(ISNUMBER(FIND(";",G18)),LEFT(G18,FIND(";",G18)-1),G18))," ",""),"%%c","t"),"ø","t"),"φ","t"),"f","t"),"d","t")</f>
        <v/>
      </c>
      <c r="H112">
        <f>SUBSTITUTE(SUBSTITUTE(SUBSTITUTE(SUBSTITUTE(SUBSTITUTE(SUBSTITUTE(LOWER(IF(ISNUMBER(FIND(";",H18)),LEFT(H18,FIND(";",H18)-1),H18))," ",""),"%%c","t"),"ø","t"),"φ","t"),"f","t"),"d","t")</f>
        <v/>
      </c>
      <c r="I112">
        <f>SUBSTITUTE(SUBSTITUTE(SUBSTITUTE(SUBSTITUTE(SUBSTITUTE(SUBSTITUTE(LOWER(IF(ISNUMBER(FIND(";",I18)),LEFT(I18,FIND(";",I18)-1),I18))," ",""),"%%c","t"),"ø","t"),"φ","t"),"f","t"),"d","t")</f>
        <v/>
      </c>
      <c r="J112">
        <f>SUBSTITUTE(SUBSTITUTE(SUBSTITUTE(SUBSTITUTE(SUBSTITUTE(SUBSTITUTE(LOWER(IF(ISNUMBER(FIND(";",J18)),LEFT(J18,FIND(";",J18)-1),J18))," ",""),"%%c","t"),"ø","t"),"φ","t"),"f","t"),"d","t")</f>
        <v/>
      </c>
      <c r="K112">
        <f>SUBSTITUTE(SUBSTITUTE(SUBSTITUTE(SUBSTITUTE(SUBSTITUTE(SUBSTITUTE(LOWER(IF(ISNUMBER(FIND(";",K18)),LEFT(K18,FIND(";",K18)-1),K18))," ",""),"%%c","t"),"ø","t"),"φ","t"),"f","t"),"d","t")</f>
        <v/>
      </c>
      <c r="L112">
        <f>SUBSTITUTE(SUBSTITUTE(SUBSTITUTE(SUBSTITUTE(SUBSTITUTE(SUBSTITUTE(LOWER(IF(ISNUMBER(FIND(";",L18)),LEFT(L18,FIND(";",L18)-1),L18))," ",""),"%%c","t"),"ø","t"),"φ","t"),"f","t"),"d","t")</f>
        <v/>
      </c>
      <c r="M112">
        <f>SUBSTITUTE(SUBSTITUTE(SUBSTITUTE(SUBSTITUTE(SUBSTITUTE(SUBSTITUTE(LOWER(IF(ISNUMBER(FIND(";",M18)),LEFT(M18,FIND(";",M18)-1),M18))," ",""),"%%c","t"),"ø","t"),"φ","t"),"f","t"),"d","t")</f>
        <v/>
      </c>
      <c r="N112">
        <f>SUBSTITUTE(SUBSTITUTE(SUBSTITUTE(SUBSTITUTE(SUBSTITUTE(SUBSTITUTE(LOWER(IF(ISNUMBER(FIND(";",N18)),LEFT(N18,FIND(";",N18)-1),N18))," ",""),"%%c","t"),"ø","t"),"φ","t"),"f","t"),"d","t")</f>
        <v/>
      </c>
      <c r="O112">
        <f>SUBSTITUTE(SUBSTITUTE(SUBSTITUTE(SUBSTITUTE(SUBSTITUTE(SUBSTITUTE(LOWER(IF(ISNUMBER(FIND(";",O18)),LEFT(O18,FIND(";",O18)-1),O18))," ",""),"%%c","t"),"ø","t"),"φ","t"),"f","t"),"d","t")</f>
        <v/>
      </c>
      <c r="P112">
        <f>SUBSTITUTE(SUBSTITUTE(SUBSTITUTE(SUBSTITUTE(SUBSTITUTE(SUBSTITUTE(LOWER(IF(ISNUMBER(FIND(";",P18)),LEFT(P18,FIND(";",P18)-1),P18))," ",""),"%%c","t"),"ø","t"),"φ","t"),"f","t"),"d","t")</f>
        <v/>
      </c>
      <c r="Q112">
        <f>SUBSTITUTE(SUBSTITUTE(SUBSTITUTE(SUBSTITUTE(SUBSTITUTE(SUBSTITUTE(LOWER(IF(ISNUMBER(FIND(";",Q18)),LEFT(Q18,FIND(";",Q18)-1),Q18))," ",""),"%%c","t"),"ø","t"),"φ","t"),"f","t"),"d","t")</f>
        <v/>
      </c>
      <c r="R112">
        <f>SUBSTITUTE(SUBSTITUTE(SUBSTITUTE(SUBSTITUTE(SUBSTITUTE(SUBSTITUTE(LOWER(IF(ISNUMBER(FIND(";",R18)),LEFT(R18,FIND(";",R18)-1),R18))," ",""),"%%c","t"),"ø","t"),"φ","t"),"f","t"),"d","t")</f>
        <v/>
      </c>
      <c r="S112">
        <f>SUBSTITUTE(SUBSTITUTE(SUBSTITUTE(SUBSTITUTE(SUBSTITUTE(SUBSTITUTE(LOWER(IF(ISNUMBER(FIND(";",S18)),LEFT(S18,FIND(";",S18)-1),S18))," ",""),"%%c","t"),"ø","t"),"φ","t"),"f","t"),"d","t")</f>
        <v/>
      </c>
      <c r="T112">
        <f>SUBSTITUTE(SUBSTITUTE(SUBSTITUTE(SUBSTITUTE(SUBSTITUTE(SUBSTITUTE(LOWER(IF(ISNUMBER(FIND(";",T18)),LEFT(T18,FIND(";",T18)-1),T18))," ",""),"%%c","t"),"ø","t"),"φ","t"),"f","t"),"d","t")</f>
        <v/>
      </c>
      <c r="U112">
        <f>SUBSTITUTE(SUBSTITUTE(SUBSTITUTE(SUBSTITUTE(SUBSTITUTE(SUBSTITUTE(LOWER(IF(ISNUMBER(FIND(";",U18)),LEFT(U18,FIND(";",U18)-1),U18))," ",""),"%%c","t"),"ø","t"),"φ","t"),"f","t"),"d","t")</f>
        <v/>
      </c>
      <c r="V112">
        <f>SUBSTITUTE(SUBSTITUTE(SUBSTITUTE(SUBSTITUTE(SUBSTITUTE(SUBSTITUTE(LOWER(IF(ISNUMBER(FIND(";",V18)),LEFT(V18,FIND(";",V18)-1),V18))," ",""),"%%c","t"),"ø","t"),"φ","t"),"f","t"),"d","t")</f>
        <v/>
      </c>
      <c r="W112">
        <f>SUBSTITUTE(SUBSTITUTE(SUBSTITUTE(SUBSTITUTE(SUBSTITUTE(SUBSTITUTE(LOWER(IF(ISNUMBER(FIND(";",W18)),LEFT(W18,FIND(";",W18)-1),W18))," ",""),"%%c","t"),"ø","t"),"φ","t"),"f","t"),"d","t")</f>
        <v/>
      </c>
      <c r="X112">
        <f>SUBSTITUTE(SUBSTITUTE(SUBSTITUTE(SUBSTITUTE(SUBSTITUTE(SUBSTITUTE(LOWER(IF(ISNUMBER(FIND(";",X18)),LEFT(X18,FIND(";",X18)-1),X18))," ",""),"%%c","t"),"ø","t"),"φ","t"),"f","t"),"d","t")</f>
        <v/>
      </c>
      <c r="Y112">
        <f>SUBSTITUTE(SUBSTITUTE(SUBSTITUTE(SUBSTITUTE(SUBSTITUTE(SUBSTITUTE(LOWER(IF(ISNUMBER(FIND(";",Y18)),LEFT(Y18,FIND(";",Y18)-1),Y18))," ",""),"%%c","t"),"ø","t"),"φ","t"),"f","t"),"d","t")</f>
        <v/>
      </c>
      <c r="Z112">
        <f>SUBSTITUTE(SUBSTITUTE(SUBSTITUTE(SUBSTITUTE(SUBSTITUTE(SUBSTITUTE(LOWER(IF(ISNUMBER(FIND(";",Z18)),LEFT(Z18,FIND(";",Z18)-1),Z18))," ",""),"%%c","t"),"ø","t"),"φ","t"),"f","t"),"d","t")</f>
        <v/>
      </c>
      <c r="AA112">
        <f>SUBSTITUTE(SUBSTITUTE(SUBSTITUTE(SUBSTITUTE(SUBSTITUTE(SUBSTITUTE(LOWER(IF(ISNUMBER(FIND(";",AA18)),LEFT(AA18,FIND(";",AA18)-1),AA18))," ",""),"%%c","t"),"ø","t"),"φ","t"),"f","t"),"d","t")</f>
        <v/>
      </c>
      <c r="AB112">
        <f>SUBSTITUTE(SUBSTITUTE(SUBSTITUTE(SUBSTITUTE(SUBSTITUTE(SUBSTITUTE(LOWER(IF(ISNUMBER(FIND(";",AB18)),LEFT(AB18,FIND(";",AB18)-1),AB18))," ",""),"%%c","t"),"ø","t"),"φ","t"),"f","t"),"d","t")</f>
        <v/>
      </c>
      <c r="AC112">
        <f>SUBSTITUTE(SUBSTITUTE(SUBSTITUTE(SUBSTITUTE(SUBSTITUTE(SUBSTITUTE(LOWER(IF(ISNUMBER(FIND(";",AC18)),LEFT(AC18,FIND(";",AC18)-1),AC18))," ",""),"%%c","t"),"ø","t"),"φ","t"),"f","t"),"d","t")</f>
        <v/>
      </c>
      <c r="AD112">
        <f>SUBSTITUTE(SUBSTITUTE(SUBSTITUTE(SUBSTITUTE(SUBSTITUTE(SUBSTITUTE(LOWER(IF(ISNUMBER(FIND(";",AD18)),LEFT(AD18,FIND(";",AD18)-1),AD18))," ",""),"%%c","t"),"ø","t"),"φ","t"),"f","t"),"d","t")</f>
        <v/>
      </c>
      <c r="AE112">
        <f>SUBSTITUTE(SUBSTITUTE(SUBSTITUTE(SUBSTITUTE(SUBSTITUTE(SUBSTITUTE(LOWER(IF(ISNUMBER(FIND(";",AE18)),LEFT(AE18,FIND(";",AE18)-1),AE18))," ",""),"%%c","t"),"ø","t"),"φ","t"),"f","t"),"d","t")</f>
        <v/>
      </c>
      <c r="AF112">
        <f>SUBSTITUTE(SUBSTITUTE(SUBSTITUTE(SUBSTITUTE(SUBSTITUTE(SUBSTITUTE(LOWER(IF(ISNUMBER(FIND(";",AF18)),LEFT(AF18,FIND(";",AF18)-1),AF18))," ",""),"%%c","t"),"ø","t"),"φ","t"),"f","t"),"d","t")</f>
        <v/>
      </c>
      <c r="AG112">
        <f>SUBSTITUTE(SUBSTITUTE(SUBSTITUTE(SUBSTITUTE(SUBSTITUTE(SUBSTITUTE(LOWER(IF(ISNUMBER(FIND(";",AG18)),LEFT(AG18,FIND(";",AG18)-1),AG18))," ",""),"%%c","t"),"ø","t"),"φ","t"),"f","t"),"d","t")</f>
        <v/>
      </c>
    </row>
    <row r="113" hidden="1" outlineLevel="1">
      <c r="A113" s="60" t="inlineStr">
        <is>
          <t>(phụ trợ) A_B5L</t>
        </is>
      </c>
      <c r="C113">
        <f>IFERROR(LEFT(LEFT(C112,FIND("+",C112&amp;"+")-1),FIND("t",LEFT(C112,FIND("+",C112&amp;"+")-1))-1)*MID(LEFT(C112,FIND("+",C112&amp;"+")-1),FIND("t",LEFT(C112,FIND("+",C112&amp;"+")-1))+1,2)^2*PI()/400,0)+IFERROR(LEFT(MID(C112,FIND("+",C112&amp;"+")+1,99),FIND("t",MID(C112,FIND("+",C112&amp;"+")+1,99))-1)*MID(MID(C112,FIND("+",C112&amp;"+")+1,99),FIND("t",MID(C112,FIND("+",C112&amp;"+")+1,99))+1,2)^2*PI()/400,0)</f>
        <v/>
      </c>
      <c r="D113">
        <f>IFERROR(LEFT(LEFT(D112,FIND("+",D112&amp;"+")-1),FIND("t",LEFT(D112,FIND("+",D112&amp;"+")-1))-1)*MID(LEFT(D112,FIND("+",D112&amp;"+")-1),FIND("t",LEFT(D112,FIND("+",D112&amp;"+")-1))+1,2)^2*PI()/400,0)+IFERROR(LEFT(MID(D112,FIND("+",D112&amp;"+")+1,99),FIND("t",MID(D112,FIND("+",D112&amp;"+")+1,99))-1)*MID(MID(D112,FIND("+",D112&amp;"+")+1,99),FIND("t",MID(D112,FIND("+",D112&amp;"+")+1,99))+1,2)^2*PI()/400,0)</f>
        <v/>
      </c>
      <c r="E113">
        <f>IFERROR(LEFT(LEFT(E112,FIND("+",E112&amp;"+")-1),FIND("t",LEFT(E112,FIND("+",E112&amp;"+")-1))-1)*MID(LEFT(E112,FIND("+",E112&amp;"+")-1),FIND("t",LEFT(E112,FIND("+",E112&amp;"+")-1))+1,2)^2*PI()/400,0)+IFERROR(LEFT(MID(E112,FIND("+",E112&amp;"+")+1,99),FIND("t",MID(E112,FIND("+",E112&amp;"+")+1,99))-1)*MID(MID(E112,FIND("+",E112&amp;"+")+1,99),FIND("t",MID(E112,FIND("+",E112&amp;"+")+1,99))+1,2)^2*PI()/400,0)</f>
        <v/>
      </c>
      <c r="F113">
        <f>IFERROR(LEFT(LEFT(F112,FIND("+",F112&amp;"+")-1),FIND("t",LEFT(F112,FIND("+",F112&amp;"+")-1))-1)*MID(LEFT(F112,FIND("+",F112&amp;"+")-1),FIND("t",LEFT(F112,FIND("+",F112&amp;"+")-1))+1,2)^2*PI()/400,0)+IFERROR(LEFT(MID(F112,FIND("+",F112&amp;"+")+1,99),FIND("t",MID(F112,FIND("+",F112&amp;"+")+1,99))-1)*MID(MID(F112,FIND("+",F112&amp;"+")+1,99),FIND("t",MID(F112,FIND("+",F112&amp;"+")+1,99))+1,2)^2*PI()/400,0)</f>
        <v/>
      </c>
      <c r="G113">
        <f>IFERROR(LEFT(LEFT(G112,FIND("+",G112&amp;"+")-1),FIND("t",LEFT(G112,FIND("+",G112&amp;"+")-1))-1)*MID(LEFT(G112,FIND("+",G112&amp;"+")-1),FIND("t",LEFT(G112,FIND("+",G112&amp;"+")-1))+1,2)^2*PI()/400,0)+IFERROR(LEFT(MID(G112,FIND("+",G112&amp;"+")+1,99),FIND("t",MID(G112,FIND("+",G112&amp;"+")+1,99))-1)*MID(MID(G112,FIND("+",G112&amp;"+")+1,99),FIND("t",MID(G112,FIND("+",G112&amp;"+")+1,99))+1,2)^2*PI()/400,0)</f>
        <v/>
      </c>
      <c r="H113">
        <f>IFERROR(LEFT(LEFT(H112,FIND("+",H112&amp;"+")-1),FIND("t",LEFT(H112,FIND("+",H112&amp;"+")-1))-1)*MID(LEFT(H112,FIND("+",H112&amp;"+")-1),FIND("t",LEFT(H112,FIND("+",H112&amp;"+")-1))+1,2)^2*PI()/400,0)+IFERROR(LEFT(MID(H112,FIND("+",H112&amp;"+")+1,99),FIND("t",MID(H112,FIND("+",H112&amp;"+")+1,99))-1)*MID(MID(H112,FIND("+",H112&amp;"+")+1,99),FIND("t",MID(H112,FIND("+",H112&amp;"+")+1,99))+1,2)^2*PI()/400,0)</f>
        <v/>
      </c>
      <c r="I113">
        <f>IFERROR(LEFT(LEFT(I112,FIND("+",I112&amp;"+")-1),FIND("t",LEFT(I112,FIND("+",I112&amp;"+")-1))-1)*MID(LEFT(I112,FIND("+",I112&amp;"+")-1),FIND("t",LEFT(I112,FIND("+",I112&amp;"+")-1))+1,2)^2*PI()/400,0)+IFERROR(LEFT(MID(I112,FIND("+",I112&amp;"+")+1,99),FIND("t",MID(I112,FIND("+",I112&amp;"+")+1,99))-1)*MID(MID(I112,FIND("+",I112&amp;"+")+1,99),FIND("t",MID(I112,FIND("+",I112&amp;"+")+1,99))+1,2)^2*PI()/400,0)</f>
        <v/>
      </c>
      <c r="J113">
        <f>IFERROR(LEFT(LEFT(J112,FIND("+",J112&amp;"+")-1),FIND("t",LEFT(J112,FIND("+",J112&amp;"+")-1))-1)*MID(LEFT(J112,FIND("+",J112&amp;"+")-1),FIND("t",LEFT(J112,FIND("+",J112&amp;"+")-1))+1,2)^2*PI()/400,0)+IFERROR(LEFT(MID(J112,FIND("+",J112&amp;"+")+1,99),FIND("t",MID(J112,FIND("+",J112&amp;"+")+1,99))-1)*MID(MID(J112,FIND("+",J112&amp;"+")+1,99),FIND("t",MID(J112,FIND("+",J112&amp;"+")+1,99))+1,2)^2*PI()/400,0)</f>
        <v/>
      </c>
      <c r="K113">
        <f>IFERROR(LEFT(LEFT(K112,FIND("+",K112&amp;"+")-1),FIND("t",LEFT(K112,FIND("+",K112&amp;"+")-1))-1)*MID(LEFT(K112,FIND("+",K112&amp;"+")-1),FIND("t",LEFT(K112,FIND("+",K112&amp;"+")-1))+1,2)^2*PI()/400,0)+IFERROR(LEFT(MID(K112,FIND("+",K112&amp;"+")+1,99),FIND("t",MID(K112,FIND("+",K112&amp;"+")+1,99))-1)*MID(MID(K112,FIND("+",K112&amp;"+")+1,99),FIND("t",MID(K112,FIND("+",K112&amp;"+")+1,99))+1,2)^2*PI()/400,0)</f>
        <v/>
      </c>
      <c r="L113">
        <f>IFERROR(LEFT(LEFT(L112,FIND("+",L112&amp;"+")-1),FIND("t",LEFT(L112,FIND("+",L112&amp;"+")-1))-1)*MID(LEFT(L112,FIND("+",L112&amp;"+")-1),FIND("t",LEFT(L112,FIND("+",L112&amp;"+")-1))+1,2)^2*PI()/400,0)+IFERROR(LEFT(MID(L112,FIND("+",L112&amp;"+")+1,99),FIND("t",MID(L112,FIND("+",L112&amp;"+")+1,99))-1)*MID(MID(L112,FIND("+",L112&amp;"+")+1,99),FIND("t",MID(L112,FIND("+",L112&amp;"+")+1,99))+1,2)^2*PI()/400,0)</f>
        <v/>
      </c>
      <c r="M113">
        <f>IFERROR(LEFT(LEFT(M112,FIND("+",M112&amp;"+")-1),FIND("t",LEFT(M112,FIND("+",M112&amp;"+")-1))-1)*MID(LEFT(M112,FIND("+",M112&amp;"+")-1),FIND("t",LEFT(M112,FIND("+",M112&amp;"+")-1))+1,2)^2*PI()/400,0)+IFERROR(LEFT(MID(M112,FIND("+",M112&amp;"+")+1,99),FIND("t",MID(M112,FIND("+",M112&amp;"+")+1,99))-1)*MID(MID(M112,FIND("+",M112&amp;"+")+1,99),FIND("t",MID(M112,FIND("+",M112&amp;"+")+1,99))+1,2)^2*PI()/400,0)</f>
        <v/>
      </c>
      <c r="N113">
        <f>IFERROR(LEFT(LEFT(N112,FIND("+",N112&amp;"+")-1),FIND("t",LEFT(N112,FIND("+",N112&amp;"+")-1))-1)*MID(LEFT(N112,FIND("+",N112&amp;"+")-1),FIND("t",LEFT(N112,FIND("+",N112&amp;"+")-1))+1,2)^2*PI()/400,0)+IFERROR(LEFT(MID(N112,FIND("+",N112&amp;"+")+1,99),FIND("t",MID(N112,FIND("+",N112&amp;"+")+1,99))-1)*MID(MID(N112,FIND("+",N112&amp;"+")+1,99),FIND("t",MID(N112,FIND("+",N112&amp;"+")+1,99))+1,2)^2*PI()/400,0)</f>
        <v/>
      </c>
      <c r="O113">
        <f>IFERROR(LEFT(LEFT(O112,FIND("+",O112&amp;"+")-1),FIND("t",LEFT(O112,FIND("+",O112&amp;"+")-1))-1)*MID(LEFT(O112,FIND("+",O112&amp;"+")-1),FIND("t",LEFT(O112,FIND("+",O112&amp;"+")-1))+1,2)^2*PI()/400,0)+IFERROR(LEFT(MID(O112,FIND("+",O112&amp;"+")+1,99),FIND("t",MID(O112,FIND("+",O112&amp;"+")+1,99))-1)*MID(MID(O112,FIND("+",O112&amp;"+")+1,99),FIND("t",MID(O112,FIND("+",O112&amp;"+")+1,99))+1,2)^2*PI()/400,0)</f>
        <v/>
      </c>
      <c r="P113">
        <f>IFERROR(LEFT(LEFT(P112,FIND("+",P112&amp;"+")-1),FIND("t",LEFT(P112,FIND("+",P112&amp;"+")-1))-1)*MID(LEFT(P112,FIND("+",P112&amp;"+")-1),FIND("t",LEFT(P112,FIND("+",P112&amp;"+")-1))+1,2)^2*PI()/400,0)+IFERROR(LEFT(MID(P112,FIND("+",P112&amp;"+")+1,99),FIND("t",MID(P112,FIND("+",P112&amp;"+")+1,99))-1)*MID(MID(P112,FIND("+",P112&amp;"+")+1,99),FIND("t",MID(P112,FIND("+",P112&amp;"+")+1,99))+1,2)^2*PI()/400,0)</f>
        <v/>
      </c>
      <c r="Q113">
        <f>IFERROR(LEFT(LEFT(Q112,FIND("+",Q112&amp;"+")-1),FIND("t",LEFT(Q112,FIND("+",Q112&amp;"+")-1))-1)*MID(LEFT(Q112,FIND("+",Q112&amp;"+")-1),FIND("t",LEFT(Q112,FIND("+",Q112&amp;"+")-1))+1,2)^2*PI()/400,0)+IFERROR(LEFT(MID(Q112,FIND("+",Q112&amp;"+")+1,99),FIND("t",MID(Q112,FIND("+",Q112&amp;"+")+1,99))-1)*MID(MID(Q112,FIND("+",Q112&amp;"+")+1,99),FIND("t",MID(Q112,FIND("+",Q112&amp;"+")+1,99))+1,2)^2*PI()/400,0)</f>
        <v/>
      </c>
      <c r="R113">
        <f>IFERROR(LEFT(LEFT(R112,FIND("+",R112&amp;"+")-1),FIND("t",LEFT(R112,FIND("+",R112&amp;"+")-1))-1)*MID(LEFT(R112,FIND("+",R112&amp;"+")-1),FIND("t",LEFT(R112,FIND("+",R112&amp;"+")-1))+1,2)^2*PI()/400,0)+IFERROR(LEFT(MID(R112,FIND("+",R112&amp;"+")+1,99),FIND("t",MID(R112,FIND("+",R112&amp;"+")+1,99))-1)*MID(MID(R112,FIND("+",R112&amp;"+")+1,99),FIND("t",MID(R112,FIND("+",R112&amp;"+")+1,99))+1,2)^2*PI()/400,0)</f>
        <v/>
      </c>
      <c r="S113">
        <f>IFERROR(LEFT(LEFT(S112,FIND("+",S112&amp;"+")-1),FIND("t",LEFT(S112,FIND("+",S112&amp;"+")-1))-1)*MID(LEFT(S112,FIND("+",S112&amp;"+")-1),FIND("t",LEFT(S112,FIND("+",S112&amp;"+")-1))+1,2)^2*PI()/400,0)+IFERROR(LEFT(MID(S112,FIND("+",S112&amp;"+")+1,99),FIND("t",MID(S112,FIND("+",S112&amp;"+")+1,99))-1)*MID(MID(S112,FIND("+",S112&amp;"+")+1,99),FIND("t",MID(S112,FIND("+",S112&amp;"+")+1,99))+1,2)^2*PI()/400,0)</f>
        <v/>
      </c>
      <c r="T113">
        <f>IFERROR(LEFT(LEFT(T112,FIND("+",T112&amp;"+")-1),FIND("t",LEFT(T112,FIND("+",T112&amp;"+")-1))-1)*MID(LEFT(T112,FIND("+",T112&amp;"+")-1),FIND("t",LEFT(T112,FIND("+",T112&amp;"+")-1))+1,2)^2*PI()/400,0)+IFERROR(LEFT(MID(T112,FIND("+",T112&amp;"+")+1,99),FIND("t",MID(T112,FIND("+",T112&amp;"+")+1,99))-1)*MID(MID(T112,FIND("+",T112&amp;"+")+1,99),FIND("t",MID(T112,FIND("+",T112&amp;"+")+1,99))+1,2)^2*PI()/400,0)</f>
        <v/>
      </c>
      <c r="U113">
        <f>IFERROR(LEFT(LEFT(U112,FIND("+",U112&amp;"+")-1),FIND("t",LEFT(U112,FIND("+",U112&amp;"+")-1))-1)*MID(LEFT(U112,FIND("+",U112&amp;"+")-1),FIND("t",LEFT(U112,FIND("+",U112&amp;"+")-1))+1,2)^2*PI()/400,0)+IFERROR(LEFT(MID(U112,FIND("+",U112&amp;"+")+1,99),FIND("t",MID(U112,FIND("+",U112&amp;"+")+1,99))-1)*MID(MID(U112,FIND("+",U112&amp;"+")+1,99),FIND("t",MID(U112,FIND("+",U112&amp;"+")+1,99))+1,2)^2*PI()/400,0)</f>
        <v/>
      </c>
      <c r="V113">
        <f>IFERROR(LEFT(LEFT(V112,FIND("+",V112&amp;"+")-1),FIND("t",LEFT(V112,FIND("+",V112&amp;"+")-1))-1)*MID(LEFT(V112,FIND("+",V112&amp;"+")-1),FIND("t",LEFT(V112,FIND("+",V112&amp;"+")-1))+1,2)^2*PI()/400,0)+IFERROR(LEFT(MID(V112,FIND("+",V112&amp;"+")+1,99),FIND("t",MID(V112,FIND("+",V112&amp;"+")+1,99))-1)*MID(MID(V112,FIND("+",V112&amp;"+")+1,99),FIND("t",MID(V112,FIND("+",V112&amp;"+")+1,99))+1,2)^2*PI()/400,0)</f>
        <v/>
      </c>
      <c r="W113">
        <f>IFERROR(LEFT(LEFT(W112,FIND("+",W112&amp;"+")-1),FIND("t",LEFT(W112,FIND("+",W112&amp;"+")-1))-1)*MID(LEFT(W112,FIND("+",W112&amp;"+")-1),FIND("t",LEFT(W112,FIND("+",W112&amp;"+")-1))+1,2)^2*PI()/400,0)+IFERROR(LEFT(MID(W112,FIND("+",W112&amp;"+")+1,99),FIND("t",MID(W112,FIND("+",W112&amp;"+")+1,99))-1)*MID(MID(W112,FIND("+",W112&amp;"+")+1,99),FIND("t",MID(W112,FIND("+",W112&amp;"+")+1,99))+1,2)^2*PI()/400,0)</f>
        <v/>
      </c>
      <c r="X113">
        <f>IFERROR(LEFT(LEFT(X112,FIND("+",X112&amp;"+")-1),FIND("t",LEFT(X112,FIND("+",X112&amp;"+")-1))-1)*MID(LEFT(X112,FIND("+",X112&amp;"+")-1),FIND("t",LEFT(X112,FIND("+",X112&amp;"+")-1))+1,2)^2*PI()/400,0)+IFERROR(LEFT(MID(X112,FIND("+",X112&amp;"+")+1,99),FIND("t",MID(X112,FIND("+",X112&amp;"+")+1,99))-1)*MID(MID(X112,FIND("+",X112&amp;"+")+1,99),FIND("t",MID(X112,FIND("+",X112&amp;"+")+1,99))+1,2)^2*PI()/400,0)</f>
        <v/>
      </c>
      <c r="Y113">
        <f>IFERROR(LEFT(LEFT(Y112,FIND("+",Y112&amp;"+")-1),FIND("t",LEFT(Y112,FIND("+",Y112&amp;"+")-1))-1)*MID(LEFT(Y112,FIND("+",Y112&amp;"+")-1),FIND("t",LEFT(Y112,FIND("+",Y112&amp;"+")-1))+1,2)^2*PI()/400,0)+IFERROR(LEFT(MID(Y112,FIND("+",Y112&amp;"+")+1,99),FIND("t",MID(Y112,FIND("+",Y112&amp;"+")+1,99))-1)*MID(MID(Y112,FIND("+",Y112&amp;"+")+1,99),FIND("t",MID(Y112,FIND("+",Y112&amp;"+")+1,99))+1,2)^2*PI()/400,0)</f>
        <v/>
      </c>
      <c r="Z113">
        <f>IFERROR(LEFT(LEFT(Z112,FIND("+",Z112&amp;"+")-1),FIND("t",LEFT(Z112,FIND("+",Z112&amp;"+")-1))-1)*MID(LEFT(Z112,FIND("+",Z112&amp;"+")-1),FIND("t",LEFT(Z112,FIND("+",Z112&amp;"+")-1))+1,2)^2*PI()/400,0)+IFERROR(LEFT(MID(Z112,FIND("+",Z112&amp;"+")+1,99),FIND("t",MID(Z112,FIND("+",Z112&amp;"+")+1,99))-1)*MID(MID(Z112,FIND("+",Z112&amp;"+")+1,99),FIND("t",MID(Z112,FIND("+",Z112&amp;"+")+1,99))+1,2)^2*PI()/400,0)</f>
        <v/>
      </c>
      <c r="AA113">
        <f>IFERROR(LEFT(LEFT(AA112,FIND("+",AA112&amp;"+")-1),FIND("t",LEFT(AA112,FIND("+",AA112&amp;"+")-1))-1)*MID(LEFT(AA112,FIND("+",AA112&amp;"+")-1),FIND("t",LEFT(AA112,FIND("+",AA112&amp;"+")-1))+1,2)^2*PI()/400,0)+IFERROR(LEFT(MID(AA112,FIND("+",AA112&amp;"+")+1,99),FIND("t",MID(AA112,FIND("+",AA112&amp;"+")+1,99))-1)*MID(MID(AA112,FIND("+",AA112&amp;"+")+1,99),FIND("t",MID(AA112,FIND("+",AA112&amp;"+")+1,99))+1,2)^2*PI()/400,0)</f>
        <v/>
      </c>
      <c r="AB113">
        <f>IFERROR(LEFT(LEFT(AB112,FIND("+",AB112&amp;"+")-1),FIND("t",LEFT(AB112,FIND("+",AB112&amp;"+")-1))-1)*MID(LEFT(AB112,FIND("+",AB112&amp;"+")-1),FIND("t",LEFT(AB112,FIND("+",AB112&amp;"+")-1))+1,2)^2*PI()/400,0)+IFERROR(LEFT(MID(AB112,FIND("+",AB112&amp;"+")+1,99),FIND("t",MID(AB112,FIND("+",AB112&amp;"+")+1,99))-1)*MID(MID(AB112,FIND("+",AB112&amp;"+")+1,99),FIND("t",MID(AB112,FIND("+",AB112&amp;"+")+1,99))+1,2)^2*PI()/400,0)</f>
        <v/>
      </c>
      <c r="AC113">
        <f>IFERROR(LEFT(LEFT(AC112,FIND("+",AC112&amp;"+")-1),FIND("t",LEFT(AC112,FIND("+",AC112&amp;"+")-1))-1)*MID(LEFT(AC112,FIND("+",AC112&amp;"+")-1),FIND("t",LEFT(AC112,FIND("+",AC112&amp;"+")-1))+1,2)^2*PI()/400,0)+IFERROR(LEFT(MID(AC112,FIND("+",AC112&amp;"+")+1,99),FIND("t",MID(AC112,FIND("+",AC112&amp;"+")+1,99))-1)*MID(MID(AC112,FIND("+",AC112&amp;"+")+1,99),FIND("t",MID(AC112,FIND("+",AC112&amp;"+")+1,99))+1,2)^2*PI()/400,0)</f>
        <v/>
      </c>
      <c r="AD113">
        <f>IFERROR(LEFT(LEFT(AD112,FIND("+",AD112&amp;"+")-1),FIND("t",LEFT(AD112,FIND("+",AD112&amp;"+")-1))-1)*MID(LEFT(AD112,FIND("+",AD112&amp;"+")-1),FIND("t",LEFT(AD112,FIND("+",AD112&amp;"+")-1))+1,2)^2*PI()/400,0)+IFERROR(LEFT(MID(AD112,FIND("+",AD112&amp;"+")+1,99),FIND("t",MID(AD112,FIND("+",AD112&amp;"+")+1,99))-1)*MID(MID(AD112,FIND("+",AD112&amp;"+")+1,99),FIND("t",MID(AD112,FIND("+",AD112&amp;"+")+1,99))+1,2)^2*PI()/400,0)</f>
        <v/>
      </c>
      <c r="AE113">
        <f>IFERROR(LEFT(LEFT(AE112,FIND("+",AE112&amp;"+")-1),FIND("t",LEFT(AE112,FIND("+",AE112&amp;"+")-1))-1)*MID(LEFT(AE112,FIND("+",AE112&amp;"+")-1),FIND("t",LEFT(AE112,FIND("+",AE112&amp;"+")-1))+1,2)^2*PI()/400,0)+IFERROR(LEFT(MID(AE112,FIND("+",AE112&amp;"+")+1,99),FIND("t",MID(AE112,FIND("+",AE112&amp;"+")+1,99))-1)*MID(MID(AE112,FIND("+",AE112&amp;"+")+1,99),FIND("t",MID(AE112,FIND("+",AE112&amp;"+")+1,99))+1,2)^2*PI()/400,0)</f>
        <v/>
      </c>
      <c r="AF113">
        <f>IFERROR(LEFT(LEFT(AF112,FIND("+",AF112&amp;"+")-1),FIND("t",LEFT(AF112,FIND("+",AF112&amp;"+")-1))-1)*MID(LEFT(AF112,FIND("+",AF112&amp;"+")-1),FIND("t",LEFT(AF112,FIND("+",AF112&amp;"+")-1))+1,2)^2*PI()/400,0)+IFERROR(LEFT(MID(AF112,FIND("+",AF112&amp;"+")+1,99),FIND("t",MID(AF112,FIND("+",AF112&amp;"+")+1,99))-1)*MID(MID(AF112,FIND("+",AF112&amp;"+")+1,99),FIND("t",MID(AF112,FIND("+",AF112&amp;"+")+1,99))+1,2)^2*PI()/400,0)</f>
        <v/>
      </c>
      <c r="AG113">
        <f>IFERROR(LEFT(LEFT(AG112,FIND("+",AG112&amp;"+")-1),FIND("t",LEFT(AG112,FIND("+",AG112&amp;"+")-1))-1)*MID(LEFT(AG112,FIND("+",AG112&amp;"+")-1),FIND("t",LEFT(AG112,FIND("+",AG112&amp;"+")-1))+1,2)^2*PI()/400,0)+IFERROR(LEFT(MID(AG112,FIND("+",AG112&amp;"+")+1,99),FIND("t",MID(AG112,FIND("+",AG112&amp;"+")+1,99))-1)*MID(MID(AG112,FIND("+",AG112&amp;"+")+1,99),FIND("t",MID(AG112,FIND("+",AG112&amp;"+")+1,99))+1,2)^2*PI()/400,0)</f>
        <v/>
      </c>
    </row>
    <row r="114" hidden="1" outlineLevel="1">
      <c r="A114" s="60" t="inlineStr">
        <is>
          <t>(phụ trợ) N_B5R</t>
        </is>
      </c>
      <c r="C114">
        <f>SUBSTITUTE(SUBSTITUTE(SUBSTITUTE(SUBSTITUTE(SUBSTITUTE(SUBSTITUTE(LOWER(IF(ISNUMBER(FIND(";",C18)),MID(C18,FIND(";",C18)+1,99),C18))," ",""),"%%c","t"),"ø","t"),"φ","t"),"f","t"),"d","t")</f>
        <v/>
      </c>
      <c r="D114">
        <f>SUBSTITUTE(SUBSTITUTE(SUBSTITUTE(SUBSTITUTE(SUBSTITUTE(SUBSTITUTE(LOWER(IF(ISNUMBER(FIND(";",D18)),MID(D18,FIND(";",D18)+1,99),D18))," ",""),"%%c","t"),"ø","t"),"φ","t"),"f","t"),"d","t")</f>
        <v/>
      </c>
      <c r="E114">
        <f>SUBSTITUTE(SUBSTITUTE(SUBSTITUTE(SUBSTITUTE(SUBSTITUTE(SUBSTITUTE(LOWER(IF(ISNUMBER(FIND(";",E18)),MID(E18,FIND(";",E18)+1,99),E18))," ",""),"%%c","t"),"ø","t"),"φ","t"),"f","t"),"d","t")</f>
        <v/>
      </c>
      <c r="F114">
        <f>SUBSTITUTE(SUBSTITUTE(SUBSTITUTE(SUBSTITUTE(SUBSTITUTE(SUBSTITUTE(LOWER(IF(ISNUMBER(FIND(";",F18)),MID(F18,FIND(";",F18)+1,99),F18))," ",""),"%%c","t"),"ø","t"),"φ","t"),"f","t"),"d","t")</f>
        <v/>
      </c>
      <c r="G114">
        <f>SUBSTITUTE(SUBSTITUTE(SUBSTITUTE(SUBSTITUTE(SUBSTITUTE(SUBSTITUTE(LOWER(IF(ISNUMBER(FIND(";",G18)),MID(G18,FIND(";",G18)+1,99),G18))," ",""),"%%c","t"),"ø","t"),"φ","t"),"f","t"),"d","t")</f>
        <v/>
      </c>
      <c r="H114">
        <f>SUBSTITUTE(SUBSTITUTE(SUBSTITUTE(SUBSTITUTE(SUBSTITUTE(SUBSTITUTE(LOWER(IF(ISNUMBER(FIND(";",H18)),MID(H18,FIND(";",H18)+1,99),H18))," ",""),"%%c","t"),"ø","t"),"φ","t"),"f","t"),"d","t")</f>
        <v/>
      </c>
      <c r="I114">
        <f>SUBSTITUTE(SUBSTITUTE(SUBSTITUTE(SUBSTITUTE(SUBSTITUTE(SUBSTITUTE(LOWER(IF(ISNUMBER(FIND(";",I18)),MID(I18,FIND(";",I18)+1,99),I18))," ",""),"%%c","t"),"ø","t"),"φ","t"),"f","t"),"d","t")</f>
        <v/>
      </c>
      <c r="J114">
        <f>SUBSTITUTE(SUBSTITUTE(SUBSTITUTE(SUBSTITUTE(SUBSTITUTE(SUBSTITUTE(LOWER(IF(ISNUMBER(FIND(";",J18)),MID(J18,FIND(";",J18)+1,99),J18))," ",""),"%%c","t"),"ø","t"),"φ","t"),"f","t"),"d","t")</f>
        <v/>
      </c>
      <c r="K114">
        <f>SUBSTITUTE(SUBSTITUTE(SUBSTITUTE(SUBSTITUTE(SUBSTITUTE(SUBSTITUTE(LOWER(IF(ISNUMBER(FIND(";",K18)),MID(K18,FIND(";",K18)+1,99),K18))," ",""),"%%c","t"),"ø","t"),"φ","t"),"f","t"),"d","t")</f>
        <v/>
      </c>
      <c r="L114">
        <f>SUBSTITUTE(SUBSTITUTE(SUBSTITUTE(SUBSTITUTE(SUBSTITUTE(SUBSTITUTE(LOWER(IF(ISNUMBER(FIND(";",L18)),MID(L18,FIND(";",L18)+1,99),L18))," ",""),"%%c","t"),"ø","t"),"φ","t"),"f","t"),"d","t")</f>
        <v/>
      </c>
      <c r="M114">
        <f>SUBSTITUTE(SUBSTITUTE(SUBSTITUTE(SUBSTITUTE(SUBSTITUTE(SUBSTITUTE(LOWER(IF(ISNUMBER(FIND(";",M18)),MID(M18,FIND(";",M18)+1,99),M18))," ",""),"%%c","t"),"ø","t"),"φ","t"),"f","t"),"d","t")</f>
        <v/>
      </c>
      <c r="N114">
        <f>SUBSTITUTE(SUBSTITUTE(SUBSTITUTE(SUBSTITUTE(SUBSTITUTE(SUBSTITUTE(LOWER(IF(ISNUMBER(FIND(";",N18)),MID(N18,FIND(";",N18)+1,99),N18))," ",""),"%%c","t"),"ø","t"),"φ","t"),"f","t"),"d","t")</f>
        <v/>
      </c>
      <c r="O114">
        <f>SUBSTITUTE(SUBSTITUTE(SUBSTITUTE(SUBSTITUTE(SUBSTITUTE(SUBSTITUTE(LOWER(IF(ISNUMBER(FIND(";",O18)),MID(O18,FIND(";",O18)+1,99),O18))," ",""),"%%c","t"),"ø","t"),"φ","t"),"f","t"),"d","t")</f>
        <v/>
      </c>
      <c r="P114">
        <f>SUBSTITUTE(SUBSTITUTE(SUBSTITUTE(SUBSTITUTE(SUBSTITUTE(SUBSTITUTE(LOWER(IF(ISNUMBER(FIND(";",P18)),MID(P18,FIND(";",P18)+1,99),P18))," ",""),"%%c","t"),"ø","t"),"φ","t"),"f","t"),"d","t")</f>
        <v/>
      </c>
      <c r="Q114">
        <f>SUBSTITUTE(SUBSTITUTE(SUBSTITUTE(SUBSTITUTE(SUBSTITUTE(SUBSTITUTE(LOWER(IF(ISNUMBER(FIND(";",Q18)),MID(Q18,FIND(";",Q18)+1,99),Q18))," ",""),"%%c","t"),"ø","t"),"φ","t"),"f","t"),"d","t")</f>
        <v/>
      </c>
      <c r="R114">
        <f>SUBSTITUTE(SUBSTITUTE(SUBSTITUTE(SUBSTITUTE(SUBSTITUTE(SUBSTITUTE(LOWER(IF(ISNUMBER(FIND(";",R18)),MID(R18,FIND(";",R18)+1,99),R18))," ",""),"%%c","t"),"ø","t"),"φ","t"),"f","t"),"d","t")</f>
        <v/>
      </c>
      <c r="S114">
        <f>SUBSTITUTE(SUBSTITUTE(SUBSTITUTE(SUBSTITUTE(SUBSTITUTE(SUBSTITUTE(LOWER(IF(ISNUMBER(FIND(";",S18)),MID(S18,FIND(";",S18)+1,99),S18))," ",""),"%%c","t"),"ø","t"),"φ","t"),"f","t"),"d","t")</f>
        <v/>
      </c>
      <c r="T114">
        <f>SUBSTITUTE(SUBSTITUTE(SUBSTITUTE(SUBSTITUTE(SUBSTITUTE(SUBSTITUTE(LOWER(IF(ISNUMBER(FIND(";",T18)),MID(T18,FIND(";",T18)+1,99),T18))," ",""),"%%c","t"),"ø","t"),"φ","t"),"f","t"),"d","t")</f>
        <v/>
      </c>
      <c r="U114">
        <f>SUBSTITUTE(SUBSTITUTE(SUBSTITUTE(SUBSTITUTE(SUBSTITUTE(SUBSTITUTE(LOWER(IF(ISNUMBER(FIND(";",U18)),MID(U18,FIND(";",U18)+1,99),U18))," ",""),"%%c","t"),"ø","t"),"φ","t"),"f","t"),"d","t")</f>
        <v/>
      </c>
      <c r="V114">
        <f>SUBSTITUTE(SUBSTITUTE(SUBSTITUTE(SUBSTITUTE(SUBSTITUTE(SUBSTITUTE(LOWER(IF(ISNUMBER(FIND(";",V18)),MID(V18,FIND(";",V18)+1,99),V18))," ",""),"%%c","t"),"ø","t"),"φ","t"),"f","t"),"d","t")</f>
        <v/>
      </c>
      <c r="W114">
        <f>SUBSTITUTE(SUBSTITUTE(SUBSTITUTE(SUBSTITUTE(SUBSTITUTE(SUBSTITUTE(LOWER(IF(ISNUMBER(FIND(";",W18)),MID(W18,FIND(";",W18)+1,99),W18))," ",""),"%%c","t"),"ø","t"),"φ","t"),"f","t"),"d","t")</f>
        <v/>
      </c>
      <c r="X114">
        <f>SUBSTITUTE(SUBSTITUTE(SUBSTITUTE(SUBSTITUTE(SUBSTITUTE(SUBSTITUTE(LOWER(IF(ISNUMBER(FIND(";",X18)),MID(X18,FIND(";",X18)+1,99),X18))," ",""),"%%c","t"),"ø","t"),"φ","t"),"f","t"),"d","t")</f>
        <v/>
      </c>
      <c r="Y114">
        <f>SUBSTITUTE(SUBSTITUTE(SUBSTITUTE(SUBSTITUTE(SUBSTITUTE(SUBSTITUTE(LOWER(IF(ISNUMBER(FIND(";",Y18)),MID(Y18,FIND(";",Y18)+1,99),Y18))," ",""),"%%c","t"),"ø","t"),"φ","t"),"f","t"),"d","t")</f>
        <v/>
      </c>
      <c r="Z114">
        <f>SUBSTITUTE(SUBSTITUTE(SUBSTITUTE(SUBSTITUTE(SUBSTITUTE(SUBSTITUTE(LOWER(IF(ISNUMBER(FIND(";",Z18)),MID(Z18,FIND(";",Z18)+1,99),Z18))," ",""),"%%c","t"),"ø","t"),"φ","t"),"f","t"),"d","t")</f>
        <v/>
      </c>
      <c r="AA114">
        <f>SUBSTITUTE(SUBSTITUTE(SUBSTITUTE(SUBSTITUTE(SUBSTITUTE(SUBSTITUTE(LOWER(IF(ISNUMBER(FIND(";",AA18)),MID(AA18,FIND(";",AA18)+1,99),AA18))," ",""),"%%c","t"),"ø","t"),"φ","t"),"f","t"),"d","t")</f>
        <v/>
      </c>
      <c r="AB114">
        <f>SUBSTITUTE(SUBSTITUTE(SUBSTITUTE(SUBSTITUTE(SUBSTITUTE(SUBSTITUTE(LOWER(IF(ISNUMBER(FIND(";",AB18)),MID(AB18,FIND(";",AB18)+1,99),AB18))," ",""),"%%c","t"),"ø","t"),"φ","t"),"f","t"),"d","t")</f>
        <v/>
      </c>
      <c r="AC114">
        <f>SUBSTITUTE(SUBSTITUTE(SUBSTITUTE(SUBSTITUTE(SUBSTITUTE(SUBSTITUTE(LOWER(IF(ISNUMBER(FIND(";",AC18)),MID(AC18,FIND(";",AC18)+1,99),AC18))," ",""),"%%c","t"),"ø","t"),"φ","t"),"f","t"),"d","t")</f>
        <v/>
      </c>
      <c r="AD114">
        <f>SUBSTITUTE(SUBSTITUTE(SUBSTITUTE(SUBSTITUTE(SUBSTITUTE(SUBSTITUTE(LOWER(IF(ISNUMBER(FIND(";",AD18)),MID(AD18,FIND(";",AD18)+1,99),AD18))," ",""),"%%c","t"),"ø","t"),"φ","t"),"f","t"),"d","t")</f>
        <v/>
      </c>
      <c r="AE114">
        <f>SUBSTITUTE(SUBSTITUTE(SUBSTITUTE(SUBSTITUTE(SUBSTITUTE(SUBSTITUTE(LOWER(IF(ISNUMBER(FIND(";",AE18)),MID(AE18,FIND(";",AE18)+1,99),AE18))," ",""),"%%c","t"),"ø","t"),"φ","t"),"f","t"),"d","t")</f>
        <v/>
      </c>
      <c r="AF114">
        <f>SUBSTITUTE(SUBSTITUTE(SUBSTITUTE(SUBSTITUTE(SUBSTITUTE(SUBSTITUTE(LOWER(IF(ISNUMBER(FIND(";",AF18)),MID(AF18,FIND(";",AF18)+1,99),AF18))," ",""),"%%c","t"),"ø","t"),"φ","t"),"f","t"),"d","t")</f>
        <v/>
      </c>
      <c r="AG114">
        <f>SUBSTITUTE(SUBSTITUTE(SUBSTITUTE(SUBSTITUTE(SUBSTITUTE(SUBSTITUTE(LOWER(IF(ISNUMBER(FIND(";",AG18)),MID(AG18,FIND(";",AG18)+1,99),AG18))," ",""),"%%c","t"),"ø","t"),"φ","t"),"f","t"),"d","t")</f>
        <v/>
      </c>
    </row>
    <row r="115" hidden="1" outlineLevel="1">
      <c r="A115" s="60" t="inlineStr">
        <is>
          <t>(phụ trợ) A_B5R</t>
        </is>
      </c>
      <c r="C115">
        <f>IFERROR(LEFT(LEFT(C114,FIND("+",C114&amp;"+")-1),FIND("t",LEFT(C114,FIND("+",C114&amp;"+")-1))-1)*MID(LEFT(C114,FIND("+",C114&amp;"+")-1),FIND("t",LEFT(C114,FIND("+",C114&amp;"+")-1))+1,2)^2*PI()/400,0)+IFERROR(LEFT(MID(C114,FIND("+",C114&amp;"+")+1,99),FIND("t",MID(C114,FIND("+",C114&amp;"+")+1,99))-1)*MID(MID(C114,FIND("+",C114&amp;"+")+1,99),FIND("t",MID(C114,FIND("+",C114&amp;"+")+1,99))+1,2)^2*PI()/400,0)</f>
        <v/>
      </c>
      <c r="D115">
        <f>IFERROR(LEFT(LEFT(D114,FIND("+",D114&amp;"+")-1),FIND("t",LEFT(D114,FIND("+",D114&amp;"+")-1))-1)*MID(LEFT(D114,FIND("+",D114&amp;"+")-1),FIND("t",LEFT(D114,FIND("+",D114&amp;"+")-1))+1,2)^2*PI()/400,0)+IFERROR(LEFT(MID(D114,FIND("+",D114&amp;"+")+1,99),FIND("t",MID(D114,FIND("+",D114&amp;"+")+1,99))-1)*MID(MID(D114,FIND("+",D114&amp;"+")+1,99),FIND("t",MID(D114,FIND("+",D114&amp;"+")+1,99))+1,2)^2*PI()/400,0)</f>
        <v/>
      </c>
      <c r="E115">
        <f>IFERROR(LEFT(LEFT(E114,FIND("+",E114&amp;"+")-1),FIND("t",LEFT(E114,FIND("+",E114&amp;"+")-1))-1)*MID(LEFT(E114,FIND("+",E114&amp;"+")-1),FIND("t",LEFT(E114,FIND("+",E114&amp;"+")-1))+1,2)^2*PI()/400,0)+IFERROR(LEFT(MID(E114,FIND("+",E114&amp;"+")+1,99),FIND("t",MID(E114,FIND("+",E114&amp;"+")+1,99))-1)*MID(MID(E114,FIND("+",E114&amp;"+")+1,99),FIND("t",MID(E114,FIND("+",E114&amp;"+")+1,99))+1,2)^2*PI()/400,0)</f>
        <v/>
      </c>
      <c r="F115">
        <f>IFERROR(LEFT(LEFT(F114,FIND("+",F114&amp;"+")-1),FIND("t",LEFT(F114,FIND("+",F114&amp;"+")-1))-1)*MID(LEFT(F114,FIND("+",F114&amp;"+")-1),FIND("t",LEFT(F114,FIND("+",F114&amp;"+")-1))+1,2)^2*PI()/400,0)+IFERROR(LEFT(MID(F114,FIND("+",F114&amp;"+")+1,99),FIND("t",MID(F114,FIND("+",F114&amp;"+")+1,99))-1)*MID(MID(F114,FIND("+",F114&amp;"+")+1,99),FIND("t",MID(F114,FIND("+",F114&amp;"+")+1,99))+1,2)^2*PI()/400,0)</f>
        <v/>
      </c>
      <c r="G115">
        <f>IFERROR(LEFT(LEFT(G114,FIND("+",G114&amp;"+")-1),FIND("t",LEFT(G114,FIND("+",G114&amp;"+")-1))-1)*MID(LEFT(G114,FIND("+",G114&amp;"+")-1),FIND("t",LEFT(G114,FIND("+",G114&amp;"+")-1))+1,2)^2*PI()/400,0)+IFERROR(LEFT(MID(G114,FIND("+",G114&amp;"+")+1,99),FIND("t",MID(G114,FIND("+",G114&amp;"+")+1,99))-1)*MID(MID(G114,FIND("+",G114&amp;"+")+1,99),FIND("t",MID(G114,FIND("+",G114&amp;"+")+1,99))+1,2)^2*PI()/400,0)</f>
        <v/>
      </c>
      <c r="H115">
        <f>IFERROR(LEFT(LEFT(H114,FIND("+",H114&amp;"+")-1),FIND("t",LEFT(H114,FIND("+",H114&amp;"+")-1))-1)*MID(LEFT(H114,FIND("+",H114&amp;"+")-1),FIND("t",LEFT(H114,FIND("+",H114&amp;"+")-1))+1,2)^2*PI()/400,0)+IFERROR(LEFT(MID(H114,FIND("+",H114&amp;"+")+1,99),FIND("t",MID(H114,FIND("+",H114&amp;"+")+1,99))-1)*MID(MID(H114,FIND("+",H114&amp;"+")+1,99),FIND("t",MID(H114,FIND("+",H114&amp;"+")+1,99))+1,2)^2*PI()/400,0)</f>
        <v/>
      </c>
      <c r="I115">
        <f>IFERROR(LEFT(LEFT(I114,FIND("+",I114&amp;"+")-1),FIND("t",LEFT(I114,FIND("+",I114&amp;"+")-1))-1)*MID(LEFT(I114,FIND("+",I114&amp;"+")-1),FIND("t",LEFT(I114,FIND("+",I114&amp;"+")-1))+1,2)^2*PI()/400,0)+IFERROR(LEFT(MID(I114,FIND("+",I114&amp;"+")+1,99),FIND("t",MID(I114,FIND("+",I114&amp;"+")+1,99))-1)*MID(MID(I114,FIND("+",I114&amp;"+")+1,99),FIND("t",MID(I114,FIND("+",I114&amp;"+")+1,99))+1,2)^2*PI()/400,0)</f>
        <v/>
      </c>
      <c r="J115">
        <f>IFERROR(LEFT(LEFT(J114,FIND("+",J114&amp;"+")-1),FIND("t",LEFT(J114,FIND("+",J114&amp;"+")-1))-1)*MID(LEFT(J114,FIND("+",J114&amp;"+")-1),FIND("t",LEFT(J114,FIND("+",J114&amp;"+")-1))+1,2)^2*PI()/400,0)+IFERROR(LEFT(MID(J114,FIND("+",J114&amp;"+")+1,99),FIND("t",MID(J114,FIND("+",J114&amp;"+")+1,99))-1)*MID(MID(J114,FIND("+",J114&amp;"+")+1,99),FIND("t",MID(J114,FIND("+",J114&amp;"+")+1,99))+1,2)^2*PI()/400,0)</f>
        <v/>
      </c>
      <c r="K115">
        <f>IFERROR(LEFT(LEFT(K114,FIND("+",K114&amp;"+")-1),FIND("t",LEFT(K114,FIND("+",K114&amp;"+")-1))-1)*MID(LEFT(K114,FIND("+",K114&amp;"+")-1),FIND("t",LEFT(K114,FIND("+",K114&amp;"+")-1))+1,2)^2*PI()/400,0)+IFERROR(LEFT(MID(K114,FIND("+",K114&amp;"+")+1,99),FIND("t",MID(K114,FIND("+",K114&amp;"+")+1,99))-1)*MID(MID(K114,FIND("+",K114&amp;"+")+1,99),FIND("t",MID(K114,FIND("+",K114&amp;"+")+1,99))+1,2)^2*PI()/400,0)</f>
        <v/>
      </c>
      <c r="L115">
        <f>IFERROR(LEFT(LEFT(L114,FIND("+",L114&amp;"+")-1),FIND("t",LEFT(L114,FIND("+",L114&amp;"+")-1))-1)*MID(LEFT(L114,FIND("+",L114&amp;"+")-1),FIND("t",LEFT(L114,FIND("+",L114&amp;"+")-1))+1,2)^2*PI()/400,0)+IFERROR(LEFT(MID(L114,FIND("+",L114&amp;"+")+1,99),FIND("t",MID(L114,FIND("+",L114&amp;"+")+1,99))-1)*MID(MID(L114,FIND("+",L114&amp;"+")+1,99),FIND("t",MID(L114,FIND("+",L114&amp;"+")+1,99))+1,2)^2*PI()/400,0)</f>
        <v/>
      </c>
      <c r="M115">
        <f>IFERROR(LEFT(LEFT(M114,FIND("+",M114&amp;"+")-1),FIND("t",LEFT(M114,FIND("+",M114&amp;"+")-1))-1)*MID(LEFT(M114,FIND("+",M114&amp;"+")-1),FIND("t",LEFT(M114,FIND("+",M114&amp;"+")-1))+1,2)^2*PI()/400,0)+IFERROR(LEFT(MID(M114,FIND("+",M114&amp;"+")+1,99),FIND("t",MID(M114,FIND("+",M114&amp;"+")+1,99))-1)*MID(MID(M114,FIND("+",M114&amp;"+")+1,99),FIND("t",MID(M114,FIND("+",M114&amp;"+")+1,99))+1,2)^2*PI()/400,0)</f>
        <v/>
      </c>
      <c r="N115">
        <f>IFERROR(LEFT(LEFT(N114,FIND("+",N114&amp;"+")-1),FIND("t",LEFT(N114,FIND("+",N114&amp;"+")-1))-1)*MID(LEFT(N114,FIND("+",N114&amp;"+")-1),FIND("t",LEFT(N114,FIND("+",N114&amp;"+")-1))+1,2)^2*PI()/400,0)+IFERROR(LEFT(MID(N114,FIND("+",N114&amp;"+")+1,99),FIND("t",MID(N114,FIND("+",N114&amp;"+")+1,99))-1)*MID(MID(N114,FIND("+",N114&amp;"+")+1,99),FIND("t",MID(N114,FIND("+",N114&amp;"+")+1,99))+1,2)^2*PI()/400,0)</f>
        <v/>
      </c>
      <c r="O115">
        <f>IFERROR(LEFT(LEFT(O114,FIND("+",O114&amp;"+")-1),FIND("t",LEFT(O114,FIND("+",O114&amp;"+")-1))-1)*MID(LEFT(O114,FIND("+",O114&amp;"+")-1),FIND("t",LEFT(O114,FIND("+",O114&amp;"+")-1))+1,2)^2*PI()/400,0)+IFERROR(LEFT(MID(O114,FIND("+",O114&amp;"+")+1,99),FIND("t",MID(O114,FIND("+",O114&amp;"+")+1,99))-1)*MID(MID(O114,FIND("+",O114&amp;"+")+1,99),FIND("t",MID(O114,FIND("+",O114&amp;"+")+1,99))+1,2)^2*PI()/400,0)</f>
        <v/>
      </c>
      <c r="P115">
        <f>IFERROR(LEFT(LEFT(P114,FIND("+",P114&amp;"+")-1),FIND("t",LEFT(P114,FIND("+",P114&amp;"+")-1))-1)*MID(LEFT(P114,FIND("+",P114&amp;"+")-1),FIND("t",LEFT(P114,FIND("+",P114&amp;"+")-1))+1,2)^2*PI()/400,0)+IFERROR(LEFT(MID(P114,FIND("+",P114&amp;"+")+1,99),FIND("t",MID(P114,FIND("+",P114&amp;"+")+1,99))-1)*MID(MID(P114,FIND("+",P114&amp;"+")+1,99),FIND("t",MID(P114,FIND("+",P114&amp;"+")+1,99))+1,2)^2*PI()/400,0)</f>
        <v/>
      </c>
      <c r="Q115">
        <f>IFERROR(LEFT(LEFT(Q114,FIND("+",Q114&amp;"+")-1),FIND("t",LEFT(Q114,FIND("+",Q114&amp;"+")-1))-1)*MID(LEFT(Q114,FIND("+",Q114&amp;"+")-1),FIND("t",LEFT(Q114,FIND("+",Q114&amp;"+")-1))+1,2)^2*PI()/400,0)+IFERROR(LEFT(MID(Q114,FIND("+",Q114&amp;"+")+1,99),FIND("t",MID(Q114,FIND("+",Q114&amp;"+")+1,99))-1)*MID(MID(Q114,FIND("+",Q114&amp;"+")+1,99),FIND("t",MID(Q114,FIND("+",Q114&amp;"+")+1,99))+1,2)^2*PI()/400,0)</f>
        <v/>
      </c>
      <c r="R115">
        <f>IFERROR(LEFT(LEFT(R114,FIND("+",R114&amp;"+")-1),FIND("t",LEFT(R114,FIND("+",R114&amp;"+")-1))-1)*MID(LEFT(R114,FIND("+",R114&amp;"+")-1),FIND("t",LEFT(R114,FIND("+",R114&amp;"+")-1))+1,2)^2*PI()/400,0)+IFERROR(LEFT(MID(R114,FIND("+",R114&amp;"+")+1,99),FIND("t",MID(R114,FIND("+",R114&amp;"+")+1,99))-1)*MID(MID(R114,FIND("+",R114&amp;"+")+1,99),FIND("t",MID(R114,FIND("+",R114&amp;"+")+1,99))+1,2)^2*PI()/400,0)</f>
        <v/>
      </c>
      <c r="S115">
        <f>IFERROR(LEFT(LEFT(S114,FIND("+",S114&amp;"+")-1),FIND("t",LEFT(S114,FIND("+",S114&amp;"+")-1))-1)*MID(LEFT(S114,FIND("+",S114&amp;"+")-1),FIND("t",LEFT(S114,FIND("+",S114&amp;"+")-1))+1,2)^2*PI()/400,0)+IFERROR(LEFT(MID(S114,FIND("+",S114&amp;"+")+1,99),FIND("t",MID(S114,FIND("+",S114&amp;"+")+1,99))-1)*MID(MID(S114,FIND("+",S114&amp;"+")+1,99),FIND("t",MID(S114,FIND("+",S114&amp;"+")+1,99))+1,2)^2*PI()/400,0)</f>
        <v/>
      </c>
      <c r="T115">
        <f>IFERROR(LEFT(LEFT(T114,FIND("+",T114&amp;"+")-1),FIND("t",LEFT(T114,FIND("+",T114&amp;"+")-1))-1)*MID(LEFT(T114,FIND("+",T114&amp;"+")-1),FIND("t",LEFT(T114,FIND("+",T114&amp;"+")-1))+1,2)^2*PI()/400,0)+IFERROR(LEFT(MID(T114,FIND("+",T114&amp;"+")+1,99),FIND("t",MID(T114,FIND("+",T114&amp;"+")+1,99))-1)*MID(MID(T114,FIND("+",T114&amp;"+")+1,99),FIND("t",MID(T114,FIND("+",T114&amp;"+")+1,99))+1,2)^2*PI()/400,0)</f>
        <v/>
      </c>
      <c r="U115">
        <f>IFERROR(LEFT(LEFT(U114,FIND("+",U114&amp;"+")-1),FIND("t",LEFT(U114,FIND("+",U114&amp;"+")-1))-1)*MID(LEFT(U114,FIND("+",U114&amp;"+")-1),FIND("t",LEFT(U114,FIND("+",U114&amp;"+")-1))+1,2)^2*PI()/400,0)+IFERROR(LEFT(MID(U114,FIND("+",U114&amp;"+")+1,99),FIND("t",MID(U114,FIND("+",U114&amp;"+")+1,99))-1)*MID(MID(U114,FIND("+",U114&amp;"+")+1,99),FIND("t",MID(U114,FIND("+",U114&amp;"+")+1,99))+1,2)^2*PI()/400,0)</f>
        <v/>
      </c>
      <c r="V115">
        <f>IFERROR(LEFT(LEFT(V114,FIND("+",V114&amp;"+")-1),FIND("t",LEFT(V114,FIND("+",V114&amp;"+")-1))-1)*MID(LEFT(V114,FIND("+",V114&amp;"+")-1),FIND("t",LEFT(V114,FIND("+",V114&amp;"+")-1))+1,2)^2*PI()/400,0)+IFERROR(LEFT(MID(V114,FIND("+",V114&amp;"+")+1,99),FIND("t",MID(V114,FIND("+",V114&amp;"+")+1,99))-1)*MID(MID(V114,FIND("+",V114&amp;"+")+1,99),FIND("t",MID(V114,FIND("+",V114&amp;"+")+1,99))+1,2)^2*PI()/400,0)</f>
        <v/>
      </c>
      <c r="W115">
        <f>IFERROR(LEFT(LEFT(W114,FIND("+",W114&amp;"+")-1),FIND("t",LEFT(W114,FIND("+",W114&amp;"+")-1))-1)*MID(LEFT(W114,FIND("+",W114&amp;"+")-1),FIND("t",LEFT(W114,FIND("+",W114&amp;"+")-1))+1,2)^2*PI()/400,0)+IFERROR(LEFT(MID(W114,FIND("+",W114&amp;"+")+1,99),FIND("t",MID(W114,FIND("+",W114&amp;"+")+1,99))-1)*MID(MID(W114,FIND("+",W114&amp;"+")+1,99),FIND("t",MID(W114,FIND("+",W114&amp;"+")+1,99))+1,2)^2*PI()/400,0)</f>
        <v/>
      </c>
      <c r="X115">
        <f>IFERROR(LEFT(LEFT(X114,FIND("+",X114&amp;"+")-1),FIND("t",LEFT(X114,FIND("+",X114&amp;"+")-1))-1)*MID(LEFT(X114,FIND("+",X114&amp;"+")-1),FIND("t",LEFT(X114,FIND("+",X114&amp;"+")-1))+1,2)^2*PI()/400,0)+IFERROR(LEFT(MID(X114,FIND("+",X114&amp;"+")+1,99),FIND("t",MID(X114,FIND("+",X114&amp;"+")+1,99))-1)*MID(MID(X114,FIND("+",X114&amp;"+")+1,99),FIND("t",MID(X114,FIND("+",X114&amp;"+")+1,99))+1,2)^2*PI()/400,0)</f>
        <v/>
      </c>
      <c r="Y115">
        <f>IFERROR(LEFT(LEFT(Y114,FIND("+",Y114&amp;"+")-1),FIND("t",LEFT(Y114,FIND("+",Y114&amp;"+")-1))-1)*MID(LEFT(Y114,FIND("+",Y114&amp;"+")-1),FIND("t",LEFT(Y114,FIND("+",Y114&amp;"+")-1))+1,2)^2*PI()/400,0)+IFERROR(LEFT(MID(Y114,FIND("+",Y114&amp;"+")+1,99),FIND("t",MID(Y114,FIND("+",Y114&amp;"+")+1,99))-1)*MID(MID(Y114,FIND("+",Y114&amp;"+")+1,99),FIND("t",MID(Y114,FIND("+",Y114&amp;"+")+1,99))+1,2)^2*PI()/400,0)</f>
        <v/>
      </c>
      <c r="Z115">
        <f>IFERROR(LEFT(LEFT(Z114,FIND("+",Z114&amp;"+")-1),FIND("t",LEFT(Z114,FIND("+",Z114&amp;"+")-1))-1)*MID(LEFT(Z114,FIND("+",Z114&amp;"+")-1),FIND("t",LEFT(Z114,FIND("+",Z114&amp;"+")-1))+1,2)^2*PI()/400,0)+IFERROR(LEFT(MID(Z114,FIND("+",Z114&amp;"+")+1,99),FIND("t",MID(Z114,FIND("+",Z114&amp;"+")+1,99))-1)*MID(MID(Z114,FIND("+",Z114&amp;"+")+1,99),FIND("t",MID(Z114,FIND("+",Z114&amp;"+")+1,99))+1,2)^2*PI()/400,0)</f>
        <v/>
      </c>
      <c r="AA115">
        <f>IFERROR(LEFT(LEFT(AA114,FIND("+",AA114&amp;"+")-1),FIND("t",LEFT(AA114,FIND("+",AA114&amp;"+")-1))-1)*MID(LEFT(AA114,FIND("+",AA114&amp;"+")-1),FIND("t",LEFT(AA114,FIND("+",AA114&amp;"+")-1))+1,2)^2*PI()/400,0)+IFERROR(LEFT(MID(AA114,FIND("+",AA114&amp;"+")+1,99),FIND("t",MID(AA114,FIND("+",AA114&amp;"+")+1,99))-1)*MID(MID(AA114,FIND("+",AA114&amp;"+")+1,99),FIND("t",MID(AA114,FIND("+",AA114&amp;"+")+1,99))+1,2)^2*PI()/400,0)</f>
        <v/>
      </c>
      <c r="AB115">
        <f>IFERROR(LEFT(LEFT(AB114,FIND("+",AB114&amp;"+")-1),FIND("t",LEFT(AB114,FIND("+",AB114&amp;"+")-1))-1)*MID(LEFT(AB114,FIND("+",AB114&amp;"+")-1),FIND("t",LEFT(AB114,FIND("+",AB114&amp;"+")-1))+1,2)^2*PI()/400,0)+IFERROR(LEFT(MID(AB114,FIND("+",AB114&amp;"+")+1,99),FIND("t",MID(AB114,FIND("+",AB114&amp;"+")+1,99))-1)*MID(MID(AB114,FIND("+",AB114&amp;"+")+1,99),FIND("t",MID(AB114,FIND("+",AB114&amp;"+")+1,99))+1,2)^2*PI()/400,0)</f>
        <v/>
      </c>
      <c r="AC115">
        <f>IFERROR(LEFT(LEFT(AC114,FIND("+",AC114&amp;"+")-1),FIND("t",LEFT(AC114,FIND("+",AC114&amp;"+")-1))-1)*MID(LEFT(AC114,FIND("+",AC114&amp;"+")-1),FIND("t",LEFT(AC114,FIND("+",AC114&amp;"+")-1))+1,2)^2*PI()/400,0)+IFERROR(LEFT(MID(AC114,FIND("+",AC114&amp;"+")+1,99),FIND("t",MID(AC114,FIND("+",AC114&amp;"+")+1,99))-1)*MID(MID(AC114,FIND("+",AC114&amp;"+")+1,99),FIND("t",MID(AC114,FIND("+",AC114&amp;"+")+1,99))+1,2)^2*PI()/400,0)</f>
        <v/>
      </c>
      <c r="AD115">
        <f>IFERROR(LEFT(LEFT(AD114,FIND("+",AD114&amp;"+")-1),FIND("t",LEFT(AD114,FIND("+",AD114&amp;"+")-1))-1)*MID(LEFT(AD114,FIND("+",AD114&amp;"+")-1),FIND("t",LEFT(AD114,FIND("+",AD114&amp;"+")-1))+1,2)^2*PI()/400,0)+IFERROR(LEFT(MID(AD114,FIND("+",AD114&amp;"+")+1,99),FIND("t",MID(AD114,FIND("+",AD114&amp;"+")+1,99))-1)*MID(MID(AD114,FIND("+",AD114&amp;"+")+1,99),FIND("t",MID(AD114,FIND("+",AD114&amp;"+")+1,99))+1,2)^2*PI()/400,0)</f>
        <v/>
      </c>
      <c r="AE115">
        <f>IFERROR(LEFT(LEFT(AE114,FIND("+",AE114&amp;"+")-1),FIND("t",LEFT(AE114,FIND("+",AE114&amp;"+")-1))-1)*MID(LEFT(AE114,FIND("+",AE114&amp;"+")-1),FIND("t",LEFT(AE114,FIND("+",AE114&amp;"+")-1))+1,2)^2*PI()/400,0)+IFERROR(LEFT(MID(AE114,FIND("+",AE114&amp;"+")+1,99),FIND("t",MID(AE114,FIND("+",AE114&amp;"+")+1,99))-1)*MID(MID(AE114,FIND("+",AE114&amp;"+")+1,99),FIND("t",MID(AE114,FIND("+",AE114&amp;"+")+1,99))+1,2)^2*PI()/400,0)</f>
        <v/>
      </c>
      <c r="AF115">
        <f>IFERROR(LEFT(LEFT(AF114,FIND("+",AF114&amp;"+")-1),FIND("t",LEFT(AF114,FIND("+",AF114&amp;"+")-1))-1)*MID(LEFT(AF114,FIND("+",AF114&amp;"+")-1),FIND("t",LEFT(AF114,FIND("+",AF114&amp;"+")-1))+1,2)^2*PI()/400,0)+IFERROR(LEFT(MID(AF114,FIND("+",AF114&amp;"+")+1,99),FIND("t",MID(AF114,FIND("+",AF114&amp;"+")+1,99))-1)*MID(MID(AF114,FIND("+",AF114&amp;"+")+1,99),FIND("t",MID(AF114,FIND("+",AF114&amp;"+")+1,99))+1,2)^2*PI()/400,0)</f>
        <v/>
      </c>
      <c r="AG115">
        <f>IFERROR(LEFT(LEFT(AG114,FIND("+",AG114&amp;"+")-1),FIND("t",LEFT(AG114,FIND("+",AG114&amp;"+")-1))-1)*MID(LEFT(AG114,FIND("+",AG114&amp;"+")-1),FIND("t",LEFT(AG114,FIND("+",AG114&amp;"+")-1))+1,2)^2*PI()/400,0)+IFERROR(LEFT(MID(AG114,FIND("+",AG114&amp;"+")+1,99),FIND("t",MID(AG114,FIND("+",AG114&amp;"+")+1,99))-1)*MID(MID(AG114,FIND("+",AG114&amp;"+")+1,99),FIND("t",MID(AG114,FIND("+",AG114&amp;"+")+1,99))+1,2)^2*PI()/400,0)</f>
        <v/>
      </c>
    </row>
    <row r="116" hidden="1" outlineLevel="1">
      <c r="A116" s="60" t="inlineStr">
        <is>
          <t>(phụ trợ) ASTL</t>
        </is>
      </c>
      <c r="C116">
        <f>C69+C73+C77+C81+C85+C89</f>
        <v/>
      </c>
      <c r="D116">
        <f>D69+D73+D77+D81+D85+D89</f>
        <v/>
      </c>
      <c r="E116">
        <f>E69+E73+E77+E81+E85+E89</f>
        <v/>
      </c>
      <c r="F116">
        <f>F69+F73+F77+F81+F85+F89</f>
        <v/>
      </c>
      <c r="G116">
        <f>G69+G73+G77+G81+G85+G89</f>
        <v/>
      </c>
      <c r="H116">
        <f>H69+H73+H77+H81+H85+H89</f>
        <v/>
      </c>
      <c r="I116">
        <f>I69+I73+I77+I81+I85+I89</f>
        <v/>
      </c>
      <c r="J116">
        <f>J69+J73+J77+J81+J85+J89</f>
        <v/>
      </c>
      <c r="K116">
        <f>K69+K73+K77+K81+K85+K89</f>
        <v/>
      </c>
      <c r="L116">
        <f>L69+L73+L77+L81+L85+L89</f>
        <v/>
      </c>
      <c r="M116">
        <f>M69+M73+M77+M81+M85+M89</f>
        <v/>
      </c>
      <c r="N116">
        <f>N69+N73+N77+N81+N85+N89</f>
        <v/>
      </c>
      <c r="O116">
        <f>O69+O73+O77+O81+O85+O89</f>
        <v/>
      </c>
      <c r="P116">
        <f>P69+P73+P77+P81+P85+P89</f>
        <v/>
      </c>
      <c r="Q116">
        <f>Q69+Q73+Q77+Q81+Q85+Q89</f>
        <v/>
      </c>
      <c r="R116">
        <f>R69+R73+R77+R81+R85+R89</f>
        <v/>
      </c>
      <c r="S116">
        <f>S69+S73+S77+S81+S85+S89</f>
        <v/>
      </c>
      <c r="T116">
        <f>T69+T73+T77+T81+T85+T89</f>
        <v/>
      </c>
      <c r="U116">
        <f>U69+U73+U77+U81+U85+U89</f>
        <v/>
      </c>
      <c r="V116">
        <f>V69+V73+V77+V81+V85+V89</f>
        <v/>
      </c>
      <c r="W116">
        <f>W69+W73+W77+W81+W85+W89</f>
        <v/>
      </c>
      <c r="X116">
        <f>X69+X73+X77+X81+X85+X89</f>
        <v/>
      </c>
      <c r="Y116">
        <f>Y69+Y73+Y77+Y81+Y85+Y89</f>
        <v/>
      </c>
      <c r="Z116">
        <f>Z69+Z73+Z77+Z81+Z85+Z89</f>
        <v/>
      </c>
      <c r="AA116">
        <f>AA69+AA73+AA77+AA81+AA85+AA89</f>
        <v/>
      </c>
      <c r="AB116">
        <f>AB69+AB73+AB77+AB81+AB85+AB89</f>
        <v/>
      </c>
      <c r="AC116">
        <f>AC69+AC73+AC77+AC81+AC85+AC89</f>
        <v/>
      </c>
      <c r="AD116">
        <f>AD69+AD73+AD77+AD81+AD85+AD89</f>
        <v/>
      </c>
      <c r="AE116">
        <f>AE69+AE73+AE77+AE81+AE85+AE89</f>
        <v/>
      </c>
      <c r="AF116">
        <f>AF69+AF73+AF77+AF81+AF85+AF89</f>
        <v/>
      </c>
      <c r="AG116">
        <f>AG69+AG73+AG77+AG81+AG85+AG89</f>
        <v/>
      </c>
    </row>
    <row r="117" hidden="1" outlineLevel="1">
      <c r="A117" s="60" t="inlineStr">
        <is>
          <t>(phụ trợ) ASTR</t>
        </is>
      </c>
      <c r="C117">
        <f>C71+C75+C79+C83+C87+C91</f>
        <v/>
      </c>
      <c r="D117">
        <f>D71+D75+D79+D83+D87+D91</f>
        <v/>
      </c>
      <c r="E117">
        <f>E71+E75+E79+E83+E87+E91</f>
        <v/>
      </c>
      <c r="F117">
        <f>F71+F75+F79+F83+F87+F91</f>
        <v/>
      </c>
      <c r="G117">
        <f>G71+G75+G79+G83+G87+G91</f>
        <v/>
      </c>
      <c r="H117">
        <f>H71+H75+H79+H83+H87+H91</f>
        <v/>
      </c>
      <c r="I117">
        <f>I71+I75+I79+I83+I87+I91</f>
        <v/>
      </c>
      <c r="J117">
        <f>J71+J75+J79+J83+J87+J91</f>
        <v/>
      </c>
      <c r="K117">
        <f>K71+K75+K79+K83+K87+K91</f>
        <v/>
      </c>
      <c r="L117">
        <f>L71+L75+L79+L83+L87+L91</f>
        <v/>
      </c>
      <c r="M117">
        <f>M71+M75+M79+M83+M87+M91</f>
        <v/>
      </c>
      <c r="N117">
        <f>N71+N75+N79+N83+N87+N91</f>
        <v/>
      </c>
      <c r="O117">
        <f>O71+O75+O79+O83+O87+O91</f>
        <v/>
      </c>
      <c r="P117">
        <f>P71+P75+P79+P83+P87+P91</f>
        <v/>
      </c>
      <c r="Q117">
        <f>Q71+Q75+Q79+Q83+Q87+Q91</f>
        <v/>
      </c>
      <c r="R117">
        <f>R71+R75+R79+R83+R87+R91</f>
        <v/>
      </c>
      <c r="S117">
        <f>S71+S75+S79+S83+S87+S91</f>
        <v/>
      </c>
      <c r="T117">
        <f>T71+T75+T79+T83+T87+T91</f>
        <v/>
      </c>
      <c r="U117">
        <f>U71+U75+U79+U83+U87+U91</f>
        <v/>
      </c>
      <c r="V117">
        <f>V71+V75+V79+V83+V87+V91</f>
        <v/>
      </c>
      <c r="W117">
        <f>W71+W75+W79+W83+W87+W91</f>
        <v/>
      </c>
      <c r="X117">
        <f>X71+X75+X79+X83+X87+X91</f>
        <v/>
      </c>
      <c r="Y117">
        <f>Y71+Y75+Y79+Y83+Y87+Y91</f>
        <v/>
      </c>
      <c r="Z117">
        <f>Z71+Z75+Z79+Z83+Z87+Z91</f>
        <v/>
      </c>
      <c r="AA117">
        <f>AA71+AA75+AA79+AA83+AA87+AA91</f>
        <v/>
      </c>
      <c r="AB117">
        <f>AB71+AB75+AB79+AB83+AB87+AB91</f>
        <v/>
      </c>
      <c r="AC117">
        <f>AC71+AC75+AC79+AC83+AC87+AC91</f>
        <v/>
      </c>
      <c r="AD117">
        <f>AD71+AD75+AD79+AD83+AD87+AD91</f>
        <v/>
      </c>
      <c r="AE117">
        <f>AE71+AE75+AE79+AE83+AE87+AE91</f>
        <v/>
      </c>
      <c r="AF117">
        <f>AF71+AF75+AF79+AF83+AF87+AF91</f>
        <v/>
      </c>
      <c r="AG117">
        <f>AG71+AG75+AG79+AG83+AG87+AG91</f>
        <v/>
      </c>
    </row>
    <row r="118" hidden="1" outlineLevel="1">
      <c r="A118" s="60" t="inlineStr">
        <is>
          <t>(phụ trợ) ASBL</t>
        </is>
      </c>
      <c r="C118">
        <f>C93+C97+C101+C105+C109+C113</f>
        <v/>
      </c>
      <c r="D118">
        <f>D93+D97+D101+D105+D109+D113</f>
        <v/>
      </c>
      <c r="E118">
        <f>E93+E97+E101+E105+E109+E113</f>
        <v/>
      </c>
      <c r="F118">
        <f>F93+F97+F101+F105+F109+F113</f>
        <v/>
      </c>
      <c r="G118">
        <f>G93+G97+G101+G105+G109+G113</f>
        <v/>
      </c>
      <c r="H118">
        <f>H93+H97+H101+H105+H109+H113</f>
        <v/>
      </c>
      <c r="I118">
        <f>I93+I97+I101+I105+I109+I113</f>
        <v/>
      </c>
      <c r="J118">
        <f>J93+J97+J101+J105+J109+J113</f>
        <v/>
      </c>
      <c r="K118">
        <f>K93+K97+K101+K105+K109+K113</f>
        <v/>
      </c>
      <c r="L118">
        <f>L93+L97+L101+L105+L109+L113</f>
        <v/>
      </c>
      <c r="M118">
        <f>M93+M97+M101+M105+M109+M113</f>
        <v/>
      </c>
      <c r="N118">
        <f>N93+N97+N101+N105+N109+N113</f>
        <v/>
      </c>
      <c r="O118">
        <f>O93+O97+O101+O105+O109+O113</f>
        <v/>
      </c>
      <c r="P118">
        <f>P93+P97+P101+P105+P109+P113</f>
        <v/>
      </c>
      <c r="Q118">
        <f>Q93+Q97+Q101+Q105+Q109+Q113</f>
        <v/>
      </c>
      <c r="R118">
        <f>R93+R97+R101+R105+R109+R113</f>
        <v/>
      </c>
      <c r="S118">
        <f>S93+S97+S101+S105+S109+S113</f>
        <v/>
      </c>
      <c r="T118">
        <f>T93+T97+T101+T105+T109+T113</f>
        <v/>
      </c>
      <c r="U118">
        <f>U93+U97+U101+U105+U109+U113</f>
        <v/>
      </c>
      <c r="V118">
        <f>V93+V97+V101+V105+V109+V113</f>
        <v/>
      </c>
      <c r="W118">
        <f>W93+W97+W101+W105+W109+W113</f>
        <v/>
      </c>
      <c r="X118">
        <f>X93+X97+X101+X105+X109+X113</f>
        <v/>
      </c>
      <c r="Y118">
        <f>Y93+Y97+Y101+Y105+Y109+Y113</f>
        <v/>
      </c>
      <c r="Z118">
        <f>Z93+Z97+Z101+Z105+Z109+Z113</f>
        <v/>
      </c>
      <c r="AA118">
        <f>AA93+AA97+AA101+AA105+AA109+AA113</f>
        <v/>
      </c>
      <c r="AB118">
        <f>AB93+AB97+AB101+AB105+AB109+AB113</f>
        <v/>
      </c>
      <c r="AC118">
        <f>AC93+AC97+AC101+AC105+AC109+AC113</f>
        <v/>
      </c>
      <c r="AD118">
        <f>AD93+AD97+AD101+AD105+AD109+AD113</f>
        <v/>
      </c>
      <c r="AE118">
        <f>AE93+AE97+AE101+AE105+AE109+AE113</f>
        <v/>
      </c>
      <c r="AF118">
        <f>AF93+AF97+AF101+AF105+AF109+AF113</f>
        <v/>
      </c>
      <c r="AG118">
        <f>AG93+AG97+AG101+AG105+AG109+AG113</f>
        <v/>
      </c>
    </row>
    <row r="119" hidden="1" outlineLevel="1">
      <c r="A119" s="60" t="inlineStr">
        <is>
          <t>(phụ trợ) ASBR</t>
        </is>
      </c>
      <c r="C119">
        <f>C95+C99+C103+C107+C111+C115</f>
        <v/>
      </c>
      <c r="D119">
        <f>D95+D99+D103+D107+D111+D115</f>
        <v/>
      </c>
      <c r="E119">
        <f>E95+E99+E103+E107+E111+E115</f>
        <v/>
      </c>
      <c r="F119">
        <f>F95+F99+F103+F107+F111+F115</f>
        <v/>
      </c>
      <c r="G119">
        <f>G95+G99+G103+G107+G111+G115</f>
        <v/>
      </c>
      <c r="H119">
        <f>H95+H99+H103+H107+H111+H115</f>
        <v/>
      </c>
      <c r="I119">
        <f>I95+I99+I103+I107+I111+I115</f>
        <v/>
      </c>
      <c r="J119">
        <f>J95+J99+J103+J107+J111+J115</f>
        <v/>
      </c>
      <c r="K119">
        <f>K95+K99+K103+K107+K111+K115</f>
        <v/>
      </c>
      <c r="L119">
        <f>L95+L99+L103+L107+L111+L115</f>
        <v/>
      </c>
      <c r="M119">
        <f>M95+M99+M103+M107+M111+M115</f>
        <v/>
      </c>
      <c r="N119">
        <f>N95+N99+N103+N107+N111+N115</f>
        <v/>
      </c>
      <c r="O119">
        <f>O95+O99+O103+O107+O111+O115</f>
        <v/>
      </c>
      <c r="P119">
        <f>P95+P99+P103+P107+P111+P115</f>
        <v/>
      </c>
      <c r="Q119">
        <f>Q95+Q99+Q103+Q107+Q111+Q115</f>
        <v/>
      </c>
      <c r="R119">
        <f>R95+R99+R103+R107+R111+R115</f>
        <v/>
      </c>
      <c r="S119">
        <f>S95+S99+S103+S107+S111+S115</f>
        <v/>
      </c>
      <c r="T119">
        <f>T95+T99+T103+T107+T111+T115</f>
        <v/>
      </c>
      <c r="U119">
        <f>U95+U99+U103+U107+U111+U115</f>
        <v/>
      </c>
      <c r="V119">
        <f>V95+V99+V103+V107+V111+V115</f>
        <v/>
      </c>
      <c r="W119">
        <f>W95+W99+W103+W107+W111+W115</f>
        <v/>
      </c>
      <c r="X119">
        <f>X95+X99+X103+X107+X111+X115</f>
        <v/>
      </c>
      <c r="Y119">
        <f>Y95+Y99+Y103+Y107+Y111+Y115</f>
        <v/>
      </c>
      <c r="Z119">
        <f>Z95+Z99+Z103+Z107+Z111+Z115</f>
        <v/>
      </c>
      <c r="AA119">
        <f>AA95+AA99+AA103+AA107+AA111+AA115</f>
        <v/>
      </c>
      <c r="AB119">
        <f>AB95+AB99+AB103+AB107+AB111+AB115</f>
        <v/>
      </c>
      <c r="AC119">
        <f>AC95+AC99+AC103+AC107+AC111+AC115</f>
        <v/>
      </c>
      <c r="AD119">
        <f>AD95+AD99+AD103+AD107+AD111+AD115</f>
        <v/>
      </c>
      <c r="AE119">
        <f>AE95+AE99+AE103+AE107+AE111+AE115</f>
        <v/>
      </c>
      <c r="AF119">
        <f>AF95+AF99+AF103+AF107+AF111+AF115</f>
        <v/>
      </c>
      <c r="AG119">
        <f>AG95+AG99+AG103+AG107+AG111+AG115</f>
        <v/>
      </c>
    </row>
    <row r="120" hidden="1" outlineLevel="1">
      <c r="A120" s="60" t="inlineStr">
        <is>
          <t>(phụ trợ) YTL</t>
        </is>
      </c>
      <c r="C120">
        <f>IF(C37="","",IFERROR(LEFT(C37,FIND("/",C37&amp;"/")-1)*1,IFERROR(SUBSTITUTE(LEFT(C37,FIND("/",C37&amp;"/")-1),".",",")*1,IFERROR(SUBSTITUTE(LEFT(C37,FIND("/",C37&amp;"/")-1),",",".")*1,0))))</f>
        <v/>
      </c>
      <c r="D120">
        <f>IF(D37="","",IFERROR(LEFT(D37,FIND("/",D37&amp;"/")-1)*1,IFERROR(SUBSTITUTE(LEFT(D37,FIND("/",D37&amp;"/")-1),".",",")*1,IFERROR(SUBSTITUTE(LEFT(D37,FIND("/",D37&amp;"/")-1),",",".")*1,0))))</f>
        <v/>
      </c>
      <c r="E120">
        <f>IF(E37="","",IFERROR(LEFT(E37,FIND("/",E37&amp;"/")-1)*1,IFERROR(SUBSTITUTE(LEFT(E37,FIND("/",E37&amp;"/")-1),".",",")*1,IFERROR(SUBSTITUTE(LEFT(E37,FIND("/",E37&amp;"/")-1),",",".")*1,0))))</f>
        <v/>
      </c>
      <c r="F120">
        <f>IF(F37="","",IFERROR(LEFT(F37,FIND("/",F37&amp;"/")-1)*1,IFERROR(SUBSTITUTE(LEFT(F37,FIND("/",F37&amp;"/")-1),".",",")*1,IFERROR(SUBSTITUTE(LEFT(F37,FIND("/",F37&amp;"/")-1),",",".")*1,0))))</f>
        <v/>
      </c>
      <c r="G120">
        <f>IF(G37="","",IFERROR(LEFT(G37,FIND("/",G37&amp;"/")-1)*1,IFERROR(SUBSTITUTE(LEFT(G37,FIND("/",G37&amp;"/")-1),".",",")*1,IFERROR(SUBSTITUTE(LEFT(G37,FIND("/",G37&amp;"/")-1),",",".")*1,0))))</f>
        <v/>
      </c>
      <c r="H120">
        <f>IF(H37="","",IFERROR(LEFT(H37,FIND("/",H37&amp;"/")-1)*1,IFERROR(SUBSTITUTE(LEFT(H37,FIND("/",H37&amp;"/")-1),".",",")*1,IFERROR(SUBSTITUTE(LEFT(H37,FIND("/",H37&amp;"/")-1),",",".")*1,0))))</f>
        <v/>
      </c>
      <c r="I120">
        <f>IF(I37="","",IFERROR(LEFT(I37,FIND("/",I37&amp;"/")-1)*1,IFERROR(SUBSTITUTE(LEFT(I37,FIND("/",I37&amp;"/")-1),".",",")*1,IFERROR(SUBSTITUTE(LEFT(I37,FIND("/",I37&amp;"/")-1),",",".")*1,0))))</f>
        <v/>
      </c>
      <c r="J120">
        <f>IF(J37="","",IFERROR(LEFT(J37,FIND("/",J37&amp;"/")-1)*1,IFERROR(SUBSTITUTE(LEFT(J37,FIND("/",J37&amp;"/")-1),".",",")*1,IFERROR(SUBSTITUTE(LEFT(J37,FIND("/",J37&amp;"/")-1),",",".")*1,0))))</f>
        <v/>
      </c>
      <c r="K120">
        <f>IF(K37="","",IFERROR(LEFT(K37,FIND("/",K37&amp;"/")-1)*1,IFERROR(SUBSTITUTE(LEFT(K37,FIND("/",K37&amp;"/")-1),".",",")*1,IFERROR(SUBSTITUTE(LEFT(K37,FIND("/",K37&amp;"/")-1),",",".")*1,0))))</f>
        <v/>
      </c>
      <c r="L120">
        <f>IF(L37="","",IFERROR(LEFT(L37,FIND("/",L37&amp;"/")-1)*1,IFERROR(SUBSTITUTE(LEFT(L37,FIND("/",L37&amp;"/")-1),".",",")*1,IFERROR(SUBSTITUTE(LEFT(L37,FIND("/",L37&amp;"/")-1),",",".")*1,0))))</f>
        <v/>
      </c>
      <c r="M120">
        <f>IF(M37="","",IFERROR(LEFT(M37,FIND("/",M37&amp;"/")-1)*1,IFERROR(SUBSTITUTE(LEFT(M37,FIND("/",M37&amp;"/")-1),".",",")*1,IFERROR(SUBSTITUTE(LEFT(M37,FIND("/",M37&amp;"/")-1),",",".")*1,0))))</f>
        <v/>
      </c>
      <c r="N120">
        <f>IF(N37="","",IFERROR(LEFT(N37,FIND("/",N37&amp;"/")-1)*1,IFERROR(SUBSTITUTE(LEFT(N37,FIND("/",N37&amp;"/")-1),".",",")*1,IFERROR(SUBSTITUTE(LEFT(N37,FIND("/",N37&amp;"/")-1),",",".")*1,0))))</f>
        <v/>
      </c>
      <c r="O120">
        <f>IF(O37="","",IFERROR(LEFT(O37,FIND("/",O37&amp;"/")-1)*1,IFERROR(SUBSTITUTE(LEFT(O37,FIND("/",O37&amp;"/")-1),".",",")*1,IFERROR(SUBSTITUTE(LEFT(O37,FIND("/",O37&amp;"/")-1),",",".")*1,0))))</f>
        <v/>
      </c>
      <c r="P120">
        <f>IF(P37="","",IFERROR(LEFT(P37,FIND("/",P37&amp;"/")-1)*1,IFERROR(SUBSTITUTE(LEFT(P37,FIND("/",P37&amp;"/")-1),".",",")*1,IFERROR(SUBSTITUTE(LEFT(P37,FIND("/",P37&amp;"/")-1),",",".")*1,0))))</f>
        <v/>
      </c>
      <c r="Q120">
        <f>IF(Q37="","",IFERROR(LEFT(Q37,FIND("/",Q37&amp;"/")-1)*1,IFERROR(SUBSTITUTE(LEFT(Q37,FIND("/",Q37&amp;"/")-1),".",",")*1,IFERROR(SUBSTITUTE(LEFT(Q37,FIND("/",Q37&amp;"/")-1),",",".")*1,0))))</f>
        <v/>
      </c>
      <c r="R120">
        <f>IF(R37="","",IFERROR(LEFT(R37,FIND("/",R37&amp;"/")-1)*1,IFERROR(SUBSTITUTE(LEFT(R37,FIND("/",R37&amp;"/")-1),".",",")*1,IFERROR(SUBSTITUTE(LEFT(R37,FIND("/",R37&amp;"/")-1),",",".")*1,0))))</f>
        <v/>
      </c>
      <c r="S120">
        <f>IF(S37="","",IFERROR(LEFT(S37,FIND("/",S37&amp;"/")-1)*1,IFERROR(SUBSTITUTE(LEFT(S37,FIND("/",S37&amp;"/")-1),".",",")*1,IFERROR(SUBSTITUTE(LEFT(S37,FIND("/",S37&amp;"/")-1),",",".")*1,0))))</f>
        <v/>
      </c>
      <c r="T120">
        <f>IF(T37="","",IFERROR(LEFT(T37,FIND("/",T37&amp;"/")-1)*1,IFERROR(SUBSTITUTE(LEFT(T37,FIND("/",T37&amp;"/")-1),".",",")*1,IFERROR(SUBSTITUTE(LEFT(T37,FIND("/",T37&amp;"/")-1),",",".")*1,0))))</f>
        <v/>
      </c>
      <c r="U120">
        <f>IF(U37="","",IFERROR(LEFT(U37,FIND("/",U37&amp;"/")-1)*1,IFERROR(SUBSTITUTE(LEFT(U37,FIND("/",U37&amp;"/")-1),".",",")*1,IFERROR(SUBSTITUTE(LEFT(U37,FIND("/",U37&amp;"/")-1),",",".")*1,0))))</f>
        <v/>
      </c>
      <c r="V120">
        <f>IF(V37="","",IFERROR(LEFT(V37,FIND("/",V37&amp;"/")-1)*1,IFERROR(SUBSTITUTE(LEFT(V37,FIND("/",V37&amp;"/")-1),".",",")*1,IFERROR(SUBSTITUTE(LEFT(V37,FIND("/",V37&amp;"/")-1),",",".")*1,0))))</f>
        <v/>
      </c>
      <c r="W120">
        <f>IF(W37="","",IFERROR(LEFT(W37,FIND("/",W37&amp;"/")-1)*1,IFERROR(SUBSTITUTE(LEFT(W37,FIND("/",W37&amp;"/")-1),".",",")*1,IFERROR(SUBSTITUTE(LEFT(W37,FIND("/",W37&amp;"/")-1),",",".")*1,0))))</f>
        <v/>
      </c>
      <c r="X120">
        <f>IF(X37="","",IFERROR(LEFT(X37,FIND("/",X37&amp;"/")-1)*1,IFERROR(SUBSTITUTE(LEFT(X37,FIND("/",X37&amp;"/")-1),".",",")*1,IFERROR(SUBSTITUTE(LEFT(X37,FIND("/",X37&amp;"/")-1),",",".")*1,0))))</f>
        <v/>
      </c>
      <c r="Y120">
        <f>IF(Y37="","",IFERROR(LEFT(Y37,FIND("/",Y37&amp;"/")-1)*1,IFERROR(SUBSTITUTE(LEFT(Y37,FIND("/",Y37&amp;"/")-1),".",",")*1,IFERROR(SUBSTITUTE(LEFT(Y37,FIND("/",Y37&amp;"/")-1),",",".")*1,0))))</f>
        <v/>
      </c>
      <c r="Z120">
        <f>IF(Z37="","",IFERROR(LEFT(Z37,FIND("/",Z37&amp;"/")-1)*1,IFERROR(SUBSTITUTE(LEFT(Z37,FIND("/",Z37&amp;"/")-1),".",",")*1,IFERROR(SUBSTITUTE(LEFT(Z37,FIND("/",Z37&amp;"/")-1),",",".")*1,0))))</f>
        <v/>
      </c>
      <c r="AA120">
        <f>IF(AA37="","",IFERROR(LEFT(AA37,FIND("/",AA37&amp;"/")-1)*1,IFERROR(SUBSTITUTE(LEFT(AA37,FIND("/",AA37&amp;"/")-1),".",",")*1,IFERROR(SUBSTITUTE(LEFT(AA37,FIND("/",AA37&amp;"/")-1),",",".")*1,0))))</f>
        <v/>
      </c>
      <c r="AB120">
        <f>IF(AB37="","",IFERROR(LEFT(AB37,FIND("/",AB37&amp;"/")-1)*1,IFERROR(SUBSTITUTE(LEFT(AB37,FIND("/",AB37&amp;"/")-1),".",",")*1,IFERROR(SUBSTITUTE(LEFT(AB37,FIND("/",AB37&amp;"/")-1),",",".")*1,0))))</f>
        <v/>
      </c>
      <c r="AC120">
        <f>IF(AC37="","",IFERROR(LEFT(AC37,FIND("/",AC37&amp;"/")-1)*1,IFERROR(SUBSTITUTE(LEFT(AC37,FIND("/",AC37&amp;"/")-1),".",",")*1,IFERROR(SUBSTITUTE(LEFT(AC37,FIND("/",AC37&amp;"/")-1),",",".")*1,0))))</f>
        <v/>
      </c>
      <c r="AD120">
        <f>IF(AD37="","",IFERROR(LEFT(AD37,FIND("/",AD37&amp;"/")-1)*1,IFERROR(SUBSTITUTE(LEFT(AD37,FIND("/",AD37&amp;"/")-1),".",",")*1,IFERROR(SUBSTITUTE(LEFT(AD37,FIND("/",AD37&amp;"/")-1),",",".")*1,0))))</f>
        <v/>
      </c>
      <c r="AE120">
        <f>IF(AE37="","",IFERROR(LEFT(AE37,FIND("/",AE37&amp;"/")-1)*1,IFERROR(SUBSTITUTE(LEFT(AE37,FIND("/",AE37&amp;"/")-1),".",",")*1,IFERROR(SUBSTITUTE(LEFT(AE37,FIND("/",AE37&amp;"/")-1),",",".")*1,0))))</f>
        <v/>
      </c>
      <c r="AF120">
        <f>IF(AF37="","",IFERROR(LEFT(AF37,FIND("/",AF37&amp;"/")-1)*1,IFERROR(SUBSTITUTE(LEFT(AF37,FIND("/",AF37&amp;"/")-1),".",",")*1,IFERROR(SUBSTITUTE(LEFT(AF37,FIND("/",AF37&amp;"/")-1),",",".")*1,0))))</f>
        <v/>
      </c>
      <c r="AG120">
        <f>IF(AG37="","",IFERROR(LEFT(AG37,FIND("/",AG37&amp;"/")-1)*1,IFERROR(SUBSTITUTE(LEFT(AG37,FIND("/",AG37&amp;"/")-1),".",",")*1,IFERROR(SUBSTITUTE(LEFT(AG37,FIND("/",AG37&amp;"/")-1),",",".")*1,0))))</f>
        <v/>
      </c>
    </row>
    <row r="121" hidden="1" outlineLevel="1">
      <c r="A121" s="60" t="inlineStr">
        <is>
          <t>(phụ trợ) YTR</t>
        </is>
      </c>
      <c r="C121">
        <f>IF(C37="","",IF(ISNUMBER(FIND("/",C37)),IFERROR(MID(C37,FIND("/",C37)+1,20)*1,IFERROR(SUBSTITUTE(MID(C37,FIND("/",C37)+1,20),".",",")*1,IFERROR(SUBSTITUTE(MID(C37,FIND("/",C37)+1,20),",",".")*1,0))),C120))</f>
        <v/>
      </c>
      <c r="D121">
        <f>IF(D37="","",IF(ISNUMBER(FIND("/",D37)),IFERROR(MID(D37,FIND("/",D37)+1,20)*1,IFERROR(SUBSTITUTE(MID(D37,FIND("/",D37)+1,20),".",",")*1,IFERROR(SUBSTITUTE(MID(D37,FIND("/",D37)+1,20),",",".")*1,0))),D120))</f>
        <v/>
      </c>
      <c r="E121">
        <f>IF(E37="","",IF(ISNUMBER(FIND("/",E37)),IFERROR(MID(E37,FIND("/",E37)+1,20)*1,IFERROR(SUBSTITUTE(MID(E37,FIND("/",E37)+1,20),".",",")*1,IFERROR(SUBSTITUTE(MID(E37,FIND("/",E37)+1,20),",",".")*1,0))),E120))</f>
        <v/>
      </c>
      <c r="F121">
        <f>IF(F37="","",IF(ISNUMBER(FIND("/",F37)),IFERROR(MID(F37,FIND("/",F37)+1,20)*1,IFERROR(SUBSTITUTE(MID(F37,FIND("/",F37)+1,20),".",",")*1,IFERROR(SUBSTITUTE(MID(F37,FIND("/",F37)+1,20),",",".")*1,0))),F120))</f>
        <v/>
      </c>
      <c r="G121">
        <f>IF(G37="","",IF(ISNUMBER(FIND("/",G37)),IFERROR(MID(G37,FIND("/",G37)+1,20)*1,IFERROR(SUBSTITUTE(MID(G37,FIND("/",G37)+1,20),".",",")*1,IFERROR(SUBSTITUTE(MID(G37,FIND("/",G37)+1,20),",",".")*1,0))),G120))</f>
        <v/>
      </c>
      <c r="H121">
        <f>IF(H37="","",IF(ISNUMBER(FIND("/",H37)),IFERROR(MID(H37,FIND("/",H37)+1,20)*1,IFERROR(SUBSTITUTE(MID(H37,FIND("/",H37)+1,20),".",",")*1,IFERROR(SUBSTITUTE(MID(H37,FIND("/",H37)+1,20),",",".")*1,0))),H120))</f>
        <v/>
      </c>
      <c r="I121">
        <f>IF(I37="","",IF(ISNUMBER(FIND("/",I37)),IFERROR(MID(I37,FIND("/",I37)+1,20)*1,IFERROR(SUBSTITUTE(MID(I37,FIND("/",I37)+1,20),".",",")*1,IFERROR(SUBSTITUTE(MID(I37,FIND("/",I37)+1,20),",",".")*1,0))),I120))</f>
        <v/>
      </c>
      <c r="J121">
        <f>IF(J37="","",IF(ISNUMBER(FIND("/",J37)),IFERROR(MID(J37,FIND("/",J37)+1,20)*1,IFERROR(SUBSTITUTE(MID(J37,FIND("/",J37)+1,20),".",",")*1,IFERROR(SUBSTITUTE(MID(J37,FIND("/",J37)+1,20),",",".")*1,0))),J120))</f>
        <v/>
      </c>
      <c r="K121">
        <f>IF(K37="","",IF(ISNUMBER(FIND("/",K37)),IFERROR(MID(K37,FIND("/",K37)+1,20)*1,IFERROR(SUBSTITUTE(MID(K37,FIND("/",K37)+1,20),".",",")*1,IFERROR(SUBSTITUTE(MID(K37,FIND("/",K37)+1,20),",",".")*1,0))),K120))</f>
        <v/>
      </c>
      <c r="L121">
        <f>IF(L37="","",IF(ISNUMBER(FIND("/",L37)),IFERROR(MID(L37,FIND("/",L37)+1,20)*1,IFERROR(SUBSTITUTE(MID(L37,FIND("/",L37)+1,20),".",",")*1,IFERROR(SUBSTITUTE(MID(L37,FIND("/",L37)+1,20),",",".")*1,0))),L120))</f>
        <v/>
      </c>
      <c r="M121">
        <f>IF(M37="","",IF(ISNUMBER(FIND("/",M37)),IFERROR(MID(M37,FIND("/",M37)+1,20)*1,IFERROR(SUBSTITUTE(MID(M37,FIND("/",M37)+1,20),".",",")*1,IFERROR(SUBSTITUTE(MID(M37,FIND("/",M37)+1,20),",",".")*1,0))),M120))</f>
        <v/>
      </c>
      <c r="N121">
        <f>IF(N37="","",IF(ISNUMBER(FIND("/",N37)),IFERROR(MID(N37,FIND("/",N37)+1,20)*1,IFERROR(SUBSTITUTE(MID(N37,FIND("/",N37)+1,20),".",",")*1,IFERROR(SUBSTITUTE(MID(N37,FIND("/",N37)+1,20),",",".")*1,0))),N120))</f>
        <v/>
      </c>
      <c r="O121">
        <f>IF(O37="","",IF(ISNUMBER(FIND("/",O37)),IFERROR(MID(O37,FIND("/",O37)+1,20)*1,IFERROR(SUBSTITUTE(MID(O37,FIND("/",O37)+1,20),".",",")*1,IFERROR(SUBSTITUTE(MID(O37,FIND("/",O37)+1,20),",",".")*1,0))),O120))</f>
        <v/>
      </c>
      <c r="P121">
        <f>IF(P37="","",IF(ISNUMBER(FIND("/",P37)),IFERROR(MID(P37,FIND("/",P37)+1,20)*1,IFERROR(SUBSTITUTE(MID(P37,FIND("/",P37)+1,20),".",",")*1,IFERROR(SUBSTITUTE(MID(P37,FIND("/",P37)+1,20),",",".")*1,0))),P120))</f>
        <v/>
      </c>
      <c r="Q121">
        <f>IF(Q37="","",IF(ISNUMBER(FIND("/",Q37)),IFERROR(MID(Q37,FIND("/",Q37)+1,20)*1,IFERROR(SUBSTITUTE(MID(Q37,FIND("/",Q37)+1,20),".",",")*1,IFERROR(SUBSTITUTE(MID(Q37,FIND("/",Q37)+1,20),",",".")*1,0))),Q120))</f>
        <v/>
      </c>
      <c r="R121">
        <f>IF(R37="","",IF(ISNUMBER(FIND("/",R37)),IFERROR(MID(R37,FIND("/",R37)+1,20)*1,IFERROR(SUBSTITUTE(MID(R37,FIND("/",R37)+1,20),".",",")*1,IFERROR(SUBSTITUTE(MID(R37,FIND("/",R37)+1,20),",",".")*1,0))),R120))</f>
        <v/>
      </c>
      <c r="S121">
        <f>IF(S37="","",IF(ISNUMBER(FIND("/",S37)),IFERROR(MID(S37,FIND("/",S37)+1,20)*1,IFERROR(SUBSTITUTE(MID(S37,FIND("/",S37)+1,20),".",",")*1,IFERROR(SUBSTITUTE(MID(S37,FIND("/",S37)+1,20),",",".")*1,0))),S120))</f>
        <v/>
      </c>
      <c r="T121">
        <f>IF(T37="","",IF(ISNUMBER(FIND("/",T37)),IFERROR(MID(T37,FIND("/",T37)+1,20)*1,IFERROR(SUBSTITUTE(MID(T37,FIND("/",T37)+1,20),".",",")*1,IFERROR(SUBSTITUTE(MID(T37,FIND("/",T37)+1,20),",",".")*1,0))),T120))</f>
        <v/>
      </c>
      <c r="U121">
        <f>IF(U37="","",IF(ISNUMBER(FIND("/",U37)),IFERROR(MID(U37,FIND("/",U37)+1,20)*1,IFERROR(SUBSTITUTE(MID(U37,FIND("/",U37)+1,20),".",",")*1,IFERROR(SUBSTITUTE(MID(U37,FIND("/",U37)+1,20),",",".")*1,0))),U120))</f>
        <v/>
      </c>
      <c r="V121">
        <f>IF(V37="","",IF(ISNUMBER(FIND("/",V37)),IFERROR(MID(V37,FIND("/",V37)+1,20)*1,IFERROR(SUBSTITUTE(MID(V37,FIND("/",V37)+1,20),".",",")*1,IFERROR(SUBSTITUTE(MID(V37,FIND("/",V37)+1,20),",",".")*1,0))),V120))</f>
        <v/>
      </c>
      <c r="W121">
        <f>IF(W37="","",IF(ISNUMBER(FIND("/",W37)),IFERROR(MID(W37,FIND("/",W37)+1,20)*1,IFERROR(SUBSTITUTE(MID(W37,FIND("/",W37)+1,20),".",",")*1,IFERROR(SUBSTITUTE(MID(W37,FIND("/",W37)+1,20),",",".")*1,0))),W120))</f>
        <v/>
      </c>
      <c r="X121">
        <f>IF(X37="","",IF(ISNUMBER(FIND("/",X37)),IFERROR(MID(X37,FIND("/",X37)+1,20)*1,IFERROR(SUBSTITUTE(MID(X37,FIND("/",X37)+1,20),".",",")*1,IFERROR(SUBSTITUTE(MID(X37,FIND("/",X37)+1,20),",",".")*1,0))),X120))</f>
        <v/>
      </c>
      <c r="Y121">
        <f>IF(Y37="","",IF(ISNUMBER(FIND("/",Y37)),IFERROR(MID(Y37,FIND("/",Y37)+1,20)*1,IFERROR(SUBSTITUTE(MID(Y37,FIND("/",Y37)+1,20),".",",")*1,IFERROR(SUBSTITUTE(MID(Y37,FIND("/",Y37)+1,20),",",".")*1,0))),Y120))</f>
        <v/>
      </c>
      <c r="Z121">
        <f>IF(Z37="","",IF(ISNUMBER(FIND("/",Z37)),IFERROR(MID(Z37,FIND("/",Z37)+1,20)*1,IFERROR(SUBSTITUTE(MID(Z37,FIND("/",Z37)+1,20),".",",")*1,IFERROR(SUBSTITUTE(MID(Z37,FIND("/",Z37)+1,20),",",".")*1,0))),Z120))</f>
        <v/>
      </c>
      <c r="AA121">
        <f>IF(AA37="","",IF(ISNUMBER(FIND("/",AA37)),IFERROR(MID(AA37,FIND("/",AA37)+1,20)*1,IFERROR(SUBSTITUTE(MID(AA37,FIND("/",AA37)+1,20),".",",")*1,IFERROR(SUBSTITUTE(MID(AA37,FIND("/",AA37)+1,20),",",".")*1,0))),AA120))</f>
        <v/>
      </c>
      <c r="AB121">
        <f>IF(AB37="","",IF(ISNUMBER(FIND("/",AB37)),IFERROR(MID(AB37,FIND("/",AB37)+1,20)*1,IFERROR(SUBSTITUTE(MID(AB37,FIND("/",AB37)+1,20),".",",")*1,IFERROR(SUBSTITUTE(MID(AB37,FIND("/",AB37)+1,20),",",".")*1,0))),AB120))</f>
        <v/>
      </c>
      <c r="AC121">
        <f>IF(AC37="","",IF(ISNUMBER(FIND("/",AC37)),IFERROR(MID(AC37,FIND("/",AC37)+1,20)*1,IFERROR(SUBSTITUTE(MID(AC37,FIND("/",AC37)+1,20),".",",")*1,IFERROR(SUBSTITUTE(MID(AC37,FIND("/",AC37)+1,20),",",".")*1,0))),AC120))</f>
        <v/>
      </c>
      <c r="AD121">
        <f>IF(AD37="","",IF(ISNUMBER(FIND("/",AD37)),IFERROR(MID(AD37,FIND("/",AD37)+1,20)*1,IFERROR(SUBSTITUTE(MID(AD37,FIND("/",AD37)+1,20),".",",")*1,IFERROR(SUBSTITUTE(MID(AD37,FIND("/",AD37)+1,20),",",".")*1,0))),AD120))</f>
        <v/>
      </c>
      <c r="AE121">
        <f>IF(AE37="","",IF(ISNUMBER(FIND("/",AE37)),IFERROR(MID(AE37,FIND("/",AE37)+1,20)*1,IFERROR(SUBSTITUTE(MID(AE37,FIND("/",AE37)+1,20),".",",")*1,IFERROR(SUBSTITUTE(MID(AE37,FIND("/",AE37)+1,20),",",".")*1,0))),AE120))</f>
        <v/>
      </c>
      <c r="AF121">
        <f>IF(AF37="","",IF(ISNUMBER(FIND("/",AF37)),IFERROR(MID(AF37,FIND("/",AF37)+1,20)*1,IFERROR(SUBSTITUTE(MID(AF37,FIND("/",AF37)+1,20),".",",")*1,IFERROR(SUBSTITUTE(MID(AF37,FIND("/",AF37)+1,20),",",".")*1,0))),AF120))</f>
        <v/>
      </c>
      <c r="AG121">
        <f>IF(AG37="","",IF(ISNUMBER(FIND("/",AG37)),IFERROR(MID(AG37,FIND("/",AG37)+1,20)*1,IFERROR(SUBSTITUTE(MID(AG37,FIND("/",AG37)+1,20),".",",")*1,IFERROR(SUBSTITUTE(MID(AG37,FIND("/",AG37)+1,20),",",".")*1,0))),AG120))</f>
        <v/>
      </c>
    </row>
    <row r="122" hidden="1" outlineLevel="1">
      <c r="A122" s="60" t="inlineStr">
        <is>
          <t>(phụ trợ) YBL</t>
        </is>
      </c>
      <c r="C122">
        <f>IF(C40="","",IFERROR(LEFT(C40,FIND("/",C40&amp;"/")-1)*1,IFERROR(SUBSTITUTE(LEFT(C40,FIND("/",C40&amp;"/")-1),".",",")*1,IFERROR(SUBSTITUTE(LEFT(C40,FIND("/",C40&amp;"/")-1),",",".")*1,0))))</f>
        <v/>
      </c>
      <c r="D122">
        <f>IF(D40="","",IFERROR(LEFT(D40,FIND("/",D40&amp;"/")-1)*1,IFERROR(SUBSTITUTE(LEFT(D40,FIND("/",D40&amp;"/")-1),".",",")*1,IFERROR(SUBSTITUTE(LEFT(D40,FIND("/",D40&amp;"/")-1),",",".")*1,0))))</f>
        <v/>
      </c>
      <c r="E122">
        <f>IF(E40="","",IFERROR(LEFT(E40,FIND("/",E40&amp;"/")-1)*1,IFERROR(SUBSTITUTE(LEFT(E40,FIND("/",E40&amp;"/")-1),".",",")*1,IFERROR(SUBSTITUTE(LEFT(E40,FIND("/",E40&amp;"/")-1),",",".")*1,0))))</f>
        <v/>
      </c>
      <c r="F122">
        <f>IF(F40="","",IFERROR(LEFT(F40,FIND("/",F40&amp;"/")-1)*1,IFERROR(SUBSTITUTE(LEFT(F40,FIND("/",F40&amp;"/")-1),".",",")*1,IFERROR(SUBSTITUTE(LEFT(F40,FIND("/",F40&amp;"/")-1),",",".")*1,0))))</f>
        <v/>
      </c>
      <c r="G122">
        <f>IF(G40="","",IFERROR(LEFT(G40,FIND("/",G40&amp;"/")-1)*1,IFERROR(SUBSTITUTE(LEFT(G40,FIND("/",G40&amp;"/")-1),".",",")*1,IFERROR(SUBSTITUTE(LEFT(G40,FIND("/",G40&amp;"/")-1),",",".")*1,0))))</f>
        <v/>
      </c>
      <c r="H122">
        <f>IF(H40="","",IFERROR(LEFT(H40,FIND("/",H40&amp;"/")-1)*1,IFERROR(SUBSTITUTE(LEFT(H40,FIND("/",H40&amp;"/")-1),".",",")*1,IFERROR(SUBSTITUTE(LEFT(H40,FIND("/",H40&amp;"/")-1),",",".")*1,0))))</f>
        <v/>
      </c>
      <c r="I122">
        <f>IF(I40="","",IFERROR(LEFT(I40,FIND("/",I40&amp;"/")-1)*1,IFERROR(SUBSTITUTE(LEFT(I40,FIND("/",I40&amp;"/")-1),".",",")*1,IFERROR(SUBSTITUTE(LEFT(I40,FIND("/",I40&amp;"/")-1),",",".")*1,0))))</f>
        <v/>
      </c>
      <c r="J122">
        <f>IF(J40="","",IFERROR(LEFT(J40,FIND("/",J40&amp;"/")-1)*1,IFERROR(SUBSTITUTE(LEFT(J40,FIND("/",J40&amp;"/")-1),".",",")*1,IFERROR(SUBSTITUTE(LEFT(J40,FIND("/",J40&amp;"/")-1),",",".")*1,0))))</f>
        <v/>
      </c>
      <c r="K122">
        <f>IF(K40="","",IFERROR(LEFT(K40,FIND("/",K40&amp;"/")-1)*1,IFERROR(SUBSTITUTE(LEFT(K40,FIND("/",K40&amp;"/")-1),".",",")*1,IFERROR(SUBSTITUTE(LEFT(K40,FIND("/",K40&amp;"/")-1),",",".")*1,0))))</f>
        <v/>
      </c>
      <c r="L122">
        <f>IF(L40="","",IFERROR(LEFT(L40,FIND("/",L40&amp;"/")-1)*1,IFERROR(SUBSTITUTE(LEFT(L40,FIND("/",L40&amp;"/")-1),".",",")*1,IFERROR(SUBSTITUTE(LEFT(L40,FIND("/",L40&amp;"/")-1),",",".")*1,0))))</f>
        <v/>
      </c>
      <c r="M122">
        <f>IF(M40="","",IFERROR(LEFT(M40,FIND("/",M40&amp;"/")-1)*1,IFERROR(SUBSTITUTE(LEFT(M40,FIND("/",M40&amp;"/")-1),".",",")*1,IFERROR(SUBSTITUTE(LEFT(M40,FIND("/",M40&amp;"/")-1),",",".")*1,0))))</f>
        <v/>
      </c>
      <c r="N122">
        <f>IF(N40="","",IFERROR(LEFT(N40,FIND("/",N40&amp;"/")-1)*1,IFERROR(SUBSTITUTE(LEFT(N40,FIND("/",N40&amp;"/")-1),".",",")*1,IFERROR(SUBSTITUTE(LEFT(N40,FIND("/",N40&amp;"/")-1),",",".")*1,0))))</f>
        <v/>
      </c>
      <c r="O122">
        <f>IF(O40="","",IFERROR(LEFT(O40,FIND("/",O40&amp;"/")-1)*1,IFERROR(SUBSTITUTE(LEFT(O40,FIND("/",O40&amp;"/")-1),".",",")*1,IFERROR(SUBSTITUTE(LEFT(O40,FIND("/",O40&amp;"/")-1),",",".")*1,0))))</f>
        <v/>
      </c>
      <c r="P122">
        <f>IF(P40="","",IFERROR(LEFT(P40,FIND("/",P40&amp;"/")-1)*1,IFERROR(SUBSTITUTE(LEFT(P40,FIND("/",P40&amp;"/")-1),".",",")*1,IFERROR(SUBSTITUTE(LEFT(P40,FIND("/",P40&amp;"/")-1),",",".")*1,0))))</f>
        <v/>
      </c>
      <c r="Q122">
        <f>IF(Q40="","",IFERROR(LEFT(Q40,FIND("/",Q40&amp;"/")-1)*1,IFERROR(SUBSTITUTE(LEFT(Q40,FIND("/",Q40&amp;"/")-1),".",",")*1,IFERROR(SUBSTITUTE(LEFT(Q40,FIND("/",Q40&amp;"/")-1),",",".")*1,0))))</f>
        <v/>
      </c>
      <c r="R122">
        <f>IF(R40="","",IFERROR(LEFT(R40,FIND("/",R40&amp;"/")-1)*1,IFERROR(SUBSTITUTE(LEFT(R40,FIND("/",R40&amp;"/")-1),".",",")*1,IFERROR(SUBSTITUTE(LEFT(R40,FIND("/",R40&amp;"/")-1),",",".")*1,0))))</f>
        <v/>
      </c>
      <c r="S122">
        <f>IF(S40="","",IFERROR(LEFT(S40,FIND("/",S40&amp;"/")-1)*1,IFERROR(SUBSTITUTE(LEFT(S40,FIND("/",S40&amp;"/")-1),".",",")*1,IFERROR(SUBSTITUTE(LEFT(S40,FIND("/",S40&amp;"/")-1),",",".")*1,0))))</f>
        <v/>
      </c>
      <c r="T122">
        <f>IF(T40="","",IFERROR(LEFT(T40,FIND("/",T40&amp;"/")-1)*1,IFERROR(SUBSTITUTE(LEFT(T40,FIND("/",T40&amp;"/")-1),".",",")*1,IFERROR(SUBSTITUTE(LEFT(T40,FIND("/",T40&amp;"/")-1),",",".")*1,0))))</f>
        <v/>
      </c>
      <c r="U122">
        <f>IF(U40="","",IFERROR(LEFT(U40,FIND("/",U40&amp;"/")-1)*1,IFERROR(SUBSTITUTE(LEFT(U40,FIND("/",U40&amp;"/")-1),".",",")*1,IFERROR(SUBSTITUTE(LEFT(U40,FIND("/",U40&amp;"/")-1),",",".")*1,0))))</f>
        <v/>
      </c>
      <c r="V122">
        <f>IF(V40="","",IFERROR(LEFT(V40,FIND("/",V40&amp;"/")-1)*1,IFERROR(SUBSTITUTE(LEFT(V40,FIND("/",V40&amp;"/")-1),".",",")*1,IFERROR(SUBSTITUTE(LEFT(V40,FIND("/",V40&amp;"/")-1),",",".")*1,0))))</f>
        <v/>
      </c>
      <c r="W122">
        <f>IF(W40="","",IFERROR(LEFT(W40,FIND("/",W40&amp;"/")-1)*1,IFERROR(SUBSTITUTE(LEFT(W40,FIND("/",W40&amp;"/")-1),".",",")*1,IFERROR(SUBSTITUTE(LEFT(W40,FIND("/",W40&amp;"/")-1),",",".")*1,0))))</f>
        <v/>
      </c>
      <c r="X122">
        <f>IF(X40="","",IFERROR(LEFT(X40,FIND("/",X40&amp;"/")-1)*1,IFERROR(SUBSTITUTE(LEFT(X40,FIND("/",X40&amp;"/")-1),".",",")*1,IFERROR(SUBSTITUTE(LEFT(X40,FIND("/",X40&amp;"/")-1),",",".")*1,0))))</f>
        <v/>
      </c>
      <c r="Y122">
        <f>IF(Y40="","",IFERROR(LEFT(Y40,FIND("/",Y40&amp;"/")-1)*1,IFERROR(SUBSTITUTE(LEFT(Y40,FIND("/",Y40&amp;"/")-1),".",",")*1,IFERROR(SUBSTITUTE(LEFT(Y40,FIND("/",Y40&amp;"/")-1),",",".")*1,0))))</f>
        <v/>
      </c>
      <c r="Z122">
        <f>IF(Z40="","",IFERROR(LEFT(Z40,FIND("/",Z40&amp;"/")-1)*1,IFERROR(SUBSTITUTE(LEFT(Z40,FIND("/",Z40&amp;"/")-1),".",",")*1,IFERROR(SUBSTITUTE(LEFT(Z40,FIND("/",Z40&amp;"/")-1),",",".")*1,0))))</f>
        <v/>
      </c>
      <c r="AA122">
        <f>IF(AA40="","",IFERROR(LEFT(AA40,FIND("/",AA40&amp;"/")-1)*1,IFERROR(SUBSTITUTE(LEFT(AA40,FIND("/",AA40&amp;"/")-1),".",",")*1,IFERROR(SUBSTITUTE(LEFT(AA40,FIND("/",AA40&amp;"/")-1),",",".")*1,0))))</f>
        <v/>
      </c>
      <c r="AB122">
        <f>IF(AB40="","",IFERROR(LEFT(AB40,FIND("/",AB40&amp;"/")-1)*1,IFERROR(SUBSTITUTE(LEFT(AB40,FIND("/",AB40&amp;"/")-1),".",",")*1,IFERROR(SUBSTITUTE(LEFT(AB40,FIND("/",AB40&amp;"/")-1),",",".")*1,0))))</f>
        <v/>
      </c>
      <c r="AC122">
        <f>IF(AC40="","",IFERROR(LEFT(AC40,FIND("/",AC40&amp;"/")-1)*1,IFERROR(SUBSTITUTE(LEFT(AC40,FIND("/",AC40&amp;"/")-1),".",",")*1,IFERROR(SUBSTITUTE(LEFT(AC40,FIND("/",AC40&amp;"/")-1),",",".")*1,0))))</f>
        <v/>
      </c>
      <c r="AD122">
        <f>IF(AD40="","",IFERROR(LEFT(AD40,FIND("/",AD40&amp;"/")-1)*1,IFERROR(SUBSTITUTE(LEFT(AD40,FIND("/",AD40&amp;"/")-1),".",",")*1,IFERROR(SUBSTITUTE(LEFT(AD40,FIND("/",AD40&amp;"/")-1),",",".")*1,0))))</f>
        <v/>
      </c>
      <c r="AE122">
        <f>IF(AE40="","",IFERROR(LEFT(AE40,FIND("/",AE40&amp;"/")-1)*1,IFERROR(SUBSTITUTE(LEFT(AE40,FIND("/",AE40&amp;"/")-1),".",",")*1,IFERROR(SUBSTITUTE(LEFT(AE40,FIND("/",AE40&amp;"/")-1),",",".")*1,0))))</f>
        <v/>
      </c>
      <c r="AF122">
        <f>IF(AF40="","",IFERROR(LEFT(AF40,FIND("/",AF40&amp;"/")-1)*1,IFERROR(SUBSTITUTE(LEFT(AF40,FIND("/",AF40&amp;"/")-1),".",",")*1,IFERROR(SUBSTITUTE(LEFT(AF40,FIND("/",AF40&amp;"/")-1),",",".")*1,0))))</f>
        <v/>
      </c>
      <c r="AG122">
        <f>IF(AG40="","",IFERROR(LEFT(AG40,FIND("/",AG40&amp;"/")-1)*1,IFERROR(SUBSTITUTE(LEFT(AG40,FIND("/",AG40&amp;"/")-1),".",",")*1,IFERROR(SUBSTITUTE(LEFT(AG40,FIND("/",AG40&amp;"/")-1),",",".")*1,0))))</f>
        <v/>
      </c>
    </row>
    <row r="123" hidden="1" outlineLevel="1">
      <c r="A123" s="60" t="inlineStr">
        <is>
          <t>(phụ trợ) YBR</t>
        </is>
      </c>
      <c r="C123">
        <f>IF(C40="","",IF(ISNUMBER(FIND("/",C40)),IFERROR(MID(C40,FIND("/",C40)+1,20)*1,IFERROR(SUBSTITUTE(MID(C40,FIND("/",C40)+1,20),".",",")*1,IFERROR(SUBSTITUTE(MID(C40,FIND("/",C40)+1,20),",",".")*1,0))),C122))</f>
        <v/>
      </c>
      <c r="D123">
        <f>IF(D40="","",IF(ISNUMBER(FIND("/",D40)),IFERROR(MID(D40,FIND("/",D40)+1,20)*1,IFERROR(SUBSTITUTE(MID(D40,FIND("/",D40)+1,20),".",",")*1,IFERROR(SUBSTITUTE(MID(D40,FIND("/",D40)+1,20),",",".")*1,0))),D122))</f>
        <v/>
      </c>
      <c r="E123">
        <f>IF(E40="","",IF(ISNUMBER(FIND("/",E40)),IFERROR(MID(E40,FIND("/",E40)+1,20)*1,IFERROR(SUBSTITUTE(MID(E40,FIND("/",E40)+1,20),".",",")*1,IFERROR(SUBSTITUTE(MID(E40,FIND("/",E40)+1,20),",",".")*1,0))),E122))</f>
        <v/>
      </c>
      <c r="F123">
        <f>IF(F40="","",IF(ISNUMBER(FIND("/",F40)),IFERROR(MID(F40,FIND("/",F40)+1,20)*1,IFERROR(SUBSTITUTE(MID(F40,FIND("/",F40)+1,20),".",",")*1,IFERROR(SUBSTITUTE(MID(F40,FIND("/",F40)+1,20),",",".")*1,0))),F122))</f>
        <v/>
      </c>
      <c r="G123">
        <f>IF(G40="","",IF(ISNUMBER(FIND("/",G40)),IFERROR(MID(G40,FIND("/",G40)+1,20)*1,IFERROR(SUBSTITUTE(MID(G40,FIND("/",G40)+1,20),".",",")*1,IFERROR(SUBSTITUTE(MID(G40,FIND("/",G40)+1,20),",",".")*1,0))),G122))</f>
        <v/>
      </c>
      <c r="H123">
        <f>IF(H40="","",IF(ISNUMBER(FIND("/",H40)),IFERROR(MID(H40,FIND("/",H40)+1,20)*1,IFERROR(SUBSTITUTE(MID(H40,FIND("/",H40)+1,20),".",",")*1,IFERROR(SUBSTITUTE(MID(H40,FIND("/",H40)+1,20),",",".")*1,0))),H122))</f>
        <v/>
      </c>
      <c r="I123">
        <f>IF(I40="","",IF(ISNUMBER(FIND("/",I40)),IFERROR(MID(I40,FIND("/",I40)+1,20)*1,IFERROR(SUBSTITUTE(MID(I40,FIND("/",I40)+1,20),".",",")*1,IFERROR(SUBSTITUTE(MID(I40,FIND("/",I40)+1,20),",",".")*1,0))),I122))</f>
        <v/>
      </c>
      <c r="J123">
        <f>IF(J40="","",IF(ISNUMBER(FIND("/",J40)),IFERROR(MID(J40,FIND("/",J40)+1,20)*1,IFERROR(SUBSTITUTE(MID(J40,FIND("/",J40)+1,20),".",",")*1,IFERROR(SUBSTITUTE(MID(J40,FIND("/",J40)+1,20),",",".")*1,0))),J122))</f>
        <v/>
      </c>
      <c r="K123">
        <f>IF(K40="","",IF(ISNUMBER(FIND("/",K40)),IFERROR(MID(K40,FIND("/",K40)+1,20)*1,IFERROR(SUBSTITUTE(MID(K40,FIND("/",K40)+1,20),".",",")*1,IFERROR(SUBSTITUTE(MID(K40,FIND("/",K40)+1,20),",",".")*1,0))),K122))</f>
        <v/>
      </c>
      <c r="L123">
        <f>IF(L40="","",IF(ISNUMBER(FIND("/",L40)),IFERROR(MID(L40,FIND("/",L40)+1,20)*1,IFERROR(SUBSTITUTE(MID(L40,FIND("/",L40)+1,20),".",",")*1,IFERROR(SUBSTITUTE(MID(L40,FIND("/",L40)+1,20),",",".")*1,0))),L122))</f>
        <v/>
      </c>
      <c r="M123">
        <f>IF(M40="","",IF(ISNUMBER(FIND("/",M40)),IFERROR(MID(M40,FIND("/",M40)+1,20)*1,IFERROR(SUBSTITUTE(MID(M40,FIND("/",M40)+1,20),".",",")*1,IFERROR(SUBSTITUTE(MID(M40,FIND("/",M40)+1,20),",",".")*1,0))),M122))</f>
        <v/>
      </c>
      <c r="N123">
        <f>IF(N40="","",IF(ISNUMBER(FIND("/",N40)),IFERROR(MID(N40,FIND("/",N40)+1,20)*1,IFERROR(SUBSTITUTE(MID(N40,FIND("/",N40)+1,20),".",",")*1,IFERROR(SUBSTITUTE(MID(N40,FIND("/",N40)+1,20),",",".")*1,0))),N122))</f>
        <v/>
      </c>
      <c r="O123">
        <f>IF(O40="","",IF(ISNUMBER(FIND("/",O40)),IFERROR(MID(O40,FIND("/",O40)+1,20)*1,IFERROR(SUBSTITUTE(MID(O40,FIND("/",O40)+1,20),".",",")*1,IFERROR(SUBSTITUTE(MID(O40,FIND("/",O40)+1,20),",",".")*1,0))),O122))</f>
        <v/>
      </c>
      <c r="P123">
        <f>IF(P40="","",IF(ISNUMBER(FIND("/",P40)),IFERROR(MID(P40,FIND("/",P40)+1,20)*1,IFERROR(SUBSTITUTE(MID(P40,FIND("/",P40)+1,20),".",",")*1,IFERROR(SUBSTITUTE(MID(P40,FIND("/",P40)+1,20),",",".")*1,0))),P122))</f>
        <v/>
      </c>
      <c r="Q123">
        <f>IF(Q40="","",IF(ISNUMBER(FIND("/",Q40)),IFERROR(MID(Q40,FIND("/",Q40)+1,20)*1,IFERROR(SUBSTITUTE(MID(Q40,FIND("/",Q40)+1,20),".",",")*1,IFERROR(SUBSTITUTE(MID(Q40,FIND("/",Q40)+1,20),",",".")*1,0))),Q122))</f>
        <v/>
      </c>
      <c r="R123">
        <f>IF(R40="","",IF(ISNUMBER(FIND("/",R40)),IFERROR(MID(R40,FIND("/",R40)+1,20)*1,IFERROR(SUBSTITUTE(MID(R40,FIND("/",R40)+1,20),".",",")*1,IFERROR(SUBSTITUTE(MID(R40,FIND("/",R40)+1,20),",",".")*1,0))),R122))</f>
        <v/>
      </c>
      <c r="S123">
        <f>IF(S40="","",IF(ISNUMBER(FIND("/",S40)),IFERROR(MID(S40,FIND("/",S40)+1,20)*1,IFERROR(SUBSTITUTE(MID(S40,FIND("/",S40)+1,20),".",",")*1,IFERROR(SUBSTITUTE(MID(S40,FIND("/",S40)+1,20),",",".")*1,0))),S122))</f>
        <v/>
      </c>
      <c r="T123">
        <f>IF(T40="","",IF(ISNUMBER(FIND("/",T40)),IFERROR(MID(T40,FIND("/",T40)+1,20)*1,IFERROR(SUBSTITUTE(MID(T40,FIND("/",T40)+1,20),".",",")*1,IFERROR(SUBSTITUTE(MID(T40,FIND("/",T40)+1,20),",",".")*1,0))),T122))</f>
        <v/>
      </c>
      <c r="U123">
        <f>IF(U40="","",IF(ISNUMBER(FIND("/",U40)),IFERROR(MID(U40,FIND("/",U40)+1,20)*1,IFERROR(SUBSTITUTE(MID(U40,FIND("/",U40)+1,20),".",",")*1,IFERROR(SUBSTITUTE(MID(U40,FIND("/",U40)+1,20),",",".")*1,0))),U122))</f>
        <v/>
      </c>
      <c r="V123">
        <f>IF(V40="","",IF(ISNUMBER(FIND("/",V40)),IFERROR(MID(V40,FIND("/",V40)+1,20)*1,IFERROR(SUBSTITUTE(MID(V40,FIND("/",V40)+1,20),".",",")*1,IFERROR(SUBSTITUTE(MID(V40,FIND("/",V40)+1,20),",",".")*1,0))),V122))</f>
        <v/>
      </c>
      <c r="W123">
        <f>IF(W40="","",IF(ISNUMBER(FIND("/",W40)),IFERROR(MID(W40,FIND("/",W40)+1,20)*1,IFERROR(SUBSTITUTE(MID(W40,FIND("/",W40)+1,20),".",",")*1,IFERROR(SUBSTITUTE(MID(W40,FIND("/",W40)+1,20),",",".")*1,0))),W122))</f>
        <v/>
      </c>
      <c r="X123">
        <f>IF(X40="","",IF(ISNUMBER(FIND("/",X40)),IFERROR(MID(X40,FIND("/",X40)+1,20)*1,IFERROR(SUBSTITUTE(MID(X40,FIND("/",X40)+1,20),".",",")*1,IFERROR(SUBSTITUTE(MID(X40,FIND("/",X40)+1,20),",",".")*1,0))),X122))</f>
        <v/>
      </c>
      <c r="Y123">
        <f>IF(Y40="","",IF(ISNUMBER(FIND("/",Y40)),IFERROR(MID(Y40,FIND("/",Y40)+1,20)*1,IFERROR(SUBSTITUTE(MID(Y40,FIND("/",Y40)+1,20),".",",")*1,IFERROR(SUBSTITUTE(MID(Y40,FIND("/",Y40)+1,20),",",".")*1,0))),Y122))</f>
        <v/>
      </c>
      <c r="Z123">
        <f>IF(Z40="","",IF(ISNUMBER(FIND("/",Z40)),IFERROR(MID(Z40,FIND("/",Z40)+1,20)*1,IFERROR(SUBSTITUTE(MID(Z40,FIND("/",Z40)+1,20),".",",")*1,IFERROR(SUBSTITUTE(MID(Z40,FIND("/",Z40)+1,20),",",".")*1,0))),Z122))</f>
        <v/>
      </c>
      <c r="AA123">
        <f>IF(AA40="","",IF(ISNUMBER(FIND("/",AA40)),IFERROR(MID(AA40,FIND("/",AA40)+1,20)*1,IFERROR(SUBSTITUTE(MID(AA40,FIND("/",AA40)+1,20),".",",")*1,IFERROR(SUBSTITUTE(MID(AA40,FIND("/",AA40)+1,20),",",".")*1,0))),AA122))</f>
        <v/>
      </c>
      <c r="AB123">
        <f>IF(AB40="","",IF(ISNUMBER(FIND("/",AB40)),IFERROR(MID(AB40,FIND("/",AB40)+1,20)*1,IFERROR(SUBSTITUTE(MID(AB40,FIND("/",AB40)+1,20),".",",")*1,IFERROR(SUBSTITUTE(MID(AB40,FIND("/",AB40)+1,20),",",".")*1,0))),AB122))</f>
        <v/>
      </c>
      <c r="AC123">
        <f>IF(AC40="","",IF(ISNUMBER(FIND("/",AC40)),IFERROR(MID(AC40,FIND("/",AC40)+1,20)*1,IFERROR(SUBSTITUTE(MID(AC40,FIND("/",AC40)+1,20),".",",")*1,IFERROR(SUBSTITUTE(MID(AC40,FIND("/",AC40)+1,20),",",".")*1,0))),AC122))</f>
        <v/>
      </c>
      <c r="AD123">
        <f>IF(AD40="","",IF(ISNUMBER(FIND("/",AD40)),IFERROR(MID(AD40,FIND("/",AD40)+1,20)*1,IFERROR(SUBSTITUTE(MID(AD40,FIND("/",AD40)+1,20),".",",")*1,IFERROR(SUBSTITUTE(MID(AD40,FIND("/",AD40)+1,20),",",".")*1,0))),AD122))</f>
        <v/>
      </c>
      <c r="AE123">
        <f>IF(AE40="","",IF(ISNUMBER(FIND("/",AE40)),IFERROR(MID(AE40,FIND("/",AE40)+1,20)*1,IFERROR(SUBSTITUTE(MID(AE40,FIND("/",AE40)+1,20),".",",")*1,IFERROR(SUBSTITUTE(MID(AE40,FIND("/",AE40)+1,20),",",".")*1,0))),AE122))</f>
        <v/>
      </c>
      <c r="AF123">
        <f>IF(AF40="","",IF(ISNUMBER(FIND("/",AF40)),IFERROR(MID(AF40,FIND("/",AF40)+1,20)*1,IFERROR(SUBSTITUTE(MID(AF40,FIND("/",AF40)+1,20),".",",")*1,IFERROR(SUBSTITUTE(MID(AF40,FIND("/",AF40)+1,20),",",".")*1,0))),AF122))</f>
        <v/>
      </c>
      <c r="AG123">
        <f>IF(AG40="","",IF(ISNUMBER(FIND("/",AG40)),IFERROR(MID(AG40,FIND("/",AG40)+1,20)*1,IFERROR(SUBSTITUTE(MID(AG40,FIND("/",AG40)+1,20),".",",")*1,IFERROR(SUBSTITUTE(MID(AG40,FIND("/",AG40)+1,20),",",".")*1,0))),AG122))</f>
        <v/>
      </c>
    </row>
    <row r="124" hidden="1" outlineLevel="1">
      <c r="A124" s="60" t="inlineStr">
        <is>
          <t>(phụ trợ) BAD</t>
        </is>
      </c>
      <c r="C124">
        <f>((C13&lt;&gt;"")*(C13&lt;&gt;"-")*(C73+C75=0))+((C14&lt;&gt;"")*(C14&lt;&gt;"-")*(C77+C79=0))+((C15&lt;&gt;"")*(C15&lt;&gt;"-")*(C81+C83=0))+((C16&lt;&gt;"")*(C16&lt;&gt;"-")*(C85+C87=0))+((C17&lt;&gt;"")*(C17&lt;&gt;"-")*(C89+C91=0))+((C22&lt;&gt;"")*(C22&lt;&gt;"-")*(C97+C99=0))+((C21&lt;&gt;"")*(C21&lt;&gt;"-")*(C101+C103=0))+((C20&lt;&gt;"")*(C20&lt;&gt;"-")*(C105+C107=0))+((C19&lt;&gt;"")*(C19&lt;&gt;"-")*(C109+C111=0))+((C18&lt;&gt;"")*(C18&lt;&gt;"-")*(C113+C115=0))</f>
        <v/>
      </c>
      <c r="D124">
        <f>((D13&lt;&gt;"")*(D13&lt;&gt;"-")*(D73+D75=0))+((D14&lt;&gt;"")*(D14&lt;&gt;"-")*(D77+D79=0))+((D15&lt;&gt;"")*(D15&lt;&gt;"-")*(D81+D83=0))+((D16&lt;&gt;"")*(D16&lt;&gt;"-")*(D85+D87=0))+((D17&lt;&gt;"")*(D17&lt;&gt;"-")*(D89+D91=0))+((D22&lt;&gt;"")*(D22&lt;&gt;"-")*(D97+D99=0))+((D21&lt;&gt;"")*(D21&lt;&gt;"-")*(D101+D103=0))+((D20&lt;&gt;"")*(D20&lt;&gt;"-")*(D105+D107=0))+((D19&lt;&gt;"")*(D19&lt;&gt;"-")*(D109+D111=0))+((D18&lt;&gt;"")*(D18&lt;&gt;"-")*(D113+D115=0))</f>
        <v/>
      </c>
      <c r="E124">
        <f>((E13&lt;&gt;"")*(E13&lt;&gt;"-")*(E73+E75=0))+((E14&lt;&gt;"")*(E14&lt;&gt;"-")*(E77+E79=0))+((E15&lt;&gt;"")*(E15&lt;&gt;"-")*(E81+E83=0))+((E16&lt;&gt;"")*(E16&lt;&gt;"-")*(E85+E87=0))+((E17&lt;&gt;"")*(E17&lt;&gt;"-")*(E89+E91=0))+((E22&lt;&gt;"")*(E22&lt;&gt;"-")*(E97+E99=0))+((E21&lt;&gt;"")*(E21&lt;&gt;"-")*(E101+E103=0))+((E20&lt;&gt;"")*(E20&lt;&gt;"-")*(E105+E107=0))+((E19&lt;&gt;"")*(E19&lt;&gt;"-")*(E109+E111=0))+((E18&lt;&gt;"")*(E18&lt;&gt;"-")*(E113+E115=0))</f>
        <v/>
      </c>
      <c r="F124">
        <f>((F13&lt;&gt;"")*(F13&lt;&gt;"-")*(F73+F75=0))+((F14&lt;&gt;"")*(F14&lt;&gt;"-")*(F77+F79=0))+((F15&lt;&gt;"")*(F15&lt;&gt;"-")*(F81+F83=0))+((F16&lt;&gt;"")*(F16&lt;&gt;"-")*(F85+F87=0))+((F17&lt;&gt;"")*(F17&lt;&gt;"-")*(F89+F91=0))+((F22&lt;&gt;"")*(F22&lt;&gt;"-")*(F97+F99=0))+((F21&lt;&gt;"")*(F21&lt;&gt;"-")*(F101+F103=0))+((F20&lt;&gt;"")*(F20&lt;&gt;"-")*(F105+F107=0))+((F19&lt;&gt;"")*(F19&lt;&gt;"-")*(F109+F111=0))+((F18&lt;&gt;"")*(F18&lt;&gt;"-")*(F113+F115=0))</f>
        <v/>
      </c>
      <c r="G124">
        <f>((G13&lt;&gt;"")*(G13&lt;&gt;"-")*(G73+G75=0))+((G14&lt;&gt;"")*(G14&lt;&gt;"-")*(G77+G79=0))+((G15&lt;&gt;"")*(G15&lt;&gt;"-")*(G81+G83=0))+((G16&lt;&gt;"")*(G16&lt;&gt;"-")*(G85+G87=0))+((G17&lt;&gt;"")*(G17&lt;&gt;"-")*(G89+G91=0))+((G22&lt;&gt;"")*(G22&lt;&gt;"-")*(G97+G99=0))+((G21&lt;&gt;"")*(G21&lt;&gt;"-")*(G101+G103=0))+((G20&lt;&gt;"")*(G20&lt;&gt;"-")*(G105+G107=0))+((G19&lt;&gt;"")*(G19&lt;&gt;"-")*(G109+G111=0))+((G18&lt;&gt;"")*(G18&lt;&gt;"-")*(G113+G115=0))</f>
        <v/>
      </c>
      <c r="H124">
        <f>((H13&lt;&gt;"")*(H13&lt;&gt;"-")*(H73+H75=0))+((H14&lt;&gt;"")*(H14&lt;&gt;"-")*(H77+H79=0))+((H15&lt;&gt;"")*(H15&lt;&gt;"-")*(H81+H83=0))+((H16&lt;&gt;"")*(H16&lt;&gt;"-")*(H85+H87=0))+((H17&lt;&gt;"")*(H17&lt;&gt;"-")*(H89+H91=0))+((H22&lt;&gt;"")*(H22&lt;&gt;"-")*(H97+H99=0))+((H21&lt;&gt;"")*(H21&lt;&gt;"-")*(H101+H103=0))+((H20&lt;&gt;"")*(H20&lt;&gt;"-")*(H105+H107=0))+((H19&lt;&gt;"")*(H19&lt;&gt;"-")*(H109+H111=0))+((H18&lt;&gt;"")*(H18&lt;&gt;"-")*(H113+H115=0))</f>
        <v/>
      </c>
      <c r="I124">
        <f>((I13&lt;&gt;"")*(I13&lt;&gt;"-")*(I73+I75=0))+((I14&lt;&gt;"")*(I14&lt;&gt;"-")*(I77+I79=0))+((I15&lt;&gt;"")*(I15&lt;&gt;"-")*(I81+I83=0))+((I16&lt;&gt;"")*(I16&lt;&gt;"-")*(I85+I87=0))+((I17&lt;&gt;"")*(I17&lt;&gt;"-")*(I89+I91=0))+((I22&lt;&gt;"")*(I22&lt;&gt;"-")*(I97+I99=0))+((I21&lt;&gt;"")*(I21&lt;&gt;"-")*(I101+I103=0))+((I20&lt;&gt;"")*(I20&lt;&gt;"-")*(I105+I107=0))+((I19&lt;&gt;"")*(I19&lt;&gt;"-")*(I109+I111=0))+((I18&lt;&gt;"")*(I18&lt;&gt;"-")*(I113+I115=0))</f>
        <v/>
      </c>
      <c r="J124">
        <f>((J13&lt;&gt;"")*(J13&lt;&gt;"-")*(J73+J75=0))+((J14&lt;&gt;"")*(J14&lt;&gt;"-")*(J77+J79=0))+((J15&lt;&gt;"")*(J15&lt;&gt;"-")*(J81+J83=0))+((J16&lt;&gt;"")*(J16&lt;&gt;"-")*(J85+J87=0))+((J17&lt;&gt;"")*(J17&lt;&gt;"-")*(J89+J91=0))+((J22&lt;&gt;"")*(J22&lt;&gt;"-")*(J97+J99=0))+((J21&lt;&gt;"")*(J21&lt;&gt;"-")*(J101+J103=0))+((J20&lt;&gt;"")*(J20&lt;&gt;"-")*(J105+J107=0))+((J19&lt;&gt;"")*(J19&lt;&gt;"-")*(J109+J111=0))+((J18&lt;&gt;"")*(J18&lt;&gt;"-")*(J113+J115=0))</f>
        <v/>
      </c>
      <c r="K124">
        <f>((K13&lt;&gt;"")*(K13&lt;&gt;"-")*(K73+K75=0))+((K14&lt;&gt;"")*(K14&lt;&gt;"-")*(K77+K79=0))+((K15&lt;&gt;"")*(K15&lt;&gt;"-")*(K81+K83=0))+((K16&lt;&gt;"")*(K16&lt;&gt;"-")*(K85+K87=0))+((K17&lt;&gt;"")*(K17&lt;&gt;"-")*(K89+K91=0))+((K22&lt;&gt;"")*(K22&lt;&gt;"-")*(K97+K99=0))+((K21&lt;&gt;"")*(K21&lt;&gt;"-")*(K101+K103=0))+((K20&lt;&gt;"")*(K20&lt;&gt;"-")*(K105+K107=0))+((K19&lt;&gt;"")*(K19&lt;&gt;"-")*(K109+K111=0))+((K18&lt;&gt;"")*(K18&lt;&gt;"-")*(K113+K115=0))</f>
        <v/>
      </c>
      <c r="L124">
        <f>((L13&lt;&gt;"")*(L13&lt;&gt;"-")*(L73+L75=0))+((L14&lt;&gt;"")*(L14&lt;&gt;"-")*(L77+L79=0))+((L15&lt;&gt;"")*(L15&lt;&gt;"-")*(L81+L83=0))+((L16&lt;&gt;"")*(L16&lt;&gt;"-")*(L85+L87=0))+((L17&lt;&gt;"")*(L17&lt;&gt;"-")*(L89+L91=0))+((L22&lt;&gt;"")*(L22&lt;&gt;"-")*(L97+L99=0))+((L21&lt;&gt;"")*(L21&lt;&gt;"-")*(L101+L103=0))+((L20&lt;&gt;"")*(L20&lt;&gt;"-")*(L105+L107=0))+((L19&lt;&gt;"")*(L19&lt;&gt;"-")*(L109+L111=0))+((L18&lt;&gt;"")*(L18&lt;&gt;"-")*(L113+L115=0))</f>
        <v/>
      </c>
      <c r="M124">
        <f>((M13&lt;&gt;"")*(M13&lt;&gt;"-")*(M73+M75=0))+((M14&lt;&gt;"")*(M14&lt;&gt;"-")*(M77+M79=0))+((M15&lt;&gt;"")*(M15&lt;&gt;"-")*(M81+M83=0))+((M16&lt;&gt;"")*(M16&lt;&gt;"-")*(M85+M87=0))+((M17&lt;&gt;"")*(M17&lt;&gt;"-")*(M89+M91=0))+((M22&lt;&gt;"")*(M22&lt;&gt;"-")*(M97+M99=0))+((M21&lt;&gt;"")*(M21&lt;&gt;"-")*(M101+M103=0))+((M20&lt;&gt;"")*(M20&lt;&gt;"-")*(M105+M107=0))+((M19&lt;&gt;"")*(M19&lt;&gt;"-")*(M109+M111=0))+((M18&lt;&gt;"")*(M18&lt;&gt;"-")*(M113+M115=0))</f>
        <v/>
      </c>
      <c r="N124">
        <f>((N13&lt;&gt;"")*(N13&lt;&gt;"-")*(N73+N75=0))+((N14&lt;&gt;"")*(N14&lt;&gt;"-")*(N77+N79=0))+((N15&lt;&gt;"")*(N15&lt;&gt;"-")*(N81+N83=0))+((N16&lt;&gt;"")*(N16&lt;&gt;"-")*(N85+N87=0))+((N17&lt;&gt;"")*(N17&lt;&gt;"-")*(N89+N91=0))+((N22&lt;&gt;"")*(N22&lt;&gt;"-")*(N97+N99=0))+((N21&lt;&gt;"")*(N21&lt;&gt;"-")*(N101+N103=0))+((N20&lt;&gt;"")*(N20&lt;&gt;"-")*(N105+N107=0))+((N19&lt;&gt;"")*(N19&lt;&gt;"-")*(N109+N111=0))+((N18&lt;&gt;"")*(N18&lt;&gt;"-")*(N113+N115=0))</f>
        <v/>
      </c>
      <c r="O124">
        <f>((O13&lt;&gt;"")*(O13&lt;&gt;"-")*(O73+O75=0))+((O14&lt;&gt;"")*(O14&lt;&gt;"-")*(O77+O79=0))+((O15&lt;&gt;"")*(O15&lt;&gt;"-")*(O81+O83=0))+((O16&lt;&gt;"")*(O16&lt;&gt;"-")*(O85+O87=0))+((O17&lt;&gt;"")*(O17&lt;&gt;"-")*(O89+O91=0))+((O22&lt;&gt;"")*(O22&lt;&gt;"-")*(O97+O99=0))+((O21&lt;&gt;"")*(O21&lt;&gt;"-")*(O101+O103=0))+((O20&lt;&gt;"")*(O20&lt;&gt;"-")*(O105+O107=0))+((O19&lt;&gt;"")*(O19&lt;&gt;"-")*(O109+O111=0))+((O18&lt;&gt;"")*(O18&lt;&gt;"-")*(O113+O115=0))</f>
        <v/>
      </c>
      <c r="P124">
        <f>((P13&lt;&gt;"")*(P13&lt;&gt;"-")*(P73+P75=0))+((P14&lt;&gt;"")*(P14&lt;&gt;"-")*(P77+P79=0))+((P15&lt;&gt;"")*(P15&lt;&gt;"-")*(P81+P83=0))+((P16&lt;&gt;"")*(P16&lt;&gt;"-")*(P85+P87=0))+((P17&lt;&gt;"")*(P17&lt;&gt;"-")*(P89+P91=0))+((P22&lt;&gt;"")*(P22&lt;&gt;"-")*(P97+P99=0))+((P21&lt;&gt;"")*(P21&lt;&gt;"-")*(P101+P103=0))+((P20&lt;&gt;"")*(P20&lt;&gt;"-")*(P105+P107=0))+((P19&lt;&gt;"")*(P19&lt;&gt;"-")*(P109+P111=0))+((P18&lt;&gt;"")*(P18&lt;&gt;"-")*(P113+P115=0))</f>
        <v/>
      </c>
      <c r="Q124">
        <f>((Q13&lt;&gt;"")*(Q13&lt;&gt;"-")*(Q73+Q75=0))+((Q14&lt;&gt;"")*(Q14&lt;&gt;"-")*(Q77+Q79=0))+((Q15&lt;&gt;"")*(Q15&lt;&gt;"-")*(Q81+Q83=0))+((Q16&lt;&gt;"")*(Q16&lt;&gt;"-")*(Q85+Q87=0))+((Q17&lt;&gt;"")*(Q17&lt;&gt;"-")*(Q89+Q91=0))+((Q22&lt;&gt;"")*(Q22&lt;&gt;"-")*(Q97+Q99=0))+((Q21&lt;&gt;"")*(Q21&lt;&gt;"-")*(Q101+Q103=0))+((Q20&lt;&gt;"")*(Q20&lt;&gt;"-")*(Q105+Q107=0))+((Q19&lt;&gt;"")*(Q19&lt;&gt;"-")*(Q109+Q111=0))+((Q18&lt;&gt;"")*(Q18&lt;&gt;"-")*(Q113+Q115=0))</f>
        <v/>
      </c>
      <c r="R124">
        <f>((R13&lt;&gt;"")*(R13&lt;&gt;"-")*(R73+R75=0))+((R14&lt;&gt;"")*(R14&lt;&gt;"-")*(R77+R79=0))+((R15&lt;&gt;"")*(R15&lt;&gt;"-")*(R81+R83=0))+((R16&lt;&gt;"")*(R16&lt;&gt;"-")*(R85+R87=0))+((R17&lt;&gt;"")*(R17&lt;&gt;"-")*(R89+R91=0))+((R22&lt;&gt;"")*(R22&lt;&gt;"-")*(R97+R99=0))+((R21&lt;&gt;"")*(R21&lt;&gt;"-")*(R101+R103=0))+((R20&lt;&gt;"")*(R20&lt;&gt;"-")*(R105+R107=0))+((R19&lt;&gt;"")*(R19&lt;&gt;"-")*(R109+R111=0))+((R18&lt;&gt;"")*(R18&lt;&gt;"-")*(R113+R115=0))</f>
        <v/>
      </c>
      <c r="S124">
        <f>((S13&lt;&gt;"")*(S13&lt;&gt;"-")*(S73+S75=0))+((S14&lt;&gt;"")*(S14&lt;&gt;"-")*(S77+S79=0))+((S15&lt;&gt;"")*(S15&lt;&gt;"-")*(S81+S83=0))+((S16&lt;&gt;"")*(S16&lt;&gt;"-")*(S85+S87=0))+((S17&lt;&gt;"")*(S17&lt;&gt;"-")*(S89+S91=0))+((S22&lt;&gt;"")*(S22&lt;&gt;"-")*(S97+S99=0))+((S21&lt;&gt;"")*(S21&lt;&gt;"-")*(S101+S103=0))+((S20&lt;&gt;"")*(S20&lt;&gt;"-")*(S105+S107=0))+((S19&lt;&gt;"")*(S19&lt;&gt;"-")*(S109+S111=0))+((S18&lt;&gt;"")*(S18&lt;&gt;"-")*(S113+S115=0))</f>
        <v/>
      </c>
      <c r="T124">
        <f>((T13&lt;&gt;"")*(T13&lt;&gt;"-")*(T73+T75=0))+((T14&lt;&gt;"")*(T14&lt;&gt;"-")*(T77+T79=0))+((T15&lt;&gt;"")*(T15&lt;&gt;"-")*(T81+T83=0))+((T16&lt;&gt;"")*(T16&lt;&gt;"-")*(T85+T87=0))+((T17&lt;&gt;"")*(T17&lt;&gt;"-")*(T89+T91=0))+((T22&lt;&gt;"")*(T22&lt;&gt;"-")*(T97+T99=0))+((T21&lt;&gt;"")*(T21&lt;&gt;"-")*(T101+T103=0))+((T20&lt;&gt;"")*(T20&lt;&gt;"-")*(T105+T107=0))+((T19&lt;&gt;"")*(T19&lt;&gt;"-")*(T109+T111=0))+((T18&lt;&gt;"")*(T18&lt;&gt;"-")*(T113+T115=0))</f>
        <v/>
      </c>
      <c r="U124">
        <f>((U13&lt;&gt;"")*(U13&lt;&gt;"-")*(U73+U75=0))+((U14&lt;&gt;"")*(U14&lt;&gt;"-")*(U77+U79=0))+((U15&lt;&gt;"")*(U15&lt;&gt;"-")*(U81+U83=0))+((U16&lt;&gt;"")*(U16&lt;&gt;"-")*(U85+U87=0))+((U17&lt;&gt;"")*(U17&lt;&gt;"-")*(U89+U91=0))+((U22&lt;&gt;"")*(U22&lt;&gt;"-")*(U97+U99=0))+((U21&lt;&gt;"")*(U21&lt;&gt;"-")*(U101+U103=0))+((U20&lt;&gt;"")*(U20&lt;&gt;"-")*(U105+U107=0))+((U19&lt;&gt;"")*(U19&lt;&gt;"-")*(U109+U111=0))+((U18&lt;&gt;"")*(U18&lt;&gt;"-")*(U113+U115=0))</f>
        <v/>
      </c>
      <c r="V124">
        <f>((V13&lt;&gt;"")*(V13&lt;&gt;"-")*(V73+V75=0))+((V14&lt;&gt;"")*(V14&lt;&gt;"-")*(V77+V79=0))+((V15&lt;&gt;"")*(V15&lt;&gt;"-")*(V81+V83=0))+((V16&lt;&gt;"")*(V16&lt;&gt;"-")*(V85+V87=0))+((V17&lt;&gt;"")*(V17&lt;&gt;"-")*(V89+V91=0))+((V22&lt;&gt;"")*(V22&lt;&gt;"-")*(V97+V99=0))+((V21&lt;&gt;"")*(V21&lt;&gt;"-")*(V101+V103=0))+((V20&lt;&gt;"")*(V20&lt;&gt;"-")*(V105+V107=0))+((V19&lt;&gt;"")*(V19&lt;&gt;"-")*(V109+V111=0))+((V18&lt;&gt;"")*(V18&lt;&gt;"-")*(V113+V115=0))</f>
        <v/>
      </c>
      <c r="W124">
        <f>((W13&lt;&gt;"")*(W13&lt;&gt;"-")*(W73+W75=0))+((W14&lt;&gt;"")*(W14&lt;&gt;"-")*(W77+W79=0))+((W15&lt;&gt;"")*(W15&lt;&gt;"-")*(W81+W83=0))+((W16&lt;&gt;"")*(W16&lt;&gt;"-")*(W85+W87=0))+((W17&lt;&gt;"")*(W17&lt;&gt;"-")*(W89+W91=0))+((W22&lt;&gt;"")*(W22&lt;&gt;"-")*(W97+W99=0))+((W21&lt;&gt;"")*(W21&lt;&gt;"-")*(W101+W103=0))+((W20&lt;&gt;"")*(W20&lt;&gt;"-")*(W105+W107=0))+((W19&lt;&gt;"")*(W19&lt;&gt;"-")*(W109+W111=0))+((W18&lt;&gt;"")*(W18&lt;&gt;"-")*(W113+W115=0))</f>
        <v/>
      </c>
      <c r="X124">
        <f>((X13&lt;&gt;"")*(X13&lt;&gt;"-")*(X73+X75=0))+((X14&lt;&gt;"")*(X14&lt;&gt;"-")*(X77+X79=0))+((X15&lt;&gt;"")*(X15&lt;&gt;"-")*(X81+X83=0))+((X16&lt;&gt;"")*(X16&lt;&gt;"-")*(X85+X87=0))+((X17&lt;&gt;"")*(X17&lt;&gt;"-")*(X89+X91=0))+((X22&lt;&gt;"")*(X22&lt;&gt;"-")*(X97+X99=0))+((X21&lt;&gt;"")*(X21&lt;&gt;"-")*(X101+X103=0))+((X20&lt;&gt;"")*(X20&lt;&gt;"-")*(X105+X107=0))+((X19&lt;&gt;"")*(X19&lt;&gt;"-")*(X109+X111=0))+((X18&lt;&gt;"")*(X18&lt;&gt;"-")*(X113+X115=0))</f>
        <v/>
      </c>
      <c r="Y124">
        <f>((Y13&lt;&gt;"")*(Y13&lt;&gt;"-")*(Y73+Y75=0))+((Y14&lt;&gt;"")*(Y14&lt;&gt;"-")*(Y77+Y79=0))+((Y15&lt;&gt;"")*(Y15&lt;&gt;"-")*(Y81+Y83=0))+((Y16&lt;&gt;"")*(Y16&lt;&gt;"-")*(Y85+Y87=0))+((Y17&lt;&gt;"")*(Y17&lt;&gt;"-")*(Y89+Y91=0))+((Y22&lt;&gt;"")*(Y22&lt;&gt;"-")*(Y97+Y99=0))+((Y21&lt;&gt;"")*(Y21&lt;&gt;"-")*(Y101+Y103=0))+((Y20&lt;&gt;"")*(Y20&lt;&gt;"-")*(Y105+Y107=0))+((Y19&lt;&gt;"")*(Y19&lt;&gt;"-")*(Y109+Y111=0))+((Y18&lt;&gt;"")*(Y18&lt;&gt;"-")*(Y113+Y115=0))</f>
        <v/>
      </c>
      <c r="Z124">
        <f>((Z13&lt;&gt;"")*(Z13&lt;&gt;"-")*(Z73+Z75=0))+((Z14&lt;&gt;"")*(Z14&lt;&gt;"-")*(Z77+Z79=0))+((Z15&lt;&gt;"")*(Z15&lt;&gt;"-")*(Z81+Z83=0))+((Z16&lt;&gt;"")*(Z16&lt;&gt;"-")*(Z85+Z87=0))+((Z17&lt;&gt;"")*(Z17&lt;&gt;"-")*(Z89+Z91=0))+((Z22&lt;&gt;"")*(Z22&lt;&gt;"-")*(Z97+Z99=0))+((Z21&lt;&gt;"")*(Z21&lt;&gt;"-")*(Z101+Z103=0))+((Z20&lt;&gt;"")*(Z20&lt;&gt;"-")*(Z105+Z107=0))+((Z19&lt;&gt;"")*(Z19&lt;&gt;"-")*(Z109+Z111=0))+((Z18&lt;&gt;"")*(Z18&lt;&gt;"-")*(Z113+Z115=0))</f>
        <v/>
      </c>
      <c r="AA124">
        <f>((AA13&lt;&gt;"")*(AA13&lt;&gt;"-")*(AA73+AA75=0))+((AA14&lt;&gt;"")*(AA14&lt;&gt;"-")*(AA77+AA79=0))+((AA15&lt;&gt;"")*(AA15&lt;&gt;"-")*(AA81+AA83=0))+((AA16&lt;&gt;"")*(AA16&lt;&gt;"-")*(AA85+AA87=0))+((AA17&lt;&gt;"")*(AA17&lt;&gt;"-")*(AA89+AA91=0))+((AA22&lt;&gt;"")*(AA22&lt;&gt;"-")*(AA97+AA99=0))+((AA21&lt;&gt;"")*(AA21&lt;&gt;"-")*(AA101+AA103=0))+((AA20&lt;&gt;"")*(AA20&lt;&gt;"-")*(AA105+AA107=0))+((AA19&lt;&gt;"")*(AA19&lt;&gt;"-")*(AA109+AA111=0))+((AA18&lt;&gt;"")*(AA18&lt;&gt;"-")*(AA113+AA115=0))</f>
        <v/>
      </c>
      <c r="AB124">
        <f>((AB13&lt;&gt;"")*(AB13&lt;&gt;"-")*(AB73+AB75=0))+((AB14&lt;&gt;"")*(AB14&lt;&gt;"-")*(AB77+AB79=0))+((AB15&lt;&gt;"")*(AB15&lt;&gt;"-")*(AB81+AB83=0))+((AB16&lt;&gt;"")*(AB16&lt;&gt;"-")*(AB85+AB87=0))+((AB17&lt;&gt;"")*(AB17&lt;&gt;"-")*(AB89+AB91=0))+((AB22&lt;&gt;"")*(AB22&lt;&gt;"-")*(AB97+AB99=0))+((AB21&lt;&gt;"")*(AB21&lt;&gt;"-")*(AB101+AB103=0))+((AB20&lt;&gt;"")*(AB20&lt;&gt;"-")*(AB105+AB107=0))+((AB19&lt;&gt;"")*(AB19&lt;&gt;"-")*(AB109+AB111=0))+((AB18&lt;&gt;"")*(AB18&lt;&gt;"-")*(AB113+AB115=0))</f>
        <v/>
      </c>
      <c r="AC124">
        <f>((AC13&lt;&gt;"")*(AC13&lt;&gt;"-")*(AC73+AC75=0))+((AC14&lt;&gt;"")*(AC14&lt;&gt;"-")*(AC77+AC79=0))+((AC15&lt;&gt;"")*(AC15&lt;&gt;"-")*(AC81+AC83=0))+((AC16&lt;&gt;"")*(AC16&lt;&gt;"-")*(AC85+AC87=0))+((AC17&lt;&gt;"")*(AC17&lt;&gt;"-")*(AC89+AC91=0))+((AC22&lt;&gt;"")*(AC22&lt;&gt;"-")*(AC97+AC99=0))+((AC21&lt;&gt;"")*(AC21&lt;&gt;"-")*(AC101+AC103=0))+((AC20&lt;&gt;"")*(AC20&lt;&gt;"-")*(AC105+AC107=0))+((AC19&lt;&gt;"")*(AC19&lt;&gt;"-")*(AC109+AC111=0))+((AC18&lt;&gt;"")*(AC18&lt;&gt;"-")*(AC113+AC115=0))</f>
        <v/>
      </c>
      <c r="AD124">
        <f>((AD13&lt;&gt;"")*(AD13&lt;&gt;"-")*(AD73+AD75=0))+((AD14&lt;&gt;"")*(AD14&lt;&gt;"-")*(AD77+AD79=0))+((AD15&lt;&gt;"")*(AD15&lt;&gt;"-")*(AD81+AD83=0))+((AD16&lt;&gt;"")*(AD16&lt;&gt;"-")*(AD85+AD87=0))+((AD17&lt;&gt;"")*(AD17&lt;&gt;"-")*(AD89+AD91=0))+((AD22&lt;&gt;"")*(AD22&lt;&gt;"-")*(AD97+AD99=0))+((AD21&lt;&gt;"")*(AD21&lt;&gt;"-")*(AD101+AD103=0))+((AD20&lt;&gt;"")*(AD20&lt;&gt;"-")*(AD105+AD107=0))+((AD19&lt;&gt;"")*(AD19&lt;&gt;"-")*(AD109+AD111=0))+((AD18&lt;&gt;"")*(AD18&lt;&gt;"-")*(AD113+AD115=0))</f>
        <v/>
      </c>
      <c r="AE124">
        <f>((AE13&lt;&gt;"")*(AE13&lt;&gt;"-")*(AE73+AE75=0))+((AE14&lt;&gt;"")*(AE14&lt;&gt;"-")*(AE77+AE79=0))+((AE15&lt;&gt;"")*(AE15&lt;&gt;"-")*(AE81+AE83=0))+((AE16&lt;&gt;"")*(AE16&lt;&gt;"-")*(AE85+AE87=0))+((AE17&lt;&gt;"")*(AE17&lt;&gt;"-")*(AE89+AE91=0))+((AE22&lt;&gt;"")*(AE22&lt;&gt;"-")*(AE97+AE99=0))+((AE21&lt;&gt;"")*(AE21&lt;&gt;"-")*(AE101+AE103=0))+((AE20&lt;&gt;"")*(AE20&lt;&gt;"-")*(AE105+AE107=0))+((AE19&lt;&gt;"")*(AE19&lt;&gt;"-")*(AE109+AE111=0))+((AE18&lt;&gt;"")*(AE18&lt;&gt;"-")*(AE113+AE115=0))</f>
        <v/>
      </c>
      <c r="AF124">
        <f>((AF13&lt;&gt;"")*(AF13&lt;&gt;"-")*(AF73+AF75=0))+((AF14&lt;&gt;"")*(AF14&lt;&gt;"-")*(AF77+AF79=0))+((AF15&lt;&gt;"")*(AF15&lt;&gt;"-")*(AF81+AF83=0))+((AF16&lt;&gt;"")*(AF16&lt;&gt;"-")*(AF85+AF87=0))+((AF17&lt;&gt;"")*(AF17&lt;&gt;"-")*(AF89+AF91=0))+((AF22&lt;&gt;"")*(AF22&lt;&gt;"-")*(AF97+AF99=0))+((AF21&lt;&gt;"")*(AF21&lt;&gt;"-")*(AF101+AF103=0))+((AF20&lt;&gt;"")*(AF20&lt;&gt;"-")*(AF105+AF107=0))+((AF19&lt;&gt;"")*(AF19&lt;&gt;"-")*(AF109+AF111=0))+((AF18&lt;&gt;"")*(AF18&lt;&gt;"-")*(AF113+AF115=0))</f>
        <v/>
      </c>
      <c r="AG124">
        <f>((AG13&lt;&gt;"")*(AG13&lt;&gt;"-")*(AG73+AG75=0))+((AG14&lt;&gt;"")*(AG14&lt;&gt;"-")*(AG77+AG79=0))+((AG15&lt;&gt;"")*(AG15&lt;&gt;"-")*(AG81+AG83=0))+((AG16&lt;&gt;"")*(AG16&lt;&gt;"-")*(AG85+AG87=0))+((AG17&lt;&gt;"")*(AG17&lt;&gt;"-")*(AG89+AG91=0))+((AG22&lt;&gt;"")*(AG22&lt;&gt;"-")*(AG97+AG99=0))+((AG21&lt;&gt;"")*(AG21&lt;&gt;"-")*(AG101+AG103=0))+((AG20&lt;&gt;"")*(AG20&lt;&gt;"-")*(AG105+AG107=0))+((AG19&lt;&gt;"")*(AG19&lt;&gt;"-")*(AG109+AG111=0))+((AG18&lt;&gt;"")*(AG18&lt;&gt;"-")*(AG113+AG115=0))</f>
        <v/>
      </c>
    </row>
    <row r="125" hidden="1" outlineLevel="1">
      <c r="A125" s="60" t="inlineStr">
        <is>
          <t>(phụ trợ) NB11</t>
        </is>
      </c>
      <c r="B125">
        <f>SUBSTITUTE(SUBSTITUTE(SUBSTITUTE(SUBSTITUTE(SUBSTITUTE(SUBSTITUTE(LOWER($B$11)," ",""),"%%c","t"),"ø","t"),"φ","t"),"f","t"),"d","t")</f>
        <v/>
      </c>
    </row>
    <row r="126" hidden="1" outlineLevel="1">
      <c r="A126" s="60" t="inlineStr">
        <is>
          <t>(phụ trợ) NB12</t>
        </is>
      </c>
      <c r="B126">
        <f>SUBSTITUTE(SUBSTITUTE(SUBSTITUTE(SUBSTITUTE(SUBSTITUTE(SUBSTITUTE(LOWER($B$12)," ",""),"%%c","t"),"ø","t"),"φ","t"),"f","t"),"d","t")</f>
        <v/>
      </c>
    </row>
  </sheetData>
  <mergeCells count="60">
    <mergeCell ref="A18:A22"/>
    <mergeCell ref="A24:B24"/>
    <mergeCell ref="A30:B30"/>
    <mergeCell ref="C1:N1"/>
    <mergeCell ref="G6:I6"/>
    <mergeCell ref="P2:R2"/>
    <mergeCell ref="P1:T1"/>
    <mergeCell ref="G3:I3"/>
    <mergeCell ref="A1:B3"/>
    <mergeCell ref="C2:E2"/>
    <mergeCell ref="P7:R7"/>
    <mergeCell ref="K8:M8"/>
    <mergeCell ref="K2:M2"/>
    <mergeCell ref="A25:B25"/>
    <mergeCell ref="G5:I5"/>
    <mergeCell ref="A41:B41"/>
    <mergeCell ref="C8:E8"/>
    <mergeCell ref="A37:B37"/>
    <mergeCell ref="G4:I4"/>
    <mergeCell ref="A13:A17"/>
    <mergeCell ref="C7:E7"/>
    <mergeCell ref="A27:B27"/>
    <mergeCell ref="K7:M7"/>
    <mergeCell ref="P3:R3"/>
    <mergeCell ref="A32:AG32"/>
    <mergeCell ref="A34:B34"/>
    <mergeCell ref="A26:B26"/>
    <mergeCell ref="P5:R5"/>
    <mergeCell ref="K4:M4"/>
    <mergeCell ref="K6:M6"/>
    <mergeCell ref="A33:B33"/>
    <mergeCell ref="A42:B42"/>
    <mergeCell ref="C3:E3"/>
    <mergeCell ref="A43:AG43"/>
    <mergeCell ref="V3:X3"/>
    <mergeCell ref="K3:M3"/>
    <mergeCell ref="V1:Y1"/>
    <mergeCell ref="A23:B23"/>
    <mergeCell ref="A8:B8"/>
    <mergeCell ref="P4:R4"/>
    <mergeCell ref="C6:E6"/>
    <mergeCell ref="V2:X2"/>
    <mergeCell ref="A4:B4"/>
    <mergeCell ref="A35:B35"/>
    <mergeCell ref="G2:I2"/>
    <mergeCell ref="A38:B38"/>
    <mergeCell ref="A29:B29"/>
    <mergeCell ref="C5:E5"/>
    <mergeCell ref="K5:M5"/>
    <mergeCell ref="A5:B7"/>
    <mergeCell ref="A28:B28"/>
    <mergeCell ref="C4:E4"/>
    <mergeCell ref="G8:I8"/>
    <mergeCell ref="A44:B44"/>
    <mergeCell ref="A40:B40"/>
    <mergeCell ref="C9:AG9"/>
    <mergeCell ref="G7:I7"/>
    <mergeCell ref="P6:R6"/>
    <mergeCell ref="A39:B39"/>
    <mergeCell ref="A36:AG36"/>
  </mergeCells>
  <conditionalFormatting sqref="C11:AG30">
    <cfRule type="expression" priority="1" dxfId="0" stopIfTrue="1">
      <formula>C$64=0</formula>
    </cfRule>
  </conditionalFormatting>
  <conditionalFormatting sqref="C33:AG44">
    <cfRule type="expression" priority="2" dxfId="1">
      <formula>C$63=0</formula>
    </cfRule>
  </conditionalFormatting>
  <conditionalFormatting sqref="C13:AG13">
    <cfRule type="expression" priority="3" dxfId="2">
      <formula>AND(C13&lt;&gt;"",C13&lt;&gt;"-",C$73+C$75=0)</formula>
    </cfRule>
  </conditionalFormatting>
  <conditionalFormatting sqref="C14:AG14">
    <cfRule type="expression" priority="4" dxfId="2">
      <formula>AND(C14&lt;&gt;"",C14&lt;&gt;"-",C$77+C$79=0)</formula>
    </cfRule>
  </conditionalFormatting>
  <conditionalFormatting sqref="C15:AG15">
    <cfRule type="expression" priority="5" dxfId="2">
      <formula>AND(C15&lt;&gt;"",C15&lt;&gt;"-",C$81+C$83=0)</formula>
    </cfRule>
  </conditionalFormatting>
  <conditionalFormatting sqref="C16:AG16">
    <cfRule type="expression" priority="6" dxfId="2">
      <formula>AND(C16&lt;&gt;"",C16&lt;&gt;"-",C$85+C$87=0)</formula>
    </cfRule>
  </conditionalFormatting>
  <conditionalFormatting sqref="C17:AG17">
    <cfRule type="expression" priority="7" dxfId="2">
      <formula>AND(C17&lt;&gt;"",C17&lt;&gt;"-",C$89+C$91=0)</formula>
    </cfRule>
  </conditionalFormatting>
  <conditionalFormatting sqref="C18:AG18">
    <cfRule type="expression" priority="8" dxfId="2">
      <formula>AND(C18&lt;&gt;"",C18&lt;&gt;"-",C$113+C$115=0)</formula>
    </cfRule>
  </conditionalFormatting>
  <conditionalFormatting sqref="C19:AG19">
    <cfRule type="expression" priority="9" dxfId="2">
      <formula>AND(C19&lt;&gt;"",C19&lt;&gt;"-",C$109+C$111=0)</formula>
    </cfRule>
  </conditionalFormatting>
  <conditionalFormatting sqref="C20:AG20">
    <cfRule type="expression" priority="10" dxfId="2">
      <formula>AND(C20&lt;&gt;"",C20&lt;&gt;"-",C$105+C$107=0)</formula>
    </cfRule>
  </conditionalFormatting>
  <conditionalFormatting sqref="C21:AG21">
    <cfRule type="expression" priority="11" dxfId="2">
      <formula>AND(C21&lt;&gt;"",C21&lt;&gt;"-",C$101+C$103=0)</formula>
    </cfRule>
  </conditionalFormatting>
  <conditionalFormatting sqref="C22:AG22">
    <cfRule type="expression" priority="12" dxfId="2">
      <formula>AND(C22&lt;&gt;"",C22&lt;&gt;"-",C$97+C$99=0)</formula>
    </cfRule>
  </conditionalFormatting>
  <conditionalFormatting sqref="B11">
    <cfRule type="expression" priority="13" dxfId="3">
      <formula>(IFERROR(LEFT(LEFT($B$125,FIND("+",$B$125&amp;"+")-1),FIND("t",LEFT($B$125,FIND("+",$B$125&amp;"+")-1))-1)*MID(LEFT($B$125,FIND("+",$B$125&amp;"+")-1),FIND("t",LEFT($B$125,FIND("+",$B$125&amp;"+")-1))+1,2)^2*PI()/400,0)+IFERROR(LEFT(MID($B$125,FIND("+",$B$125&amp;"+")+1,99),FIND("t",MID($B$125,FIND("+",$B$125&amp;"+")+1,99))-1)*MID(MID($B$125,FIND("+",$B$125&amp;"+")+1,99),FIND("t",MID($B$125,FIND("+",$B$125&amp;"+")+1,99))+1,2)^2*PI()/400,0))=0</formula>
    </cfRule>
  </conditionalFormatting>
  <conditionalFormatting sqref="B12">
    <cfRule type="expression" priority="14" dxfId="3">
      <formula>(IFERROR(LEFT(LEFT($B$126,FIND("+",$B$126&amp;"+")-1),FIND("t",LEFT($B$126,FIND("+",$B$126&amp;"+")-1))-1)*MID(LEFT($B$126,FIND("+",$B$126&amp;"+")-1),FIND("t",LEFT($B$126,FIND("+",$B$126&amp;"+")-1))+1,2)^2*PI()/400,0)+IFERROR(LEFT(MID($B$126,FIND("+",$B$126&amp;"+")+1,99),FIND("t",MID($B$126,FIND("+",$B$126&amp;"+")+1,99))-1)*MID(MID($B$126,FIND("+",$B$126&amp;"+")+1,99),FIND("t",MID($B$126,FIND("+",$B$126&amp;"+")+1,99))+1,2)^2*PI()/400,0))=0</formula>
    </cfRule>
  </conditionalFormatting>
  <conditionalFormatting sqref="C39:AG39">
    <cfRule type="expression" priority="15" dxfId="4">
      <formula>AND(ISNUMBER(C39),C39&lt;1)</formula>
    </cfRule>
    <cfRule type="expression" priority="16" dxfId="5">
      <formula>AND(ISNUMBER(C39),C39&gt;=1)</formula>
    </cfRule>
  </conditionalFormatting>
  <conditionalFormatting sqref="C42:AG42">
    <cfRule type="expression" priority="17" dxfId="4">
      <formula>AND(ISNUMBER(C42),C42&lt;1)</formula>
    </cfRule>
    <cfRule type="expression" priority="18" dxfId="5">
      <formula>AND(ISNUMBER(C42),C42&gt;=1)</formula>
    </cfRule>
  </conditionalFormatting>
  <conditionalFormatting sqref="C35:AG35">
    <cfRule type="expression" priority="19" dxfId="6">
      <formula>AND(ISNUMBER(C35),ISNUMBER(C11),ABS(C35-C11)&gt;1)</formula>
    </cfRule>
  </conditionalFormatting>
  <conditionalFormatting sqref="C44:AG44">
    <cfRule type="expression" priority="20" dxfId="5">
      <formula>C44="OK"</formula>
    </cfRule>
    <cfRule type="expression" priority="21" dxfId="4">
      <formula>AND(C44&lt;&gt;"",C44&lt;&gt;"OK")</formula>
    </cfRule>
  </conditionalFormatting>
  <conditionalFormatting sqref="C9">
    <cfRule type="expression" priority="22" dxfId="7">
      <formula>LEFT($C$9,1)="✖"</formula>
    </cfRule>
    <cfRule type="expression" priority="23" dxfId="8">
      <formula>LEFT($C$9,1)="✔"</formula>
    </cfRule>
  </conditionalFormatting>
  <dataValidations count="72">
    <dataValidation sqref="F2" showDropDown="0" showInputMessage="1" showErrorMessage="0" allowBlank="1" promptTitle="Tên dầm" prompt="Tên dầm (ghi trên bản vẽ, tên file CSV)."/>
    <dataValidation sqref="F3" showDropDown="0" showInputMessage="1" showErrorMessage="0" allowBlank="1" promptTitle="b dầm (mm)" prompt="Bề rộng dầm (mm), vd 400."/>
    <dataValidation sqref="F4" showDropDown="0" showInputMessage="1" showErrorMessage="0" allowBlank="1" promptTitle="h dầm (mm)" prompt="Chiều cao dầm (mm), vd 1000."/>
    <dataValidation sqref="F5" showDropDown="0" showInputMessage="1" showErrorMessage="0" allowBlank="1" promptTitle="Số cấu kiện" prompt="1 = số cấu kiện giống nhau&#10;1/T = cắt toàn bộ thép chạy TRÊN&#10;1/T/B = cắt cả TRÊN và DƯỚI" type="list">
      <formula1>LIST!$R$2:$R$6</formula1>
    </dataValidation>
    <dataValidation sqref="F6" showDropDown="0" showInputMessage="1" showErrorMessage="0" allowBlank="1" promptTitle="Cao trình dầm (m)" prompt="Cao độ mặt dầm (m), vd -0.100."/>
    <dataValidation sqref="F7" showDropDown="0" showInputMessage="1" showErrorMessage="0" allowBlank="1" promptTitle="h sàn (mm)" prompt="150 = sàn 2 bên (theo Y2:Y3)&#10;Mã DCE: 150/0 không tai · 150/1 tai trái · 150/2 tai phải · _150 sàn lật"/>
    <dataValidation sqref="F8" showDropDown="0" showInputMessage="1" showErrorMessage="0" allowBlank="1" promptTitle="Dầm ngắn L(m) &lt;" prompt="Nhịp có Ltt nhỏ hơn giá trị này (m): đai rải đều 1 bước."/>
    <dataValidation sqref="J2" showDropDown="0" showInputMessage="1" showErrorMessage="0" allowBlank="1" promptTitle="Thép gia cường gối" prompt="a|b|c: a = vươn mũ gối xL, b = vùng đai dày xL (hoặc mm nếu &gt;1), c = TC trên bụng nhịp.&#10;/ = từ mép cột · \ = từ tim cột · | = L tim-tim, đo từ mép.&#10;Trống = QS_DAMSET" type="list">
      <formula1>LIST!$J$2:$J$6</formula1>
    </dataValidation>
    <dataValidation sqref="J3" showDropDown="0" showInputMessage="1" showErrorMessage="0" allowBlank="1" promptTitle="Thép gia cường nhịp" prompt="a\b\c: a = TC dưới bụng nhịp cách mép aL, b = TC dưới tại gối vươn bL, c = nhịp đầu/cuối.&#10;Trống = QS_DAMSET" type="list">
      <formula1>LIST!$K$2:$K$4</formula1>
    </dataValidation>
    <dataValidation sqref="J4" showDropDown="0" showInputMessage="1" showErrorMessage="0" allowBlank="1" promptTitle="Neo thép trên (d)" prompt="40 = 40d · 10;12-30d/40d · 10-500mm/12-600mm/...&#10;Trống = QS_DAMSET" type="list">
      <formula1>LIST!$L$2:$L$4</formula1>
    </dataValidation>
    <dataValidation sqref="J5" showDropDown="0" showInputMessage="1" showErrorMessage="0" allowBlank="1" promptTitle="Neo thép dưới (d)" prompt="40 = 40d · 10;12-30d/40d · 10-350mm/12-420mm/...&#10;Trống = QS_DAMSET" type="list">
      <formula1>LIST!$L$2:$L$4</formula1>
    </dataValidation>
    <dataValidation sqref="J6" showDropDown="0" showInputMessage="1" showErrorMessage="0" allowBlank="1" promptTitle="Neo thép giá (d)" prompt="40 = 40d · 10;12-30d/40d · 10-350mm/...&#10;Trống = QS_DAMSET" type="list">
      <formula1>LIST!$L$2:$L$4</formula1>
    </dataValidation>
    <dataValidation sqref="J7" showDropDown="0" showInputMessage="1" showErrorMessage="0" allowBlank="1" promptTitle="Tên trục MCN dầm" prompt="Tên trục ghi ở mặt cắt ngang (lưu, chưa dùng khi vẽ)."/>
    <dataValidation sqref="J8" showDropDown="0" showInputMessage="1" showErrorMessage="0" allowBlank="1" promptTitle="Lệch trục / Ẩn MC dọc" prompt="Ltt = thêm dim nhịp thông thủy.&#10;(100, Y, 100/Y: lưu theo DCE, chưa dùng.)" type="list">
      <formula1>LIST!$Q$2:$Q$3</formula1>
    </dataValidation>
    <dataValidation sqref="N2" showDropDown="0" showInputMessage="1" showErrorMessage="0" allowBlank="1" promptTitle="ĐK thép C đỡ lớp TC" prompt="Ø thép C đỡ lớp tăng cường (mm). Trống = Ø đai."/>
    <dataValidation sqref="N3" showDropDown="0" showInputMessage="1" showErrorMessage="0" allowBlank="1" promptTitle="KC thép C đỡ lớp TC" prompt="&gt;0: tự vẽ khi có ≥ 2 lớp · &lt;0 (-1500): luôn vẽ khi &gt; 2 thanh · 1500mm: luôn vẽ khi ≥ 2 thanh · 0/trống: không vẽ" type="list">
      <formula1>LIST!$O$2:$O$5</formula1>
    </dataValidation>
    <dataValidation sqref="N4" showDropDown="0" showInputMessage="1" showErrorMessage="1" allowBlank="1" errorTitle="QS_DAM" error="Chọn giá trị trong danh sách." promptTitle="Đai C nối giữa thép giá" prompt="None / So le / So le 2 / Toàn bộ" type="list">
      <formula1>LIST!$M$2:$M$5</formula1>
    </dataValidation>
    <dataValidation sqref="N5" showDropDown="0" showInputMessage="1" showErrorMessage="0" allowBlank="1" promptTitle="ĐK đai C nối 2 thép giá" prompt="Ø đai C nối thép giá (mm). Trống = Ø đai."/>
    <dataValidation sqref="N6" showDropDown="0" showInputMessage="1" showErrorMessage="0" allowBlank="1" promptTitle="KC đai C nối 2 thép giá" prompt="400 = móc đai C quay LÊN · 400mm = quay XUỐNG&#10;Trống = theo bước đai chính." type="list">
      <formula1>LIST!$P$2:$P$4</formula1>
    </dataValidation>
    <dataValidation sqref="N7" showDropDown="0" showInputMessage="1" showErrorMessage="1" allowBlank="1" errorTitle="QS_DAM" error="Chọn giá trị trong danh sách." promptTitle="Giật cao độ dầm" prompt="Mép trên / Mép dưới / Tùy chỉnh (lưu, chưa dùng khi vẽ)." type="list">
      <formula1>LIST!$N$2:$N$4</formula1>
    </dataValidation>
    <dataValidation sqref="N8" showDropDown="0" showInputMessage="1" showErrorMessage="0" allowBlank="1" promptTitle="Dày BT lót dưới dầm" prompt="100 = BT lót dày 100 · 100/50 = dày 100, mở rộng mỗi bên 50 (mm)."/>
    <dataValidation sqref="S3 T3" showDropDown="0" showInputMessage="1" showErrorMessage="1" allowBlank="1" errorTitle="QS_DAM" error="Chọn giá trị trong danh sách." promptTitle="Kiểu thép chờ" prompt="Khong = không chờ&#10;Cho thang = kéo thẳng ra ngoài đầu dầm L chờ, không bẻ ke&#10;Coupler = dừng tại mép, vẽ ký hiệu coupler" type="list">
      <formula1>LIST!$S$2:$S$4</formula1>
    </dataValidation>
    <dataValidation sqref="S4 T4" showDropDown="0" showInputMessage="1" showErrorMessage="0" allowBlank="1" promptTitle="Lớp được chờ" prompt="T = trên · B = dưới · G = giá. Ghép: TBG, TB ..." type="list">
      <formula1>LIST!$T$2:$T$5</formula1>
    </dataValidation>
    <dataValidation sqref="S5 T5" showDropDown="0" showInputMessage="1" showErrorMessage="1" allowBlank="1" errorTitle="QS_DAM" error="Chọn giá trị trong danh sách." promptTitle="Thanh được chờ" prompt="Tat ca = mọi thanh tới đầu dầm&#10;Chay suot = chỉ thép chạy suốt" type="list">
      <formula1>LIST!$U$2:$U$3</formula1>
    </dataValidation>
    <dataValidation sqref="S6 T6" showDropDown="0" showInputMessage="1" showErrorMessage="0" allowBlank="1" promptTitle="L chờ" prompt="Chờ thẳng: AUTO = L nối ngoài vùng · 40d · 1200 (mm)&#10;Coupler: đoạn ra ngoài mép 0 · 100 · 100/300 = so le (½ thanh 100, ½ thanh 300); AUTO = QS_DAMSET" type="list">
      <formula1>LIST!$V$2:$V$8</formula1>
    </dataValidation>
    <dataValidation sqref="S7 T7" showDropDown="0" showInputMessage="1" showErrorMessage="1" allowBlank="1" errorTitle="QS_DAM" error="Chọn giá trị trong danh sách." promptTitle="Chờ so le 50%" prompt="Co = 1/2 số thanh chờ L, 1/2 chờ 2L + KC mối nối" type="list">
      <formula1>LIST!$W$2:$W$3</formula1>
    </dataValidation>
    <dataValidation sqref="Y2" showDropDown="0" showInputMessage="1" showErrorMessage="1" allowBlank="1" errorTitle="QS_DAM" error="Chọn giá trị trong danh sách." promptTitle="Tai sàn (phía có sàn)" prompt="2 ben / Trai / Phai / Khong&#10;Chỉ dùng khi F7 là số." type="list">
      <formula1>LIST!$X$2:$X$5</formula1>
    </dataValidation>
    <dataValidation sqref="Y3" showDropDown="0" showInputMessage="1" showErrorMessage="1" allowBlank="1" errorTitle="QS_DAM" error="Chọn giá trị trong danh sách." promptTitle="Sàn lật (dầm úp)" prompt="Co = sàn nằm ở đáy dầm. Chỉ dùng khi F7 là số." type="list">
      <formula1>LIST!$W$2:$W$3</formula1>
    </dataValidation>
    <dataValidation sqref="C11 E11 G11 I11 K11 M11 O11 Q11 S11 U11 W11 Y11 AA11 AC11 AE11 AG11" showDropDown="0" showInputMessage="1" showErrorMessage="0" allowBlank="1" promptTitle="Gối: bề rộng (mm)" prompt="300 = cột 300&#10;0 = console (đầu tự do)&#10;220x500 = gối là DẦM 220x500&#10;1000/220 = cột dưới 1000, cột trên 220&#10;1000/200/-400 = cột trên 200 lệch tim -400"/>
    <dataValidation sqref="D11 F11 H11 J11 L11 N11 P11 R11 T11 V11 X11 Z11 AB11 AD11 AF11" showDropDown="0" showInputMessage="1" showErrorMessage="0" allowBlank="1" promptTitle="Nhịp: L thông thủy (mm)" prompt="Khoảng cách 2 mép gối (mm).&#10;Để trống = hết dầm (các nhịp phải liền nhau).&#10;Dòng 34-35: suy Ltt từ khoảng cách trục."/>
    <dataValidation sqref="C12 E12 G12 I12 K12 M12 O12 Q12 S12 U12 W12 Y12 AA12 AC12 AE12 AG12" showDropDown="0" showInputMessage="1" showErrorMessage="0" allowBlank="1" promptTitle="Gối: bước đai trong cột" prompt="Bước đai trong vùng cột (mm), vd 200.&#10;+200 = ghi kèm (+).&#10;Để trống = không vẽ đai trong cột."/>
    <dataValidation sqref="D12 F12 H12 J12 L12 N12 P12 R12 T12 V12 X12 Z12 AB12 AD12 AF12" showDropDown="0" showInputMessage="1" showErrorMessage="0" allowBlank="1" promptTitle="Nhịp: bề rộng nhịp (mm)" prompt="Bề rộng dầm tại nhịp nếu KHÁC b dầm (F3).&#10;Để trống = b dầm."/>
    <dataValidation sqref="C13 E13 G13 I13 K13 M13 O13 Q13 S13 U13 W13 Y13 AA13 AC13 AE13 AG13" showDropDown="0" showInputMessage="1" showErrorMessage="0" allowBlank="1" promptTitle="Gối: TC trên lớp 1" prompt="Thép mũ gối: 3t28 (2 bên như nhau)&#10;3t28;5t28 = trái;phải&#10;;2t28 = chỉ bên phải&#10;2t28+1t25 = nhiều loại, - = không có&#10;Vươn theo hệ số 1 ô J2.&#10;Lớp 1 = cùng lớp thép chạy suốt." type="list">
      <formula1>LIST!$A$2:$A$42</formula1>
    </dataValidation>
    <dataValidation sqref="D13 F13 H13 J13 L13 N13 P13 R13 T13 V13 X13 Z13 AB13 AD13 AF13" showDropDown="0" showInputMessage="1" showErrorMessage="0" allowBlank="1" promptTitle="Nhịp: TC trên lớp 1" prompt="Thép tăng cường TRÊN ở bụng nhịp, vd 2t25.&#10;Chiều dài theo hệ số 3 ô J2.&#10;Lớp 1 = cùng lớp thép chạy suốt." type="list">
      <formula1>LIST!$A$2:$A$42</formula1>
    </dataValidation>
    <dataValidation sqref="C14 E14 G14 I14 K14 M14 O14 Q14 S14 U14 W14 Y14 AA14 AC14 AE14 AG14" showDropDown="0" showInputMessage="1" showErrorMessage="0" allowBlank="1" promptTitle="Gối: TC trên lớp 2" prompt="Thép mũ gối: 3t28 (2 bên như nhau)&#10;3t28;5t28 = trái;phải&#10;;2t28 = chỉ bên phải&#10;2t28+1t25 = nhiều loại, - = không có&#10;Vươn theo hệ số 1 ô J2." type="list">
      <formula1>LIST!$A$2:$A$42</formula1>
    </dataValidation>
    <dataValidation sqref="D14 F14 H14 J14 L14 N14 P14 R14 T14 V14 X14 Z14 AB14 AD14 AF14" showDropDown="0" showInputMessage="1" showErrorMessage="0" allowBlank="1" promptTitle="Nhịp: TC trên lớp 2" prompt="Thép tăng cường TRÊN ở bụng nhịp, vd 2t25.&#10;Chiều dài theo hệ số 3 ô J2." type="list">
      <formula1>LIST!$A$2:$A$42</formula1>
    </dataValidation>
    <dataValidation sqref="C15 E15 G15 I15 K15 M15 O15 Q15 S15 U15 W15 Y15 AA15 AC15 AE15 AG15" showDropDown="0" showInputMessage="1" showErrorMessage="0" allowBlank="1" promptTitle="Gối: TC trên lớp 3" prompt="Thép mũ gối: 3t28 (2 bên như nhau)&#10;3t28;5t28 = trái;phải&#10;;2t28 = chỉ bên phải&#10;2t28+1t25 = nhiều loại, - = không có&#10;Vươn theo hệ số 1 ô J2." type="list">
      <formula1>LIST!$A$2:$A$42</formula1>
    </dataValidation>
    <dataValidation sqref="D15 F15 H15 J15 L15 N15 P15 R15 T15 V15 X15 Z15 AB15 AD15 AF15" showDropDown="0" showInputMessage="1" showErrorMessage="0" allowBlank="1" promptTitle="Nhịp: TC trên lớp 3" prompt="Thép tăng cường TRÊN ở bụng nhịp, vd 2t25.&#10;Chiều dài theo hệ số 3 ô J2." type="list">
      <formula1>LIST!$A$2:$A$42</formula1>
    </dataValidation>
    <dataValidation sqref="C16 E16 G16 I16 K16 M16 O16 Q16 S16 U16 W16 Y16 AA16 AC16 AE16 AG16" showDropDown="0" showInputMessage="1" showErrorMessage="0" allowBlank="1" promptTitle="Gối: TC trên lớp 4" prompt="Thép mũ gối: 3t28 (2 bên như nhau)&#10;3t28;5t28 = trái;phải&#10;;2t28 = chỉ bên phải&#10;2t28+1t25 = nhiều loại, - = không có&#10;Vươn theo hệ số 1 ô J2." type="list">
      <formula1>LIST!$A$2:$A$42</formula1>
    </dataValidation>
    <dataValidation sqref="D16 F16 H16 J16 L16 N16 P16 R16 T16 V16 X16 Z16 AB16 AD16 AF16" showDropDown="0" showInputMessage="1" showErrorMessage="0" allowBlank="1" promptTitle="Nhịp: TC trên lớp 4" prompt="Thép tăng cường TRÊN ở bụng nhịp, vd 2t25.&#10;Chiều dài theo hệ số 3 ô J2." type="list">
      <formula1>LIST!$A$2:$A$42</formula1>
    </dataValidation>
    <dataValidation sqref="C17 E17 G17 I17 K17 M17 O17 Q17 S17 U17 W17 Y17 AA17 AC17 AE17 AG17" showDropDown="0" showInputMessage="1" showErrorMessage="0" allowBlank="1" promptTitle="Gối: TC trên lớp 5" prompt="Thép mũ gối: 3t28 (2 bên như nhau)&#10;3t28;5t28 = trái;phải&#10;;2t28 = chỉ bên phải&#10;2t28+1t25 = nhiều loại, - = không có&#10;Vươn theo hệ số 1 ô J2." type="list">
      <formula1>LIST!$A$2:$A$42</formula1>
    </dataValidation>
    <dataValidation sqref="D17 F17 H17 J17 L17 N17 P17 R17 T17 V17 X17 Z17 AB17 AD17 AF17" showDropDown="0" showInputMessage="1" showErrorMessage="0" allowBlank="1" promptTitle="Nhịp: TC trên lớp 5" prompt="Thép tăng cường TRÊN ở bụng nhịp, vd 2t25.&#10;Chiều dài theo hệ số 3 ô J2." type="list">
      <formula1>LIST!$A$2:$A$42</formula1>
    </dataValidation>
    <dataValidation sqref="C18 E18 G18 I18 K18 M18 O18 Q18 S18 U18 W18 Y18 AA18 AC18 AE18 AG18" showDropDown="0" showInputMessage="1" showErrorMessage="0" allowBlank="1" promptTitle="Gối: TC dưới lớp 5" prompt="Thép tăng cường DƯỚI tại gối, vd 2t25.&#10;3t25;2t25 = trái;phải&#10;Vươn theo hệ số 2 ô J3." type="list">
      <formula1>LIST!$A$2:$A$42</formula1>
    </dataValidation>
    <dataValidation sqref="D18 F18 H18 J18 L18 N18 P18 R18 T18 V18 X18 Z18 AB18 AD18 AF18" showDropDown="0" showInputMessage="1" showErrorMessage="0" allowBlank="1" promptTitle="Nhịp: TC dưới lớp 5" prompt="Thép tăng cường DƯỚI ở bụng nhịp, vd 3t28.&#10;Cách mép gối hệ số 1 ô J3 (nhịp đầu/cuối: hệ số 3)." type="list">
      <formula1>LIST!$A$2:$A$42</formula1>
    </dataValidation>
    <dataValidation sqref="C19 E19 G19 I19 K19 M19 O19 Q19 S19 U19 W19 Y19 AA19 AC19 AE19 AG19" showDropDown="0" showInputMessage="1" showErrorMessage="0" allowBlank="1" promptTitle="Gối: TC dưới lớp 4" prompt="Thép tăng cường DƯỚI tại gối, vd 2t25.&#10;3t25;2t25 = trái;phải&#10;Vươn theo hệ số 2 ô J3." type="list">
      <formula1>LIST!$A$2:$A$42</formula1>
    </dataValidation>
    <dataValidation sqref="D19 F19 H19 J19 L19 N19 P19 R19 T19 V19 X19 Z19 AB19 AD19 AF19" showDropDown="0" showInputMessage="1" showErrorMessage="0" allowBlank="1" promptTitle="Nhịp: TC dưới lớp 4" prompt="Thép tăng cường DƯỚI ở bụng nhịp, vd 3t28.&#10;Cách mép gối hệ số 1 ô J3 (nhịp đầu/cuối: hệ số 3)." type="list">
      <formula1>LIST!$A$2:$A$42</formula1>
    </dataValidation>
    <dataValidation sqref="C20 E20 G20 I20 K20 M20 O20 Q20 S20 U20 W20 Y20 AA20 AC20 AE20 AG20" showDropDown="0" showInputMessage="1" showErrorMessage="0" allowBlank="1" promptTitle="Gối: TC dưới lớp 3" prompt="Thép tăng cường DƯỚI tại gối, vd 2t25.&#10;3t25;2t25 = trái;phải&#10;Vươn theo hệ số 2 ô J3." type="list">
      <formula1>LIST!$A$2:$A$42</formula1>
    </dataValidation>
    <dataValidation sqref="D20 F20 H20 J20 L20 N20 P20 R20 T20 V20 X20 Z20 AB20 AD20 AF20" showDropDown="0" showInputMessage="1" showErrorMessage="0" allowBlank="1" promptTitle="Nhịp: TC dưới lớp 3" prompt="Thép tăng cường DƯỚI ở bụng nhịp, vd 3t28.&#10;Cách mép gối hệ số 1 ô J3 (nhịp đầu/cuối: hệ số 3)." type="list">
      <formula1>LIST!$A$2:$A$42</formula1>
    </dataValidation>
    <dataValidation sqref="C21 E21 G21 I21 K21 M21 O21 Q21 S21 U21 W21 Y21 AA21 AC21 AE21 AG21" showDropDown="0" showInputMessage="1" showErrorMessage="0" allowBlank="1" promptTitle="Gối: TC dưới lớp 2" prompt="Thép tăng cường DƯỚI tại gối, vd 2t25.&#10;3t25;2t25 = trái;phải&#10;Vươn theo hệ số 2 ô J3." type="list">
      <formula1>LIST!$A$2:$A$42</formula1>
    </dataValidation>
    <dataValidation sqref="D21 F21 H21 J21 L21 N21 P21 R21 T21 V21 X21 Z21 AB21 AD21 AF21" showDropDown="0" showInputMessage="1" showErrorMessage="0" allowBlank="1" promptTitle="Nhịp: TC dưới lớp 2" prompt="Thép tăng cường DƯỚI ở bụng nhịp, vd 3t28.&#10;Cách mép gối hệ số 1 ô J3 (nhịp đầu/cuối: hệ số 3)." type="list">
      <formula1>LIST!$A$2:$A$42</formula1>
    </dataValidation>
    <dataValidation sqref="C22 E22 G22 I22 K22 M22 O22 Q22 S22 U22 W22 Y22 AA22 AC22 AE22 AG22" showDropDown="0" showInputMessage="1" showErrorMessage="0" allowBlank="1" promptTitle="Gối: TC dưới lớp 1" prompt="Thép tăng cường DƯỚI tại gối, vd 2t25.&#10;3t25;2t25 = trái;phải&#10;Vươn theo hệ số 2 ô J3.&#10;Lớp 1 = cùng lớp thép chạy suốt." type="list">
      <formula1>LIST!$A$2:$A$42</formula1>
    </dataValidation>
    <dataValidation sqref="D22 F22 H22 J22 L22 N22 P22 R22 T22 V22 X22 Z22 AB22 AD22 AF22" showDropDown="0" showInputMessage="1" showErrorMessage="0" allowBlank="1" promptTitle="Nhịp: TC dưới lớp 1" prompt="Thép tăng cường DƯỚI ở bụng nhịp, vd 3t28.&#10;Cách mép gối hệ số 1 ô J3 (nhịp đầu/cuối: hệ số 3).&#10;Lớp 1 = cùng lớp thép chạy suốt." type="list">
      <formula1>LIST!$A$2:$A$42</formula1>
    </dataValidation>
    <dataValidation sqref="C23 E23 G23 I23 K23 M23 O23 Q23 S23 U23 W23 Y23 AA23 AC23 AE23 AG23" showDropDown="0" showInputMessage="1" showErrorMessage="0" allowBlank="1" promptTitle="Gối: ẩn cột khi vẽ" prompt="1 = ẩn cột phía TRÊN&#10;2 = ẩn cột phía DƯỚI&#10;3 = ẩn cả hai&#10;Để trống = vẽ đủ." type="list">
      <formula1>LIST!$H$2:$H$4</formula1>
    </dataValidation>
    <dataValidation sqref="D23 F23 H23 J23 L23 N23 P23 R23 T23 V23 X23 Z23 AB23 AD23 AF23" showDropDown="0" showInputMessage="1" showErrorMessage="0" allowBlank="1" promptTitle="Nhịp: đổi thép chạy TRÊN" prompt="0;5t28 = từ nhịp này thép chạy TRÊN đổi thành 5t28&#10;0;25 = chỉ đổi đường kính&#10;Số đầu ≠ 0 (giật mép trên): QS_DAM chưa vẽ giật cấp, chỉ đổi thép." type="list">
      <formula1>LIST!$I$2:$I$6</formula1>
    </dataValidation>
    <dataValidation sqref="C24 E24 G24 I24 K24 M24 O24 Q24 S24 U24 W24 Y24 AA24 AC24 AE24 AG24" showDropDown="0" showInputMessage="1" showErrorMessage="0" allowBlank="1" promptTitle="Gối: dầm giao tại cột" prompt="KT dầm giao tại cột (vẽ nét khuất), vd 400x600."/>
    <dataValidation sqref="D24 F24 H24 J24 L24 N24 P24 R24 T24 V24 X24 Z24 AB24 AD24 AF24" showDropDown="0" showInputMessage="1" showErrorMessage="0" allowBlank="1" promptTitle="Nhịp: thép giá" prompt="2x2t12 = 2 lớp, mỗi lớp 2t12&#10;4t12 = hiểu 2 lớp x 2t12&#10;Nhịp liền kề cùng thép giá được gộp 1 thanh.&#10;Để trống = không có." type="list">
      <formula1>LIST!$C$2:$C$9</formula1>
    </dataValidation>
    <dataValidation sqref="C25 E25 G25 I25 K25 M25 O25 Q25 S25 U25 W25 Y25 AA25 AC25 AE25 AG25" showDropDown="0" showInputMessage="1" showErrorMessage="0" allowBlank="1" promptTitle="Gối: lệch dầm giao / tim cột" prompt="Độ lệch tim dầm giao tại cột so với tim cột (mm), vd -150."/>
    <dataValidation sqref="D25 F25 H25 J25 L25 N25 P25 R25 T25 V25 X25 Z25 AB25 AD25 AF25" showDropDown="0" showInputMessage="1" showErrorMessage="0" allowBlank="1" promptTitle="Nhịp: đổi thép chạy DƯỚI" prompt="0;5t28 = từ nhịp này thép chạy DƯỚI đổi thành 5t28&#10;0;25 = chỉ đổi đường kính&#10;Số đầu ≠ 0 (giật mép dưới): chưa vẽ giật cấp." type="list">
      <formula1>LIST!$I$2:$I$6</formula1>
    </dataValidation>
    <dataValidation sqref="C26 E26 G26 I26 K26 M26 O26 Q26 S26 U26 W26 Y26 AA26 AC26 AE26 AG26" showDropDown="0" showInputMessage="1" showErrorMessage="0" allowBlank="1" promptTitle="Gối: tên trục" prompt="Tên trục tại gối, vd E hoặc 6.&#10;Nhiều dòng (Alt+Enter): lấy dòng cuối."/>
    <dataValidation sqref="D26 F26 H26 J26 L26 N26 P26 R26 T26 V26 X26 Z26 AB26 AD26 AF26" showDropDown="0" showInputMessage="1" showErrorMessage="0" allowBlank="1" promptTitle="Nhịp: thép đai" prompt="Ø-bước gối/bước giữa nhịp, vd 10-100/150&#10;10-100 = rải đều.&#10;Vùng đai dày = hệ số thứ 2 ô J2.&#10;Nhịp Ltt &lt; F8 (m): rải đều bước gối." type="list">
      <formula1>LIST!$B$2:$B$12</formula1>
    </dataValidation>
    <dataValidation sqref="C27 E27 G27 I27 K27 M27 O27 Q27 S27 U27 W27 Y27 AA27 AC27 AE27 AG27" showDropDown="0" showInputMessage="1" showErrorMessage="0" allowBlank="1" promptTitle="Gối: lệch trục so tim gối" prompt="Độ lệch trục so với tim gối (mm), vd -149.2.&#10;Dương = trục lệch sang phải."/>
    <dataValidation sqref="D27 F27 H27 J27 L27 N27 P27 R27 T27 V27 X27 Z27 AB27 AD27 AF27" showDropDown="0" showInputMessage="1" showErrorMessage="0" allowBlank="1" promptTitle="Nhịp: đai trong / cắt thép" prompt="6-100/200 = đai trong (đai con)&#10;T / B / T/B = mối nối bắt buộc thép chạy TRÊN / DƯỚI&#10;TL TR BL BR = nối phía trái / phải nhịp&#10;Ghép: 6-100/200/B" type="list">
      <formula1>LIST!$D$2:$D$13</formula1>
    </dataValidation>
    <dataValidation sqref="C28 E28 G28 I28 K28 M28 O28 Q28 S28 U28 W28 Y28 AA28 AC28 AE28 AG28" showDropDown="0" showInputMessage="1" showErrorMessage="0" allowBlank="1" promptTitle="Gối: dầm giao ở nhịp phải" prompt="KT dầm giao nằm trong NHỊP BÊN PHẢI gối này, vd 400x600.&#10;Nhiều dầm: 400x600/300x600"/>
    <dataValidation sqref="D28 F28 H28 J28 L28 N28 P28 R28 T28 V28 X28 Z28 AB28 AD28 AF28" showDropDown="0" showInputMessage="1" showErrorMessage="0" allowBlank="1" promptTitle="Nhịp: kiểu đai" prompt="T.LINK = đai xoắn (U bao + C mũ).&#10;Để trống = đai kín." type="list">
      <formula1>LIST!$E$2:$E$2</formula1>
    </dataValidation>
    <dataValidation sqref="C29 E29 G29 I29 K29 M29 O29 Q29 S29 U29 W29 Y29 AA29 AC29 AE29 AG29" showDropDown="0" showInputMessage="1" showErrorMessage="0" allowBlank="1" promptTitle="Gối: vị trí dầm giao (mm)" prompt="Khoảng cách từ TIM gối này tới tim dầm giao trong nhịp phải, vd 3950.&#10;Nhiều dầm: 2000/5000"/>
    <dataValidation sqref="D29 F29 H29 J29 L29 N29 P29 R29 T29 V29 X29 Z29 AB29 AD29 AF29" showDropDown="0" showInputMessage="1" showErrorMessage="0" allowBlank="1" promptTitle="Nhịp: đai gia cường" prompt="10t10a50 = 10 đai Ø10 bước 50, chia 2 bên dầm giao&#10;10t10a50L / R = chỉ bên trái / phải&#10;Nhiều dầm: 10t10a50/8t8a50" type="list">
      <formula1>LIST!$F$2:$F$7</formula1>
    </dataValidation>
    <dataValidation sqref="D30 F30 H30 J30 L30 N30 P30 R30 T30 V30 X30 Z30 AB30 AD30 AF30" showDropDown="0" showInputMessage="1" showErrorMessage="0" allowBlank="1" promptTitle="Nhịp: thép vai bò" prompt="Thép vai bò tại dầm giao trong nhịp, vd 2t18." type="list">
      <formula1>LIST!$G$2:$G$5</formula1>
    </dataValidation>
    <dataValidation sqref="B11" showDropDown="0" showInputMessage="1" showErrorMessage="0" allowBlank="1" promptTitle="Thép chạy suốt TRÊN" prompt="Thép chạy suốt TRÊN, vd 3t28 · 2t28+1t25.&#10;Đổi thép theo nhịp: dòng 23." type="list">
      <formula1>LIST!$A$2:$A$42</formula1>
    </dataValidation>
    <dataValidation sqref="B12" showDropDown="0" showInputMessage="1" showErrorMessage="0" allowBlank="1" promptTitle="Thép chạy suốt DƯỚI" prompt="Thép chạy suốt DƯỚI, vd 3t28 · 2t28+1t25.&#10;Đổi thép theo nhịp: dòng 25." type="list">
      <formula1>LIST!$A$2:$A$42</formula1>
    </dataValidation>
    <dataValidation sqref="C37 D37 E37 F37 G37 H37 I37 J37 K37 L37 M37 N37 O37 P37 Q37 R37 S37 T37 U37 V37 W37 X37 Y37 Z37 AA37 AB37 AC37 AD37 AE37 AF37 AG37" showDropDown="0" showInputMessage="1" showErrorMessage="0" allowBlank="1" promptTitle="As yêu cầu TRÊN (cm²)" prompt="As yêu cầu thép TRÊN (cm²) từ tính toán, vd 2.34.&#10;Gối: trái/phải vd 2.63/1.45.&#10;Để trống = không kiểm tra."/>
    <dataValidation sqref="C40 D40 E40 F40 G40 H40 I40 J40 K40 L40 M40 N40 O40 P40 Q40 R40 S40 T40 U40 V40 W40 X40 Y40 Z40 AA40 AB40 AC40 AD40 AE40 AF40 AG40" showDropDown="0" showInputMessage="1" showErrorMessage="0" allowBlank="1" promptTitle="As yêu cầu DƯỚI (cm²)" prompt="As yêu cầu thép DƯỚI (cm²), vd 2.46. Gối: trái/phải.&#10;Để trống = không kiểm tra."/>
    <dataValidation sqref="D34 F34 H34 J34 L34 N34 P34 R34 T34 V34 X34 Z34 AB34 AD34 AF34" showDropDown="0" showInputMessage="1" showErrorMessage="0" allowBlank="1" promptTitle="KC trục mặt bằng (mm)" prompt="Nhập khoảng cách trục-trục theo mặt bằng để suy ra Ltt (dòng 35).&#10;Không ảnh hưởng bản vẽ."/>
  </dataValidations>
  <pageMargins left="0.75" right="0.75" top="1" bottom="1" header="0.5" footer="0.5"/>
  <pageSetup orientation="landscape" paperSize="8"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X42"/>
  <sheetViews>
    <sheetView tabSelected="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61" t="inlineStr">
        <is>
          <t>THEP</t>
        </is>
      </c>
      <c r="B1" s="61" t="inlineStr">
        <is>
          <t>DAI</t>
        </is>
      </c>
      <c r="C1" s="61" t="inlineStr">
        <is>
          <t>GIA</t>
        </is>
      </c>
      <c r="D1" s="61" t="inlineStr">
        <is>
          <t>DAITRONG</t>
        </is>
      </c>
      <c r="E1" s="61" t="inlineStr">
        <is>
          <t>TLINK</t>
        </is>
      </c>
      <c r="F1" s="61" t="inlineStr">
        <is>
          <t>DAIGC</t>
        </is>
      </c>
      <c r="G1" s="61" t="inlineStr">
        <is>
          <t>VAIBO</t>
        </is>
      </c>
      <c r="H1" s="61" t="inlineStr">
        <is>
          <t>ANCOT</t>
        </is>
      </c>
      <c r="I1" s="61" t="inlineStr">
        <is>
          <t>DOITHEP</t>
        </is>
      </c>
      <c r="J1" s="61" t="inlineStr">
        <is>
          <t>KGOI</t>
        </is>
      </c>
      <c r="K1" s="61" t="inlineStr">
        <is>
          <t>KNHIP</t>
        </is>
      </c>
      <c r="L1" s="61" t="inlineStr">
        <is>
          <t>NEO</t>
        </is>
      </c>
      <c r="M1" s="61" t="inlineStr">
        <is>
          <t>DAIC</t>
        </is>
      </c>
      <c r="N1" s="61" t="inlineStr">
        <is>
          <t>GIATCD</t>
        </is>
      </c>
      <c r="O1" s="61" t="inlineStr">
        <is>
          <t>CDOKC</t>
        </is>
      </c>
      <c r="P1" s="61" t="inlineStr">
        <is>
          <t>KCDAIC</t>
        </is>
      </c>
      <c r="Q1" s="61" t="inlineStr">
        <is>
          <t>LECHMCN</t>
        </is>
      </c>
      <c r="R1" s="61" t="inlineStr">
        <is>
          <t>NCK</t>
        </is>
      </c>
      <c r="S1" s="61" t="inlineStr">
        <is>
          <t>CHOKIEU</t>
        </is>
      </c>
      <c r="T1" s="61" t="inlineStr">
        <is>
          <t>CHOLOP</t>
        </is>
      </c>
      <c r="U1" s="61" t="inlineStr">
        <is>
          <t>CHOTHEP</t>
        </is>
      </c>
      <c r="V1" s="61" t="inlineStr">
        <is>
          <t>CHOL</t>
        </is>
      </c>
      <c r="W1" s="61" t="inlineStr">
        <is>
          <t>KHONGCO</t>
        </is>
      </c>
      <c r="X1" s="61" t="inlineStr">
        <is>
          <t>TAISAN</t>
        </is>
      </c>
    </row>
    <row r="2">
      <c r="A2" t="inlineStr">
        <is>
          <t>-</t>
        </is>
      </c>
      <c r="B2" t="inlineStr">
        <is>
          <t>8-100/200</t>
        </is>
      </c>
      <c r="C2" t="inlineStr">
        <is>
          <t>2x2t12</t>
        </is>
      </c>
      <c r="D2" t="inlineStr">
        <is>
          <t>8-100/200</t>
        </is>
      </c>
      <c r="E2" t="inlineStr">
        <is>
          <t>T.LINK</t>
        </is>
      </c>
      <c r="F2" t="inlineStr">
        <is>
          <t>10t10a50</t>
        </is>
      </c>
      <c r="G2" t="inlineStr">
        <is>
          <t>2t16</t>
        </is>
      </c>
      <c r="H2" t="inlineStr">
        <is>
          <t>1</t>
        </is>
      </c>
      <c r="I2" t="inlineStr">
        <is>
          <t>0;3t25</t>
        </is>
      </c>
      <c r="J2" t="inlineStr">
        <is>
          <t>0.25|0.25|0.15</t>
        </is>
      </c>
      <c r="K2" t="inlineStr">
        <is>
          <t>0.15\0.25\0.1</t>
        </is>
      </c>
      <c r="L2" t="inlineStr">
        <is>
          <t>40</t>
        </is>
      </c>
      <c r="M2" t="inlineStr">
        <is>
          <t>None</t>
        </is>
      </c>
      <c r="N2" t="inlineStr">
        <is>
          <t>Mép trên</t>
        </is>
      </c>
      <c r="O2" t="inlineStr">
        <is>
          <t>-1500</t>
        </is>
      </c>
      <c r="P2" t="inlineStr">
        <is>
          <t>400</t>
        </is>
      </c>
      <c r="Q2" t="inlineStr">
        <is>
          <t>Ltt</t>
        </is>
      </c>
      <c r="R2" t="inlineStr">
        <is>
          <t>1</t>
        </is>
      </c>
      <c r="S2" t="inlineStr">
        <is>
          <t>Khong</t>
        </is>
      </c>
      <c r="T2" t="inlineStr">
        <is>
          <t>TBG</t>
        </is>
      </c>
      <c r="U2" t="inlineStr">
        <is>
          <t>Tat ca</t>
        </is>
      </c>
      <c r="V2" t="inlineStr">
        <is>
          <t>AUTO</t>
        </is>
      </c>
      <c r="W2" t="inlineStr">
        <is>
          <t>Khong</t>
        </is>
      </c>
      <c r="X2" t="inlineStr">
        <is>
          <t>2 ben</t>
        </is>
      </c>
    </row>
    <row r="3">
      <c r="A3" t="inlineStr">
        <is>
          <t>2t14</t>
        </is>
      </c>
      <c r="B3" t="inlineStr">
        <is>
          <t>8-150/200</t>
        </is>
      </c>
      <c r="C3" t="inlineStr">
        <is>
          <t>2x2t14</t>
        </is>
      </c>
      <c r="D3" t="inlineStr">
        <is>
          <t>10-100/200</t>
        </is>
      </c>
      <c r="F3" t="inlineStr">
        <is>
          <t>8t8a50</t>
        </is>
      </c>
      <c r="G3" t="inlineStr">
        <is>
          <t>2t18</t>
        </is>
      </c>
      <c r="H3" t="inlineStr">
        <is>
          <t>2</t>
        </is>
      </c>
      <c r="I3" t="inlineStr">
        <is>
          <t>0;3t28</t>
        </is>
      </c>
      <c r="J3" t="inlineStr">
        <is>
          <t>0.3|0.25|0.15</t>
        </is>
      </c>
      <c r="K3" t="inlineStr">
        <is>
          <t>0.15|0.25|0.1</t>
        </is>
      </c>
      <c r="L3" t="inlineStr">
        <is>
          <t>10;12;14;16-30d/40d</t>
        </is>
      </c>
      <c r="M3" t="inlineStr">
        <is>
          <t>So le</t>
        </is>
      </c>
      <c r="N3" t="inlineStr">
        <is>
          <t>Mép dưới</t>
        </is>
      </c>
      <c r="O3" t="inlineStr">
        <is>
          <t>1500</t>
        </is>
      </c>
      <c r="P3" t="inlineStr">
        <is>
          <t>400mm</t>
        </is>
      </c>
      <c r="Q3" t="inlineStr">
        <is>
          <t>0</t>
        </is>
      </c>
      <c r="R3" t="inlineStr">
        <is>
          <t>2</t>
        </is>
      </c>
      <c r="S3" t="inlineStr">
        <is>
          <t>Cho thang</t>
        </is>
      </c>
      <c r="T3" t="inlineStr">
        <is>
          <t>TB</t>
        </is>
      </c>
      <c r="U3" t="inlineStr">
        <is>
          <t>Chay suot</t>
        </is>
      </c>
      <c r="V3" t="inlineStr">
        <is>
          <t>40d</t>
        </is>
      </c>
      <c r="W3" t="inlineStr">
        <is>
          <t>Co</t>
        </is>
      </c>
      <c r="X3" t="inlineStr">
        <is>
          <t>Trai</t>
        </is>
      </c>
    </row>
    <row r="4">
      <c r="A4" t="inlineStr">
        <is>
          <t>3t14</t>
        </is>
      </c>
      <c r="B4" t="inlineStr">
        <is>
          <t>10-100/150</t>
        </is>
      </c>
      <c r="C4" t="inlineStr">
        <is>
          <t>2x2t16</t>
        </is>
      </c>
      <c r="D4" t="inlineStr">
        <is>
          <t>10-150/200</t>
        </is>
      </c>
      <c r="F4" t="inlineStr">
        <is>
          <t>8t10a50</t>
        </is>
      </c>
      <c r="G4" t="inlineStr">
        <is>
          <t>2t20</t>
        </is>
      </c>
      <c r="H4" t="inlineStr">
        <is>
          <t>3</t>
        </is>
      </c>
      <c r="I4" t="inlineStr">
        <is>
          <t>0;5t28</t>
        </is>
      </c>
      <c r="J4" t="inlineStr">
        <is>
          <t>0.25/0.25/0.15</t>
        </is>
      </c>
      <c r="K4" t="inlineStr">
        <is>
          <t>0.15/0.25/0.1</t>
        </is>
      </c>
      <c r="L4" t="inlineStr">
        <is>
          <t>10-500mm/12-600mm/14-690mm/16-790mm/18-890mm/20-990mm/22-1090mm/25-1230mm/28-1380mm/32-1580mm</t>
        </is>
      </c>
      <c r="M4" t="inlineStr">
        <is>
          <t>So le 2</t>
        </is>
      </c>
      <c r="N4" t="inlineStr">
        <is>
          <t>Tùy chỉnh</t>
        </is>
      </c>
      <c r="O4" t="inlineStr">
        <is>
          <t>1500mm</t>
        </is>
      </c>
      <c r="P4" t="inlineStr">
        <is>
          <t>300/600</t>
        </is>
      </c>
      <c r="R4" t="inlineStr">
        <is>
          <t>1/T</t>
        </is>
      </c>
      <c r="S4" t="inlineStr">
        <is>
          <t>Coupler</t>
        </is>
      </c>
      <c r="T4" t="inlineStr">
        <is>
          <t>T</t>
        </is>
      </c>
      <c r="V4" t="inlineStr">
        <is>
          <t>50d</t>
        </is>
      </c>
      <c r="X4" t="inlineStr">
        <is>
          <t>Phai</t>
        </is>
      </c>
    </row>
    <row r="5">
      <c r="A5" t="inlineStr">
        <is>
          <t>4t14</t>
        </is>
      </c>
      <c r="B5" t="inlineStr">
        <is>
          <t>10-100/200</t>
        </is>
      </c>
      <c r="C5" t="inlineStr">
        <is>
          <t>3x2t12</t>
        </is>
      </c>
      <c r="D5" t="inlineStr">
        <is>
          <t>T</t>
        </is>
      </c>
      <c r="F5" t="inlineStr">
        <is>
          <t>10t10a50L</t>
        </is>
      </c>
      <c r="G5" t="inlineStr">
        <is>
          <t>2t22</t>
        </is>
      </c>
      <c r="I5" t="inlineStr">
        <is>
          <t>0;25</t>
        </is>
      </c>
      <c r="J5" t="inlineStr">
        <is>
          <t>0.3/0.25/0.15</t>
        </is>
      </c>
      <c r="M5" t="inlineStr">
        <is>
          <t>Toàn bộ</t>
        </is>
      </c>
      <c r="O5" t="inlineStr">
        <is>
          <t>0</t>
        </is>
      </c>
      <c r="R5" t="inlineStr">
        <is>
          <t>1/B</t>
        </is>
      </c>
      <c r="T5" t="inlineStr">
        <is>
          <t>B</t>
        </is>
      </c>
      <c r="V5" t="inlineStr">
        <is>
          <t>1200</t>
        </is>
      </c>
      <c r="X5" t="inlineStr">
        <is>
          <t>Khong</t>
        </is>
      </c>
    </row>
    <row r="6">
      <c r="A6" t="inlineStr">
        <is>
          <t>5t14</t>
        </is>
      </c>
      <c r="B6" t="inlineStr">
        <is>
          <t>10-150/200</t>
        </is>
      </c>
      <c r="C6" t="inlineStr">
        <is>
          <t>3x2t14</t>
        </is>
      </c>
      <c r="D6" t="inlineStr">
        <is>
          <t>B</t>
        </is>
      </c>
      <c r="F6" t="inlineStr">
        <is>
          <t>10t10a50R</t>
        </is>
      </c>
      <c r="I6" t="inlineStr">
        <is>
          <t>0;28</t>
        </is>
      </c>
      <c r="J6" t="inlineStr">
        <is>
          <t>0.25\0.25\0.15</t>
        </is>
      </c>
      <c r="R6" t="inlineStr">
        <is>
          <t>1/T/B</t>
        </is>
      </c>
      <c r="V6" t="inlineStr">
        <is>
          <t>0</t>
        </is>
      </c>
    </row>
    <row r="7">
      <c r="A7" t="inlineStr">
        <is>
          <t>6t14</t>
        </is>
      </c>
      <c r="B7" t="inlineStr">
        <is>
          <t>12-100/150</t>
        </is>
      </c>
      <c r="C7" t="inlineStr">
        <is>
          <t>2t12</t>
        </is>
      </c>
      <c r="D7" t="inlineStr">
        <is>
          <t>T/B</t>
        </is>
      </c>
      <c r="F7" t="inlineStr">
        <is>
          <t>8u8a50</t>
        </is>
      </c>
      <c r="V7" t="inlineStr">
        <is>
          <t>100</t>
        </is>
      </c>
    </row>
    <row r="8">
      <c r="A8" t="inlineStr">
        <is>
          <t>2t16</t>
        </is>
      </c>
      <c r="B8" t="inlineStr">
        <is>
          <t>12-100/200</t>
        </is>
      </c>
      <c r="C8" t="inlineStr">
        <is>
          <t>2t14</t>
        </is>
      </c>
      <c r="D8" t="inlineStr">
        <is>
          <t>TL</t>
        </is>
      </c>
      <c r="V8" t="inlineStr">
        <is>
          <t>100/300</t>
        </is>
      </c>
    </row>
    <row r="9">
      <c r="A9" t="inlineStr">
        <is>
          <t>3t16</t>
        </is>
      </c>
      <c r="B9" t="inlineStr">
        <is>
          <t>12-150/200</t>
        </is>
      </c>
      <c r="C9" t="inlineStr">
        <is>
          <t>4t12</t>
        </is>
      </c>
      <c r="D9" t="inlineStr">
        <is>
          <t>TR</t>
        </is>
      </c>
    </row>
    <row r="10">
      <c r="A10" t="inlineStr">
        <is>
          <t>4t16</t>
        </is>
      </c>
      <c r="B10" t="inlineStr">
        <is>
          <t>8-100</t>
        </is>
      </c>
      <c r="D10" t="inlineStr">
        <is>
          <t>BL</t>
        </is>
      </c>
    </row>
    <row r="11">
      <c r="A11" t="inlineStr">
        <is>
          <t>5t16</t>
        </is>
      </c>
      <c r="B11" t="inlineStr">
        <is>
          <t>10-100</t>
        </is>
      </c>
      <c r="D11" t="inlineStr">
        <is>
          <t>BR</t>
        </is>
      </c>
    </row>
    <row r="12">
      <c r="A12" t="inlineStr">
        <is>
          <t>6t16</t>
        </is>
      </c>
      <c r="B12" t="inlineStr">
        <is>
          <t>12-100</t>
        </is>
      </c>
      <c r="D12" t="inlineStr">
        <is>
          <t>8-100/200/T</t>
        </is>
      </c>
    </row>
    <row r="13">
      <c r="A13" t="inlineStr">
        <is>
          <t>2t18</t>
        </is>
      </c>
      <c r="D13" t="inlineStr">
        <is>
          <t>8-100/200/B</t>
        </is>
      </c>
    </row>
    <row r="14">
      <c r="A14" t="inlineStr">
        <is>
          <t>3t18</t>
        </is>
      </c>
    </row>
    <row r="15">
      <c r="A15" t="inlineStr">
        <is>
          <t>4t18</t>
        </is>
      </c>
    </row>
    <row r="16">
      <c r="A16" t="inlineStr">
        <is>
          <t>5t18</t>
        </is>
      </c>
    </row>
    <row r="17">
      <c r="A17" t="inlineStr">
        <is>
          <t>6t18</t>
        </is>
      </c>
    </row>
    <row r="18">
      <c r="A18" t="inlineStr">
        <is>
          <t>2t20</t>
        </is>
      </c>
    </row>
    <row r="19">
      <c r="A19" t="inlineStr">
        <is>
          <t>3t20</t>
        </is>
      </c>
    </row>
    <row r="20">
      <c r="A20" t="inlineStr">
        <is>
          <t>4t20</t>
        </is>
      </c>
    </row>
    <row r="21">
      <c r="A21" t="inlineStr">
        <is>
          <t>5t20</t>
        </is>
      </c>
    </row>
    <row r="22">
      <c r="A22" t="inlineStr">
        <is>
          <t>6t20</t>
        </is>
      </c>
    </row>
    <row r="23">
      <c r="A23" t="inlineStr">
        <is>
          <t>2t22</t>
        </is>
      </c>
    </row>
    <row r="24">
      <c r="A24" t="inlineStr">
        <is>
          <t>3t22</t>
        </is>
      </c>
    </row>
    <row r="25">
      <c r="A25" t="inlineStr">
        <is>
          <t>4t22</t>
        </is>
      </c>
    </row>
    <row r="26">
      <c r="A26" t="inlineStr">
        <is>
          <t>5t22</t>
        </is>
      </c>
    </row>
    <row r="27">
      <c r="A27" t="inlineStr">
        <is>
          <t>6t22</t>
        </is>
      </c>
    </row>
    <row r="28">
      <c r="A28" t="inlineStr">
        <is>
          <t>2t25</t>
        </is>
      </c>
    </row>
    <row r="29">
      <c r="A29" t="inlineStr">
        <is>
          <t>3t25</t>
        </is>
      </c>
    </row>
    <row r="30">
      <c r="A30" t="inlineStr">
        <is>
          <t>Danh sách gợi ý / chọn cho sheet nhập liệu QS_DAM. Có thể thêm dòng (giữ trong vùng đã khai báo).</t>
        </is>
      </c>
    </row>
    <row r="31">
      <c r="A31" t="inlineStr">
        <is>
          <t>5t25</t>
        </is>
      </c>
    </row>
    <row r="32">
      <c r="A32" t="inlineStr">
        <is>
          <t>6t25</t>
        </is>
      </c>
    </row>
    <row r="33">
      <c r="A33" t="inlineStr">
        <is>
          <t>2t28</t>
        </is>
      </c>
    </row>
    <row r="34">
      <c r="A34" t="inlineStr">
        <is>
          <t>3t28</t>
        </is>
      </c>
    </row>
    <row r="35">
      <c r="A35" t="inlineStr">
        <is>
          <t>4t28</t>
        </is>
      </c>
    </row>
    <row r="36">
      <c r="A36" t="inlineStr">
        <is>
          <t>5t28</t>
        </is>
      </c>
    </row>
    <row r="37">
      <c r="A37" t="inlineStr">
        <is>
          <t>6t28</t>
        </is>
      </c>
    </row>
    <row r="38">
      <c r="A38" t="inlineStr">
        <is>
          <t>2t32</t>
        </is>
      </c>
    </row>
    <row r="39">
      <c r="A39" t="inlineStr">
        <is>
          <t>3t32</t>
        </is>
      </c>
    </row>
    <row r="40">
      <c r="A40" t="inlineStr">
        <is>
          <t>4t32</t>
        </is>
      </c>
    </row>
    <row r="41">
      <c r="A41" t="inlineStr">
        <is>
          <t>5t32</t>
        </is>
      </c>
    </row>
    <row r="42">
      <c r="A42" t="inlineStr">
        <is>
          <t>6t32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2026-09-24T23:56:38Z</dcterms:created>
  <dcterms:modified xsi:type="dcterms:W3CDTF">2026-09-24T23:56:38Z</dcterms:modified>
</cp:coreProperties>
</file>